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Cliente" sheetId="2" state="visible" r:id="rId4"/>
    <sheet name="Comparar" sheetId="3" state="visible" r:id="rId5"/>
    <sheet name="Consultor" sheetId="4" state="visible" r:id="rId6"/>
    <sheet name="MesAMes" sheetId="5" state="visible" r:id="rId7"/>
    <sheet name="Imovel" sheetId="6" state="visible" r:id="rId8"/>
    <sheet name="Previdencia" sheetId="7" state="visible" r:id="rId9"/>
    <sheet name="Relatorio" sheetId="8" state="visible" r:id="rId10"/>
    <sheet name="Adequacao" sheetId="9" state="visible" r:id="rId11"/>
    <sheet name="Motor" sheetId="10" state="visible" r:id="rId12"/>
    <sheet name="MotorImovel" sheetId="11" state="visible" r:id="rId13"/>
    <sheet name="Produtos" sheetId="12" state="visible" r:id="rId14"/>
    <sheet name="Premissas" sheetId="13" state="visible" r:id="rId15"/>
    <sheet name="Fontes" sheetId="14" state="visible" r:id="rId16"/>
    <sheet name="Glossario" sheetId="15" state="visible" r:id="rId17"/>
  </sheets>
  <definedNames>
    <definedName function="false" hidden="true" localSheetId="11" name="_xlnm._FilterDatabase" vbProcedure="false">Produtos!$A$8:$AD$78</definedName>
    <definedName function="false" hidden="false" localSheetId="7" name="_xlnm.Print_Area" vbProcedure="false">Relatorio!$A$1:$H$54</definedName>
    <definedName function="false" hidden="false" name="ALIQ_GANHO_CAP" vbProcedure="false">Premissas!$B$109</definedName>
    <definedName function="false" hidden="false" name="APORTE_CORRIGIDO" vbProcedure="false">Consultor!$D$7</definedName>
    <definedName function="false" hidden="false" name="AUTO_SUGESTAO" vbProcedure="false">Consultor!$D$8</definedName>
    <definedName function="false" hidden="false" name="BASE_PRODUTOS" vbProcedure="false">Produtos!$B$9:$B$78</definedName>
    <definedName function="false" hidden="false" name="CDI_CENARIO" vbProcedure="false">Premissas!$F$10</definedName>
    <definedName function="false" hidden="false" name="CENARIO" vbProcedure="false">Consultor!$D$5</definedName>
    <definedName function="false" hidden="false" name="DATA_DADOS" vbProcedure="false">Premissas!$B$4</definedName>
    <definedName function="false" hidden="false" name="DATA_INICIO" vbProcedure="false">Consultor!$D$6</definedName>
    <definedName function="false" hidden="false" name="IMOV_ADM" vbProcedure="false">Imovel!$F$21</definedName>
    <definedName function="false" hidden="false" name="IMOV_ALUGUEL" vbProcedure="false">Imovel!$F$13</definedName>
    <definedName function="false" hidden="false" name="IMOV_ALUGUEL_USO" vbProcedure="false">Imovel!$F$14</definedName>
    <definedName function="false" hidden="false" name="IMOV_CARTORIO" vbProcedure="false">Imovel!$F$8</definedName>
    <definedName function="false" hidden="false" name="IMOV_CORRETAGEM" vbProcedure="false">Imovel!$F$25</definedName>
    <definedName function="false" hidden="false" name="IMOV_DESEMBOLSO" vbProcedure="false">Imovel!$F$9</definedName>
    <definedName function="false" hidden="false" name="IMOV_DESTINO" vbProcedure="false">Imovel!$F$29</definedName>
    <definedName function="false" hidden="false" name="IMOV_INCLUIR" vbProcedure="false">Imovel!$F$5</definedName>
    <definedName function="false" hidden="false" name="IMOV_IPTU" vbProcedure="false">Imovel!$F$19</definedName>
    <definedName function="false" hidden="false" name="IMOV_ISENCAO_GC" vbProcedure="false">Imovel!$F$26</definedName>
    <definedName function="false" hidden="false" name="IMOV_ITBI" vbProcedure="false">Imovel!$F$7</definedName>
    <definedName function="false" hidden="false" name="IMOV_MANUT" vbProcedure="false">Imovel!$F$20</definedName>
    <definedName function="false" hidden="false" name="IMOV_MODO_ALUGUEL" vbProcedure="false">Imovel!$F$12</definedName>
    <definedName function="false" hidden="false" name="IMOV_REAJUSTE" vbProcedure="false">Imovel!$F$16</definedName>
    <definedName function="false" hidden="false" name="IMOV_TAXA_REINV" vbProcedure="false">Imovel!$F$30</definedName>
    <definedName function="false" hidden="false" name="IMOV_VACANCIA" vbProcedure="false">Imovel!$F$15</definedName>
    <definedName function="false" hidden="false" name="IMOV_VALOR" vbProcedure="false">Imovel!$F$6</definedName>
    <definedName function="false" hidden="false" name="IMOV_VALORIZACAO" vbProcedure="false">Imovel!$F$24</definedName>
    <definedName function="false" hidden="false" name="IN_APORTE" vbProcedure="false">Cliente!$F$12</definedName>
    <definedName function="false" hidden="false" name="IN_CAPITAL" vbProcedure="false">Cliente!$F$10</definedName>
    <definedName function="false" hidden="false" name="IN_DATA_SIM" vbProcedure="false">Cliente!$F$6</definedName>
    <definedName function="false" hidden="false" name="IN_DESTAQUE" vbProcedure="false">Cliente!$F$28</definedName>
    <definedName function="false" hidden="false" name="IN_HORIZONTE" vbProcedure="false">Cliente!$F$14</definedName>
    <definedName function="false" hidden="false" name="IN_NOME" vbProcedure="false">Cliente!$F$5</definedName>
    <definedName function="false" hidden="false" name="IN_PERFIL" vbProcedure="false">Cliente!$F$22</definedName>
    <definedName function="false" hidden="false" name="IN_PRAZO" vbProcedure="false">Cliente!$F$16</definedName>
    <definedName function="false" hidden="false" name="IN_PRAZO_CUSTOM" vbProcedure="false">Cliente!$F$15</definedName>
    <definedName function="false" hidden="false" name="IN_PRIORIDADE" vbProcedure="false">Cliente!$F$20</definedName>
    <definedName function="false" hidden="false" name="IN_RESGATE" vbProcedure="false">Cliente!$F$18</definedName>
    <definedName function="false" hidden="false" name="IPCA_CENARIO" vbProcedure="false">Premissas!$F$11</definedName>
    <definedName function="false" hidden="false" name="LIMITE_FGC" vbProcedure="false">Premissas!$B$107</definedName>
    <definedName function="false" hidden="false" name="LIMITE_PGBL" vbProcedure="false">Premissas!$B$108</definedName>
    <definedName function="false" hidden="false" name="MES_DETALHE" vbProcedure="false">MesAMes!$D$4</definedName>
    <definedName function="false" hidden="false" name="PGBL_ALIQ" vbProcedure="false">Consultor!$D$11</definedName>
    <definedName function="false" hidden="false" name="PGBL_BENEFICIO" vbProcedure="false">Consultor!$D$13</definedName>
    <definedName function="false" hidden="false" name="PGBL_COMPLETA" vbProcedure="false">Consultor!$D$12</definedName>
    <definedName function="false" hidden="false" name="PGBL_REINVESTE" vbProcedure="false">Consultor!$D$9</definedName>
    <definedName function="false" hidden="false" name="PGBL_RENDA" vbProcedure="false">Consultor!$D$10</definedName>
    <definedName function="false" hidden="false" name="SELIC_CENARIO" vbProcedure="false">Premissas!$F$9</definedName>
    <definedName function="false" hidden="false" name="SLOT_A" vbProcedure="false">Consultor!$H$17</definedName>
    <definedName function="false" hidden="false" name="SLOT_B" vbProcedure="false">Consultor!$H$18</definedName>
    <definedName function="false" hidden="false" name="SLOT_C" vbProcedure="false">Consultor!$H$19</definedName>
    <definedName function="false" hidden="false" name="SLOT_D" vbProcedure="false">Consultor!$H$20</definedName>
    <definedName function="false" hidden="false" name="SLOT_E" vbProcedure="false">Consultor!$H$21</definedName>
    <definedName function="false" hidden="false" name="SLOT_F" vbProcedure="false">Consultor!$H$22</definedName>
    <definedName function="false" hidden="false" name="TAB_IR" vbProcedure="false">Premissas!$B$23:$H$30</definedName>
    <definedName function="false" hidden="false" name="TAB_IRPF_ALIQ" vbProcedure="false">Premissas!$B$77:$B$81</definedName>
    <definedName function="false" hidden="false" name="TAB_IRPF_BASE" vbProcedure="false">Premissas!$A$77:$A$81</definedName>
    <definedName function="false" hidden="false" name="TAB_IRPF_DED" vbProcedure="false">Premissas!$C$77:$C$81</definedName>
    <definedName function="false" hidden="false" name="TAB_IR_DIAS" vbProcedure="false">Premissas!$A$23:$A$30</definedName>
    <definedName function="false" hidden="false" name="TAB_IR_REGIMES" vbProcedure="false">Premissas!$B$22:$H$22</definedName>
    <definedName function="false" hidden="false" name="TAB_MACRO_COD" vbProcedure="false">Premissas!$B$9:$B$18</definedName>
    <definedName function="false" hidden="false" name="TAB_MACRO_VAL" vbProcedure="false">Premissas!$F$9:$F$18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Índice de referência. Deve existir na aba Premissas (coluna Código).</t>
        </r>
      </text>
    </comment>
    <comment ref="F8" authorId="0">
      <text>
        <r>
          <rPr>
            <sz val="10"/>
            <rFont val="Arial"/>
            <family val="2"/>
          </rPr>
          <t xml:space="preserve">Quanto do índice o produto entrega, BRUTO, antes da taxa de administração. 1,00 = 100%.</t>
        </r>
      </text>
    </comment>
    <comment ref="G8" authorId="0">
      <text>
        <r>
          <rPr>
            <sz val="10"/>
            <rFont val="Arial"/>
            <family val="2"/>
          </rPr>
          <t xml:space="preserve">Ganho adicional sobre o índice. Em IPCA+6%, digite 6% aqui.</t>
        </r>
      </text>
    </comment>
    <comment ref="H8" authorId="0">
      <text>
        <r>
          <rPr>
            <sz val="10"/>
            <rFont val="Arial"/>
            <family val="2"/>
          </rPr>
          <t xml:space="preserve">SOMA: taxa = índice × % + spread.  MULT: taxa = (1 + índice × %) × (1 + spread) − 1 (use em IPCA+).</t>
        </r>
      </text>
    </comment>
    <comment ref="N8" authorId="0">
      <text>
        <r>
          <rPr>
            <sz val="10"/>
            <rFont val="Arial"/>
            <family val="2"/>
          </rPr>
          <t xml:space="preserve">Ver a aba Premissas: ISENTO, RF_REGR, FUNDO_CP, FUNDO_LP, FUNDO_ACOES, PREV_REGR, PREV_PROG, IMOVEL.</t>
        </r>
      </text>
    </comment>
    <comment ref="O8" authorId="0">
      <text>
        <r>
          <rPr>
            <sz val="10"/>
            <rFont val="Arial"/>
            <family val="2"/>
          </rPr>
          <t xml:space="preserve">1 = IR só sobre o rendimento (regra geral e VGBL).  2 = IR sobre o valor total resgatado (PGBL).</t>
        </r>
      </text>
    </comment>
    <comment ref="P8" authorId="0">
      <text>
        <r>
          <rPr>
            <sz val="10"/>
            <rFont val="Arial"/>
            <family val="2"/>
          </rPr>
          <t xml:space="preserve">Tempo mínimo antes de poder resgatar. 0 = liquidez imediata.</t>
        </r>
      </text>
    </comment>
    <comment ref="Q8" authorId="0">
      <text>
        <r>
          <rPr>
            <sz val="10"/>
            <rFont val="Arial"/>
            <family val="2"/>
          </rPr>
          <t xml:space="preserve">Depois da carência, quantos dias o dinheiro leva para cair na conta.</t>
        </r>
      </text>
    </comment>
    <comment ref="T8" authorId="0">
      <text>
        <r>
          <rPr>
            <sz val="10"/>
            <rFont val="Arial"/>
            <family val="2"/>
          </rPr>
          <t xml:space="preserve">1 = muito baixo … 5 = muito alto. Alimenta o filtro de perfil e o texto mostrado ao cliente.</t>
        </r>
      </text>
    </comment>
    <comment ref="W8" authorId="0">
      <text>
        <r>
          <rPr>
            <sz val="10"/>
            <rFont val="Arial"/>
            <family val="2"/>
          </rPr>
          <t xml:space="preserve">DADO OBSERVADO (passado). Nunca é usado na projeção — serve só para conversa e contexto.</t>
        </r>
      </text>
    </comment>
    <comment ref="AA8" authorId="0">
      <text>
        <r>
          <rPr>
            <sz val="10"/>
            <rFont val="Arial"/>
            <family val="2"/>
          </rPr>
          <t xml:space="preserve">Tempo real / Diário (D+1) / Mensal / Histórico / Cadastral / Premissa / Calculado.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Isento de IR para pessoa física (LCI, LCA, poupança).</t>
        </r>
      </text>
    </comment>
    <comment ref="C22" authorId="0">
      <text>
        <r>
          <rPr>
            <sz val="10"/>
            <rFont val="Arial"/>
            <family val="2"/>
          </rPr>
          <t xml:space="preserve">Renda fixa — tabela regressiva: 22,5% até 180 dias / 20% até 360 / 17,5% até 720 / 15% acima.</t>
        </r>
      </text>
    </comment>
    <comment ref="D22" authorId="0">
      <text>
        <r>
          <rPr>
            <sz val="10"/>
            <rFont val="Arial"/>
            <family val="2"/>
          </rPr>
          <t xml:space="preserve">Fundo de curto prazo — come-cotas 20% semestral; 22,5% até 180 dias, 20% acima.</t>
        </r>
      </text>
    </comment>
    <comment ref="E22" authorId="0">
      <text>
        <r>
          <rPr>
            <sz val="10"/>
            <rFont val="Arial"/>
            <family val="2"/>
          </rPr>
          <t xml:space="preserve">Fundo de longo prazo — come-cotas 15% semestral + complemento pela tabela regressiva.</t>
        </r>
      </text>
    </comment>
    <comment ref="F22" authorId="0">
      <text>
        <r>
          <rPr>
            <sz val="10"/>
            <rFont val="Arial"/>
            <family val="2"/>
          </rPr>
          <t xml:space="preserve">Fundo de ações — 15% só no resgate, sem come-cotas.</t>
        </r>
      </text>
    </comment>
    <comment ref="G22" authorId="0">
      <text>
        <r>
          <rPr>
            <sz val="10"/>
            <rFont val="Arial"/>
            <family val="2"/>
          </rPr>
          <t xml:space="preserve">Previdência regressiva — 35% até 2 anos, caindo 5 p.p. a cada 2 anos até 10% acima de 10 anos.</t>
        </r>
      </text>
    </comment>
    <comment ref="H22" authorId="0">
      <text>
        <r>
          <rPr>
            <sz val="10"/>
            <rFont val="Arial"/>
            <family val="2"/>
          </rPr>
          <t xml:space="preserve">Previdência progressiva — 15% retido na fonte, com ajuste na declaração anual.</t>
        </r>
      </text>
    </comment>
  </commentList>
</comments>
</file>

<file path=xl/sharedStrings.xml><?xml version="1.0" encoding="utf-8"?>
<sst xmlns="http://schemas.openxmlformats.org/spreadsheetml/2006/main" count="1350" uniqueCount="829">
  <si>
    <t xml:space="preserve">   SIMULADOR DE INVESTIMENTOS
   Ferramenta de apoio à conversa com o cliente</t>
  </si>
  <si>
    <t xml:space="preserve">  O motor faz contas sofisticadas — mês a mês, com imposto, come-cotas, custos e inflação. O painel mostra pouca coisa: quanto entra, por quanto tempo, quanto pode virar, quando dá para retirar e qual o risco. A profundidade fica a um clique de distância, na aba Consultor.</t>
  </si>
  <si>
    <t xml:space="preserve">  COMEÇAR O ATENDIMENTO</t>
  </si>
  <si>
    <t xml:space="preserve">1 · CLIENTE</t>
  </si>
  <si>
    <t xml:space="preserve">As cinco perguntas e o resultado em linguagem simples. É a tela para virar o monitor para o cliente.</t>
  </si>
  <si>
    <t xml:space="preserve">2 · COMPARAR</t>
  </si>
  <si>
    <t xml:space="preserve">As alternativas lado a lado e os gráficos de evolução, composição e renda.</t>
  </si>
  <si>
    <t xml:space="preserve">3 · RELATÓRIO</t>
  </si>
  <si>
    <t xml:space="preserve">Resumo de uma página, pronto para imprimir ou salvar em PDF e entregar ao cliente.</t>
  </si>
  <si>
    <t xml:space="preserve">  APROFUNDAR (MODO CONSULTOR)</t>
  </si>
  <si>
    <t xml:space="preserve">CONSULTOR</t>
  </si>
  <si>
    <t xml:space="preserve">Premissas, taxas, tributação, alertas e o painel técnico completo.</t>
  </si>
  <si>
    <t xml:space="preserve">MÊS A MÊS</t>
  </si>
  <si>
    <t xml:space="preserve">A projeção linha a linha: saldo, rendimento, aporte, custos e imposto.</t>
  </si>
  <si>
    <t xml:space="preserve">IMÓVEL</t>
  </si>
  <si>
    <t xml:space="preserve">Comprar para alugar: aluguel, vacância, IPTU, manutenção, compra e venda.</t>
  </si>
  <si>
    <t xml:space="preserve">PREVIDÊNCIA</t>
  </si>
  <si>
    <t xml:space="preserve">PGBL x VGBL, progressivo x regressivo e o valor real do benefício fiscal.</t>
  </si>
  <si>
    <t xml:space="preserve">ADERÊNCIA</t>
  </si>
  <si>
    <t xml:space="preserve">Como a planilha decide o que sugerir — e por que não é um ranking de rentabilidade.</t>
  </si>
  <si>
    <t xml:space="preserve">  MANUTENÇÃO DA FERRAMENTA</t>
  </si>
  <si>
    <t xml:space="preserve">PRODUTOS</t>
  </si>
  <si>
    <t xml:space="preserve">Base de produtos: cadastrar, alterar taxa, ativar ou desativar.</t>
  </si>
  <si>
    <t xml:space="preserve">PREMISSAS</t>
  </si>
  <si>
    <t xml:space="preserve">Indicadores, cenários e todas as tabelas de tributação.</t>
  </si>
  <si>
    <t xml:space="preserve">FONTES</t>
  </si>
  <si>
    <t xml:space="preserve">De onde vem cada dado, com que atraso, e o registro de atualizações.</t>
  </si>
  <si>
    <t xml:space="preserve">GLOSSÁRIO</t>
  </si>
  <si>
    <t xml:space="preserve">Explicações curtas para usar na conversa com o cliente.</t>
  </si>
  <si>
    <t xml:space="preserve">  SITUAÇÃO DOS DADOS AGORA</t>
  </si>
  <si>
    <t xml:space="preserve">Cenário em uso</t>
  </si>
  <si>
    <t xml:space="preserve">Data de atualização dos dados</t>
  </si>
  <si>
    <t xml:space="preserve">Produtos ativos na base</t>
  </si>
  <si>
    <t xml:space="preserve">Produtos ainda não conferidos</t>
  </si>
  <si>
    <t xml:space="preserve">  ⚠  Ferramenta de apoio à conversa, de uso do profissional. Não é peça oficial de oferta e não substitui a lâmina, o regulamento, o prospecto do produto nem o questionário oficial de perfil (suitability).</t>
  </si>
  <si>
    <t xml:space="preserve">  ⚠  Simulação baseada nas informações e premissas registradas nesta planilha. Os resultados reais podem ser diferentes. Rentabilidade passada não é garantia de rentabilidade futura e nenhum número aqui representa promessa de retorno.</t>
  </si>
  <si>
    <t xml:space="preserve">   SUA SIMULAÇÃO</t>
  </si>
  <si>
    <t xml:space="preserve">   Poucas perguntas, e você vê o que pode acontecer com o seu dinheiro</t>
  </si>
  <si>
    <t xml:space="preserve">  PASSO 1 · QUEM ESTAMOS ATENDENDO</t>
  </si>
  <si>
    <t xml:space="preserve">Nome do cliente</t>
  </si>
  <si>
    <t xml:space="preserve">(preencher)</t>
  </si>
  <si>
    <t xml:space="preserve">Data desta simulação</t>
  </si>
  <si>
    <t xml:space="preserve">  PASSO 2 · CINCO PERGUNTAS</t>
  </si>
  <si>
    <t xml:space="preserve">  Só o que está em amarelo precisa ser preenchido. O resto a planilha calcula sozinha.</t>
  </si>
  <si>
    <t xml:space="preserve">Quanto você pretende investir agora?</t>
  </si>
  <si>
    <t xml:space="preserve">Se ainda não tem certeza, use um valor aproximado — dá para mudar durante a conversa.</t>
  </si>
  <si>
    <t xml:space="preserve">Você pretende guardar mais alguma coisa por mês?</t>
  </si>
  <si>
    <t xml:space="preserve">Se não pretende, deixe zero.</t>
  </si>
  <si>
    <t xml:space="preserve">Por quanto tempo você pode deixar esse dinheiro investido?</t>
  </si>
  <si>
    <t xml:space="preserve">5 a 10 anos</t>
  </si>
  <si>
    <t xml:space="preserve">Se escolheu “Prazo personalizado”, quantos meses?</t>
  </si>
  <si>
    <t xml:space="preserve">➜ Prazo usado na simulação (meses)</t>
  </si>
  <si>
    <t xml:space="preserve">Você pode precisar desse dinheiro antes do prazo?</t>
  </si>
  <si>
    <t xml:space="preserve">Talvez</t>
  </si>
  <si>
    <t xml:space="preserve">Essa resposta pesa muito: ela define se vale a pena travar o dinheiro por uma taxa melhor.</t>
  </si>
  <si>
    <t xml:space="preserve">O que é mais importante para você?</t>
  </si>
  <si>
    <t xml:space="preserve">Equilíbrio entre segurança e rentabilidade</t>
  </si>
  <si>
    <t xml:space="preserve">Não existe resposta certa. Existe a resposta que combina com o seu momento.</t>
  </si>
  <si>
    <t xml:space="preserve">Perfil de investidor (do questionário oficial)</t>
  </si>
  <si>
    <t xml:space="preserve">Moderado</t>
  </si>
  <si>
    <t xml:space="preserve">Este campo repete o perfil já apurado no sistema da instituição. A planilha não substitui esse processo.</t>
  </si>
  <si>
    <t xml:space="preserve">  PASSO 3 · COMO SEU DINHEIRO PODE EVOLUIR</t>
  </si>
  <si>
    <t xml:space="preserve">  Escolha uma alternativa para olhar de perto. A comparação completa está logo abaixo.</t>
  </si>
  <si>
    <t xml:space="preserve">Vamos olhar esta alternativa:</t>
  </si>
  <si>
    <t xml:space="preserve">A</t>
  </si>
  <si>
    <t xml:space="preserve">HOJE VOCÊ COLOCA</t>
  </si>
  <si>
    <t xml:space="preserve">GANHO ESTIMADO</t>
  </si>
  <si>
    <t xml:space="preserve">  PASSO 4 · O QUE MAIS IMPORTA SABER SOBRE ESSA ALTERNATIVA</t>
  </si>
  <si>
    <t xml:space="preserve">PARA RETIRAR</t>
  </si>
  <si>
    <t xml:space="preserve">OSCILAÇÃO</t>
  </si>
  <si>
    <t xml:space="preserve">RENDA MENSAL POSSÍVEL</t>
  </si>
  <si>
    <t xml:space="preserve">IMPOSTO ESTIMADO</t>
  </si>
  <si>
    <t xml:space="preserve">  PASSO 5 · OPÇÕES QUE PODEM FAZER SENTIDO PARA O SEU OBJETIVO</t>
  </si>
  <si>
    <t xml:space="preserve">  Esta não é uma lista do que rende mais. É uma lista do que combina com o seu prazo, com a sua necessidade de retirar e com o que você disse ser mais importante. A escolha final é sua.</t>
  </si>
  <si>
    <t xml:space="preserve">Alternativa</t>
  </si>
  <si>
    <t xml:space="preserve">Você teria cerca de</t>
  </si>
  <si>
    <t xml:space="preserve">Ganho estimado</t>
  </si>
  <si>
    <t xml:space="preserve">Renda mensal possível</t>
  </si>
  <si>
    <t xml:space="preserve">Para retirar</t>
  </si>
  <si>
    <t xml:space="preserve">Oscilação</t>
  </si>
  <si>
    <t xml:space="preserve">Em R$ de hoje</t>
  </si>
  <si>
    <t xml:space="preserve">Aderência ao seu objetivo</t>
  </si>
  <si>
    <t xml:space="preserve">Ponto forte</t>
  </si>
  <si>
    <t xml:space="preserve">Ponto de atenção</t>
  </si>
  <si>
    <t xml:space="preserve">◀ INÍCIO</t>
  </si>
  <si>
    <t xml:space="preserve">VER GRÁFICOS ▶</t>
  </si>
  <si>
    <t xml:space="preserve">VER MÊS A MÊS</t>
  </si>
  <si>
    <t xml:space="preserve">O QUE SIGNIFICA?</t>
  </si>
  <si>
    <t xml:space="preserve">GERAR RELATÓRIO</t>
  </si>
  <si>
    <t xml:space="preserve">MODO CONSULTOR</t>
  </si>
  <si>
    <t xml:space="preserve">   COMPARANDO AS ALTERNATIVAS</t>
  </si>
  <si>
    <t xml:space="preserve">   As mesmas premissas, o mesmo prazo, o mesmo valor — para a comparação ser justa</t>
  </si>
  <si>
    <t xml:space="preserve">  RESULTADO NO PRAZO ESCOLHIDO</t>
  </si>
  <si>
    <t xml:space="preserve">Patrimônio líquido</t>
  </si>
  <si>
    <t xml:space="preserve">Total investido</t>
  </si>
  <si>
    <t xml:space="preserve">Ganho líquido</t>
  </si>
  <si>
    <t xml:space="preserve">Impostos</t>
  </si>
  <si>
    <t xml:space="preserve">Custos</t>
  </si>
  <si>
    <t xml:space="preserve">Rent. acum.</t>
  </si>
  <si>
    <t xml:space="preserve">Taxa a.a.</t>
  </si>
  <si>
    <t xml:space="preserve">Ganho real a.a.</t>
  </si>
  <si>
    <t xml:space="preserve">Renda mensal</t>
  </si>
  <si>
    <t xml:space="preserve">Aderência ao objetivo</t>
  </si>
  <si>
    <t xml:space="preserve">Auxiliar (só as em uso)</t>
  </si>
  <si>
    <t xml:space="preserve">  O maior patrimônio aparece destacado apenas como informação. Maior patrimônio não significa melhor escolha: liquidez, risco e objetivo pesam tanto quanto o número.</t>
  </si>
  <si>
    <t xml:space="preserve">  EVOLUÇÃO ANO A ANO (base dos gráficos)</t>
  </si>
  <si>
    <t xml:space="preserve">Ano</t>
  </si>
  <si>
    <t xml:space="preserve">◀ CLIENTE</t>
  </si>
  <si>
    <t xml:space="preserve">VER DETALHES</t>
  </si>
  <si>
    <t xml:space="preserve">   MODO CONSULTOR</t>
  </si>
  <si>
    <t xml:space="preserve">   Premissas, taxas, tributação e a origem de cada número</t>
  </si>
  <si>
    <t xml:space="preserve">  PARÂMETROS DA SIMULAÇÃO</t>
  </si>
  <si>
    <t xml:space="preserve">Cenário de premissas</t>
  </si>
  <si>
    <t xml:space="preserve">Base</t>
  </si>
  <si>
    <t xml:space="preserve">Cenário não é promessa. É um conjunto de premissas escolhido por você.</t>
  </si>
  <si>
    <t xml:space="preserve">Data de início da simulação</t>
  </si>
  <si>
    <t xml:space="preserve">Define o mês do come-cotas e as datas de carência.</t>
  </si>
  <si>
    <t xml:space="preserve">Corrigir o aporte mensal pela inflação?</t>
  </si>
  <si>
    <t xml:space="preserve">Não</t>
  </si>
  <si>
    <t xml:space="preserve">Se Sim, o aporte cresce junto com o IPCA do cenário.</t>
  </si>
  <si>
    <t xml:space="preserve">Preencher as alternativas com a sugestão automática?</t>
  </si>
  <si>
    <t xml:space="preserve">Sim</t>
  </si>
  <si>
    <t xml:space="preserve">Se Sim, os seis lugares usam a ordem de aderência da aba Adequação.</t>
  </si>
  <si>
    <t xml:space="preserve">Reinvestir a restituição do PGBL?</t>
  </si>
  <si>
    <t xml:space="preserve">Se Sim, o benefício fiscal volta como aporte extra em maio de cada ano.</t>
  </si>
  <si>
    <t xml:space="preserve">Renda bruta anual tributável do cliente</t>
  </si>
  <si>
    <t xml:space="preserve">Base do limite de 12% de dedução do PGBL.</t>
  </si>
  <si>
    <t xml:space="preserve">Alíquota marginal do IRPF do cliente</t>
  </si>
  <si>
    <t xml:space="preserve">Quanto o cliente deixa de pagar sobre cada real deduzido.</t>
  </si>
  <si>
    <t xml:space="preserve">O cliente declara IR no modelo completo?</t>
  </si>
  <si>
    <t xml:space="preserve">Sem isso, o PGBL perde a razão de existir e o VGBL costuma ser o caminho.</t>
  </si>
  <si>
    <t xml:space="preserve">➜ Benefício fiscal anual do PGBL</t>
  </si>
  <si>
    <t xml:space="preserve">  ALTERNATIVAS EM COMPARAÇÃO</t>
  </si>
  <si>
    <t xml:space="preserve">Lugar</t>
  </si>
  <si>
    <t xml:space="preserve">Escolha manual</t>
  </si>
  <si>
    <t xml:space="preserve">Aderência da escolha</t>
  </si>
  <si>
    <t xml:space="preserve">Sugestão automática</t>
  </si>
  <si>
    <t xml:space="preserve">Nota</t>
  </si>
  <si>
    <t xml:space="preserve">EM USO NA SIMULAÇÃO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</si>
  <si>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</si>
  <si>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</si>
  <si>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</si>
  <si>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</si>
  <si>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</si>
  <si>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  PAINEL TÉCNICO — DE ONDE VEM CADA NÚMERO</t>
  </si>
  <si>
    <t xml:space="preserve">Parâmetro</t>
  </si>
  <si>
    <t xml:space="preserve">Produto</t>
  </si>
  <si>
    <t xml:space="preserve">Categoria</t>
  </si>
  <si>
    <t xml:space="preserve">Emissor / gestor</t>
  </si>
  <si>
    <t xml:space="preserve">Indexador</t>
  </si>
  <si>
    <t xml:space="preserve">% do indexador</t>
  </si>
  <si>
    <t xml:space="preserve">Spread contratado a.a.</t>
  </si>
  <si>
    <t xml:space="preserve">Retorno BRUTO a.a. no cenário</t>
  </si>
  <si>
    <t xml:space="preserve">Taxa de administração a.a.</t>
  </si>
  <si>
    <t xml:space="preserve">Custódia a.a.</t>
  </si>
  <si>
    <t xml:space="preserve">Taxa de performance</t>
  </si>
  <si>
    <t xml:space="preserve">Carregamento entrada / saída</t>
  </si>
  <si>
    <t xml:space="preserve">Retorno LÍQUIDO a.a. estimado</t>
  </si>
  <si>
    <t xml:space="preserve">Regime tributário</t>
  </si>
  <si>
    <t xml:space="preserve">Come-cotas</t>
  </si>
  <si>
    <t xml:space="preserve">Carência (dias)</t>
  </si>
  <si>
    <t xml:space="preserve">Liquidez após carência (dias)</t>
  </si>
  <si>
    <t xml:space="preserve">Aplicação mínima</t>
  </si>
  <si>
    <t xml:space="preserve">Risco (1-5)</t>
  </si>
  <si>
    <t xml:space="preserve">Volatilidade a.a.</t>
  </si>
  <si>
    <t xml:space="preserve">Garantia</t>
  </si>
  <si>
    <t xml:space="preserve">Alíquota de IR no prazo escolhido</t>
  </si>
  <si>
    <t xml:space="preserve">Imposto total pago no período</t>
  </si>
  <si>
    <t xml:space="preserve">Custos totais pagos no período</t>
  </si>
  <si>
    <t xml:space="preserve">Patrimônio líquido no prazo</t>
  </si>
  <si>
    <t xml:space="preserve">Status do dado</t>
  </si>
  <si>
    <t xml:space="preserve">Atualizado em</t>
  </si>
  <si>
    <t xml:space="preserve">Tipo de dado</t>
  </si>
  <si>
    <t xml:space="preserve">Fonte</t>
  </si>
  <si>
    <t xml:space="preserve">  CONFERÊNCIAS ANTES DE OFERECER</t>
  </si>
  <si>
    <t xml:space="preserve">  RESGATE ANTES DE 30 DIAS — IOF (a projeção mensal não cobre esse caso)</t>
  </si>
  <si>
    <t xml:space="preserve">Valor aplicado</t>
  </si>
  <si>
    <t xml:space="preserve">Rendimento bruto no período</t>
  </si>
  <si>
    <t xml:space="preserve">Dias de aplicação</t>
  </si>
  <si>
    <t xml:space="preserve">IOF (% do rendimento)</t>
  </si>
  <si>
    <t xml:space="preserve">Taxa do produto (% do CDI)</t>
  </si>
  <si>
    <t xml:space="preserve">IOF em reais</t>
  </si>
  <si>
    <t xml:space="preserve">IR (22,5% sobre o rendimento após IOF)</t>
  </si>
  <si>
    <t xml:space="preserve">Valor líquido resgatado</t>
  </si>
  <si>
    <t xml:space="preserve">  O IOF some a partir do 30º dia. O IR mostrado usa a alíquota máxima da tabela regressiva (22,5%), que é a que vale nos primeiros 180 dias.</t>
  </si>
  <si>
    <t xml:space="preserve">   PROJEÇÃO MÊS A MÊS</t>
  </si>
  <si>
    <t xml:space="preserve">   Cada linha mostra exatamente de onde veio cada número</t>
  </si>
  <si>
    <t xml:space="preserve">Alternativa em exibição</t>
  </si>
  <si>
    <t xml:space="preserve">COMPARAR</t>
  </si>
  <si>
    <t xml:space="preserve">(número do lugar escolhido — calculado)</t>
  </si>
  <si>
    <t xml:space="preserve">  As linhas depois do prazo escolhido aparecem esmaecidas: elas mostram o que aconteceria se o cliente deixasse o dinheiro por mais tempo.</t>
  </si>
  <si>
    <t xml:space="preserve">Mês</t>
  </si>
  <si>
    <t xml:space="preserve">Data</t>
  </si>
  <si>
    <t xml:space="preserve">Saldo inicial</t>
  </si>
  <si>
    <t xml:space="preserve">Rendimento bruto</t>
  </si>
  <si>
    <t xml:space="preserve">Aporte</t>
  </si>
  <si>
    <t xml:space="preserve">Imposto no mês</t>
  </si>
  <si>
    <t xml:space="preserve">Saldo final</t>
  </si>
  <si>
    <t xml:space="preserve">IR se resgatar agora</t>
  </si>
  <si>
    <t xml:space="preserve">Valor líquido no resgate</t>
  </si>
  <si>
    <t xml:space="preserve">Valor líquido em R$ de hoje</t>
  </si>
  <si>
    <t xml:space="preserve">Legenda</t>
  </si>
  <si>
    <t xml:space="preserve">Linha verde: o mês do prazo escolhido pelo cliente.</t>
  </si>
  <si>
    <t xml:space="preserve">Linha âmbar: mês em que houve come-cotas (maio e novembro).</t>
  </si>
  <si>
    <t xml:space="preserve">Linha cinza: já passou do prazo escolhido.</t>
  </si>
  <si>
    <t xml:space="preserve">   COMPRAR UM IMÓVEL PARA ALUGAR</t>
  </si>
  <si>
    <t xml:space="preserve">   A estratégia do Seu João: comparar aplicação financeira com casa para alugar</t>
  </si>
  <si>
    <t xml:space="preserve">  1 · A COMPRA</t>
  </si>
  <si>
    <t xml:space="preserve">Incluir o imóvel na comparação?</t>
  </si>
  <si>
    <t xml:space="preserve">Valor do imóvel</t>
  </si>
  <si>
    <t xml:space="preserve">ITBI (% do valor)</t>
  </si>
  <si>
    <t xml:space="preserve">Escritura e registro (% do valor)</t>
  </si>
  <si>
    <t xml:space="preserve">➜ Desembolso total para fechar a compra</t>
  </si>
  <si>
    <t xml:space="preserve">  2 · O ALUGUEL</t>
  </si>
  <si>
    <t xml:space="preserve">Como definir o aluguel?</t>
  </si>
  <si>
    <t xml:space="preserve">Informar o valor do aluguel</t>
  </si>
  <si>
    <t xml:space="preserve">Aluguel mensal, se você informar o valor</t>
  </si>
  <si>
    <t xml:space="preserve">➜ Aluguel usado na simulação</t>
  </si>
  <si>
    <t xml:space="preserve">Vacância — quanto do ano o imóvel fica sem inquilino</t>
  </si>
  <si>
    <t xml:space="preserve">8% equivale a cerca de um mês por ano vazio. Ignorar a vacância é o erro mais comum.</t>
  </si>
  <si>
    <t xml:space="preserve">Reajuste anual do aluguel</t>
  </si>
  <si>
    <t xml:space="preserve">  3 · O CUSTO DE MANTER</t>
  </si>
  <si>
    <t xml:space="preserve">IPTU (% do valor do imóvel por ano)</t>
  </si>
  <si>
    <t xml:space="preserve">IPTU e taxa de administração são dedutíveis no carnê-leão; manutenção não é. A planilha já trata os três de forma diferente.</t>
  </si>
  <si>
    <t xml:space="preserve">Manutenção e seguro (% do valor por ano)</t>
  </si>
  <si>
    <t xml:space="preserve">Administração imobiliária (% do aluguel)</t>
  </si>
  <si>
    <t xml:space="preserve">  4 · A VENDA NO FIM DO PRAZO</t>
  </si>
  <si>
    <t xml:space="preserve">Valorização anual do imóvel</t>
  </si>
  <si>
    <t xml:space="preserve">Há regras específicas de isenção — imóvel único de menor valor vendido a cada cinco anos, e compra de outro imóvel residencial em até 180 dias. Confirme o enquadramento antes de marcar Sim: essa escolha muda bastante o resultado final.</t>
  </si>
  <si>
    <t xml:space="preserve">Corretagem na venda (%)</t>
  </si>
  <si>
    <t xml:space="preserve">Tem isenção de imposto sobre o ganho na venda?</t>
  </si>
  <si>
    <t xml:space="preserve">  5 · O QUE O CLIENTE FAZ COM O ALUGUEL</t>
  </si>
  <si>
    <t xml:space="preserve">O aluguel vai ser reinvestido ou gasto?</t>
  </si>
  <si>
    <t xml:space="preserve">Reinvestir</t>
  </si>
  <si>
    <t xml:space="preserve">Se reinvestir, a que taxa ao ano?</t>
  </si>
  <si>
    <t xml:space="preserve">  RESULTADO DA ESTRATÉGIA IMOBILIÁRIA</t>
  </si>
  <si>
    <t xml:space="preserve">Patrimônio líquido no fim do prazo (vendendo o imóvel)</t>
  </si>
  <si>
    <t xml:space="preserve">Em poder de compra de hoje</t>
  </si>
  <si>
    <t xml:space="preserve">Total investido pelo cliente</t>
  </si>
  <si>
    <t xml:space="preserve">Impostos pagos (aluguel + caixa + ganho de capital)</t>
  </si>
  <si>
    <t xml:space="preserve">Custos pagos (aquisição, IPTU, manutenção, administração, vacância, corretagem)</t>
  </si>
  <si>
    <t xml:space="preserve">Rentabilidade líquida acumulada</t>
  </si>
  <si>
    <t xml:space="preserve">Taxa líquida equivalente a.a.</t>
  </si>
  <si>
    <t xml:space="preserve">Ganho real a.a. (acima da inflação)</t>
  </si>
  <si>
    <t xml:space="preserve">Aluguel líquido no último mês do prazo</t>
  </si>
  <si>
    <t xml:space="preserve">  ⚠  O imóvel é o único item da comparação que não é dinheiro. Ele não se divide, não se resgata em parte e depende de achar comprador. Isso não aparece em nenhum número — mas precisa aparecer na conversa.</t>
  </si>
  <si>
    <t xml:space="preserve">VER MÊS A MÊS DO IMÓVEL</t>
  </si>
  <si>
    <t xml:space="preserve">   PREVIDÊNCIA PRIVADA</t>
  </si>
  <si>
    <t xml:space="preserve">   PGBL ou VGBL, progressivo ou regressivo — e quanto vale, em reais, o benefício fiscal</t>
  </si>
  <si>
    <t xml:space="preserve">  1 · ESTE CLIENTE PODE APROVEITAR O PGBL?</t>
  </si>
  <si>
    <t xml:space="preserve">Declara o Imposto de Renda no modelo completo?</t>
  </si>
  <si>
    <t xml:space="preserve">Tem renda bruta anual tributável informada?</t>
  </si>
  <si>
    <t xml:space="preserve">Limite de dedução (12% da renda bruta anual)</t>
  </si>
  <si>
    <t xml:space="preserve">Aporte anual previsto em previdência</t>
  </si>
  <si>
    <t xml:space="preserve">Parcela do aporte que pode ser deduzida</t>
  </si>
  <si>
    <t xml:space="preserve">  2 · QUANTO VALE O BENEFÍCIO FISCAL AO LONGO DO TEMPO</t>
  </si>
  <si>
    <t xml:space="preserve">Benefício fiscal por ano</t>
  </si>
  <si>
    <t xml:space="preserve">A maior parte das simulações de previdência ignora o benefício fiscal ou finge que ele some. Aqui ele tem dois caminhos, escolhidos na aba Consultor: consumido (aparece como dinheiro no bolso) ou reinvestido (volta como aporte extra em maio de cada ano e passa a compor). A diferença entre os dois caminhos costuma ser a parte mais convincente da conversa.</t>
  </si>
  <si>
    <t xml:space="preserve">Benefício ao longo de todo o prazo</t>
  </si>
  <si>
    <t xml:space="preserve">Se reinvestido a cada ano, vira aproximadamente</t>
  </si>
  <si>
    <t xml:space="preserve">O benefício está sendo reinvestido na simulação?</t>
  </si>
  <si>
    <t xml:space="preserve">  3 · REGIME PROGRESSIVO OU REGRESSIVO?</t>
  </si>
  <si>
    <t xml:space="preserve">Tempo de aplicação</t>
  </si>
  <si>
    <t xml:space="preserve">Regressivo</t>
  </si>
  <si>
    <t xml:space="preserve">Progressivo (retido na fonte)</t>
  </si>
  <si>
    <t xml:space="preserve">Qual tende a ser melhor</t>
  </si>
  <si>
    <t xml:space="preserve">Observação</t>
  </si>
  <si>
    <t xml:space="preserve">Até 2 anos</t>
  </si>
  <si>
    <t xml:space="preserve">Resgate cedo no regressivo é caro: 35%.</t>
  </si>
  <si>
    <t xml:space="preserve">De 2 a 4 anos</t>
  </si>
  <si>
    <t xml:space="preserve">O progressivo faz o acerto na declaração: pode sobrar ou faltar imposto.</t>
  </si>
  <si>
    <t xml:space="preserve">De 4 a 6 anos</t>
  </si>
  <si>
    <t xml:space="preserve">A partir daqui o regressivo vai ficando mais barato.</t>
  </si>
  <si>
    <t xml:space="preserve">De 6 a 8 anos</t>
  </si>
  <si>
    <t xml:space="preserve">De 8 a 10 anos</t>
  </si>
  <si>
    <t xml:space="preserve">Acima de 10 anos</t>
  </si>
  <si>
    <t xml:space="preserve">Alíquota mínima de 10%: é aqui que a previdência de longo prazo brilha.</t>
  </si>
  <si>
    <t xml:space="preserve">  4 · OS PLANOS QUE ESTÃO NA COMPARAÇÃO</t>
  </si>
  <si>
    <t xml:space="preserve">  Para comparar PGBL e VGBL lado a lado, coloque um em cada lugar na aba Consultor (com a sugestão automática desligada). As colunas abaixo mostram só os lugares ocupados por previdência.</t>
  </si>
  <si>
    <t xml:space="preserve">Plano</t>
  </si>
  <si>
    <t xml:space="preserve">Tipo</t>
  </si>
  <si>
    <t xml:space="preserve">Regime</t>
  </si>
  <si>
    <t xml:space="preserve">Taxa adm.</t>
  </si>
  <si>
    <t xml:space="preserve">Carregamento</t>
  </si>
  <si>
    <t xml:space="preserve">IR no resgate</t>
  </si>
  <si>
    <t xml:space="preserve">  5 · A RENDA QUE ESSE PATRIMÔNIO PODE GERAR</t>
  </si>
  <si>
    <t xml:space="preserve">  Renda mensal estimada mantendo o patrimônio de pé — ou seja, vivendo do rendimento, sem consumir o principal. A segunda linha desconta a inflação: é o que o cliente realmente conseguirá comprar.</t>
  </si>
  <si>
    <t xml:space="preserve">Renda mensal em reais do futuro</t>
  </si>
  <si>
    <t xml:space="preserve">Renda mensal em poder de compra de hoje</t>
  </si>
  <si>
    <t xml:space="preserve">  ⚠  Previdência não tem cobertura do FGC: quem responde é a seguradora. Em compensação, o saldo não entra em inventário e vai direto para os beneficiários indicados — para muita gente esse é o motivo principal, e não a rentabilidade.</t>
  </si>
  <si>
    <t xml:space="preserve">◀ CONSULTOR</t>
  </si>
  <si>
    <t xml:space="preserve">   RESUMO DA SUA SIMULAÇÃO</t>
  </si>
  <si>
    <t xml:space="preserve">  O QUE FOI CONSIDERADO</t>
  </si>
  <si>
    <t xml:space="preserve">Valor investido hoje</t>
  </si>
  <si>
    <t xml:space="preserve">Aporte mensal</t>
  </si>
  <si>
    <t xml:space="preserve">Prazo</t>
  </si>
  <si>
    <t xml:space="preserve">Pode precisar retirar antes</t>
  </si>
  <si>
    <t xml:space="preserve">O que é mais importante</t>
  </si>
  <si>
    <t xml:space="preserve">Perfil de investidor</t>
  </si>
  <si>
    <t xml:space="preserve">Inflação considerada (a.a.)</t>
  </si>
  <si>
    <t xml:space="preserve">  AS ALTERNATIVAS ANALISADAS</t>
  </si>
  <si>
    <t xml:space="preserve">  O QUE MUDA DE UMA PARA A OUTRA</t>
  </si>
  <si>
    <t xml:space="preserve">  COMO O PATRIMÔNIO PODE EVOLUIR</t>
  </si>
  <si>
    <t xml:space="preserve">  AVISOS IMPORTANTES</t>
  </si>
  <si>
    <t xml:space="preserve">•  Simulação baseada nas informações e premissas registradas nesta planilha. Os resultados reais podem ser diferentes. Rentabilidade passada não é garantia de rentabilidade futura e nenhum número aqui representa promessa de retorno.</t>
  </si>
  <si>
    <t xml:space="preserve">•  Ferramenta de apoio à conversa, de uso do profissional. Não é peça oficial de oferta e não substitui a lâmina, o regulamento, o prospecto do produto nem o questionário oficial de perfil (suitability).</t>
  </si>
  <si>
    <t xml:space="preserve">•  Rentabilidade passada não é garantia de rentabilidade futura. Os cenários são premissas escolhidas pelo profissional para mostrar uma faixa de resultados possíveis — não são previsão nem promessa.</t>
  </si>
  <si>
    <t xml:space="preserve">•  Os valores de imposto e de custos são estimativas calculadas com as regras registradas na planilha na data indicada. Mudanças de legislação alteram o resultado.</t>
  </si>
  <si>
    <t xml:space="preserve">•  Produtos de renda variável e fundos podem apresentar rentabilidade negativa. A oscilação indicada descreve o comportamento esperado, não um limite de perda.</t>
  </si>
  <si>
    <t xml:space="preserve">  Para entregar ao cliente: Arquivo ▸ Exportar / Salvar como PDF. A área de impressão já está configurada em uma página A4.</t>
  </si>
  <si>
    <t xml:space="preserve">   ADERÊNCIA AO OBJETIVO DO CLIENTE</t>
  </si>
  <si>
    <t xml:space="preserve">   Camada de cálculo — mede ENCAIXE, não rentabilidade</t>
  </si>
  <si>
    <t xml:space="preserve">  O QUE ESTA ABA FAZ (E O QUE ELA NÃO FAZ)</t>
  </si>
  <si>
    <t xml:space="preserve">  Esta aba NÃO responde 'qual investimento rende mais'. Ela responde 'quais alternativas conversam com o objetivo, o prazo, a necessidade de liquidez, o perfil e a prioridade DESTE cliente'. O retorno estimado aparece só na última coluna, como informação — ele não entra na nota. Dois produtos com a mesma nota podem render muito diferente, e isso é proposital: a escolha final é do cliente com o consultor.</t>
  </si>
  <si>
    <t xml:space="preserve">Pesos em uso
(vêm da prioridade escolhida)</t>
  </si>
  <si>
    <t xml:space="preserve">Liquidez</t>
  </si>
  <si>
    <t xml:space="preserve">Prioridade</t>
  </si>
  <si>
    <t xml:space="preserve">Custo/imposto</t>
  </si>
  <si>
    <t xml:space="preserve">ID</t>
  </si>
  <si>
    <t xml:space="preserve">Risco</t>
  </si>
  <si>
    <t xml:space="preserve">Liquidez (dias)</t>
  </si>
  <si>
    <t xml:space="preserve">Ativo</t>
  </si>
  <si>
    <t xml:space="preserve">Passa no valor mínimo</t>
  </si>
  <si>
    <t xml:space="preserve">Passa no perfil</t>
  </si>
  <si>
    <t xml:space="preserve">Nota de prazo</t>
  </si>
  <si>
    <t xml:space="preserve">Nota de liquidez</t>
  </si>
  <si>
    <t xml:space="preserve">Nota de prioridade</t>
  </si>
  <si>
    <t xml:space="preserve">Nota de custo e imposto</t>
  </si>
  <si>
    <t xml:space="preserve">ADERÊNCIA (0-100)</t>
  </si>
  <si>
    <t xml:space="preserve">Chave de ordenação</t>
  </si>
  <si>
    <t xml:space="preserve">Classificação</t>
  </si>
  <si>
    <t xml:space="preserve">Por que pode fazer sentido</t>
  </si>
  <si>
    <t xml:space="preserve">Retorno bruto a.a. estimado</t>
  </si>
  <si>
    <t xml:space="preserve">Volatilidade</t>
  </si>
  <si>
    <t xml:space="preserve">  ORDEM DE ADERÊNCIA — o que a planilha sugere colocar na comparação</t>
  </si>
  <si>
    <t xml:space="preserve">Posição</t>
  </si>
  <si>
    <t xml:space="preserve">Produto sugerido</t>
  </si>
  <si>
    <t xml:space="preserve">Aderência</t>
  </si>
  <si>
    <t xml:space="preserve">Por que</t>
  </si>
  <si>
    <t xml:space="preserve">  PESOS POR PRIORIDADE DO CLIENTE (edite aqui para calibrar a sugestão)</t>
  </si>
  <si>
    <t xml:space="preserve">Prioridade declarada pelo cliente</t>
  </si>
  <si>
    <t xml:space="preserve">Peso do prazo</t>
  </si>
  <si>
    <t xml:space="preserve">Peso da liquidez</t>
  </si>
  <si>
    <t xml:space="preserve">Peso da prioridade</t>
  </si>
  <si>
    <t xml:space="preserve">Peso do custo/imposto</t>
  </si>
  <si>
    <t xml:space="preserve">Segurança acima de tudo</t>
  </si>
  <si>
    <t xml:space="preserve">Rentabilidade, aceitando oscilação</t>
  </si>
  <si>
    <t xml:space="preserve">Poder retirar a qualquer momento</t>
  </si>
  <si>
    <t xml:space="preserve">  NOTA DE PRIORIDADE POR NÍVEL DE RISCO (0 a 100)</t>
  </si>
  <si>
    <t xml:space="preserve">Risco 1</t>
  </si>
  <si>
    <t xml:space="preserve">Risco 2</t>
  </si>
  <si>
    <t xml:space="preserve">Risco 3</t>
  </si>
  <si>
    <t xml:space="preserve">Risco 4</t>
  </si>
  <si>
    <t xml:space="preserve">Risco 5</t>
  </si>
  <si>
    <t xml:space="preserve">   MOTOR DE SIMULAÇÃO</t>
  </si>
  <si>
    <t xml:space="preserve">   Camada de cálculo — nenhuma célula desta aba é digitada; tudo vem de Produtos, Premissas e das respostas do cliente</t>
  </si>
  <si>
    <t xml:space="preserve">  BLOCO 1 · PARÂMETROS RESOLVIDOS DE CADA ALTERNATIVA</t>
  </si>
  <si>
    <t xml:space="preserve">ALTERNATIVA A</t>
  </si>
  <si>
    <t xml:space="preserve">ALTERNATIVA B</t>
  </si>
  <si>
    <t xml:space="preserve">ALTERNATIVA C</t>
  </si>
  <si>
    <t xml:space="preserve">ALTERNATIVA D</t>
  </si>
  <si>
    <t xml:space="preserve">ALTERNATIVA E</t>
  </si>
  <si>
    <t xml:space="preserve">ALTERNATIVA F</t>
  </si>
  <si>
    <t xml:space="preserve">Produto selecionado</t>
  </si>
  <si>
    <t xml:space="preserve">Linha na base de produtos</t>
  </si>
  <si>
    <t xml:space="preserve">Alternativa em uso (1/0)</t>
  </si>
  <si>
    <t xml:space="preserve">Emissor / Gestor</t>
  </si>
  <si>
    <t xml:space="preserve">Benchmark</t>
  </si>
  <si>
    <t xml:space="preserve">% do benchmark</t>
  </si>
  <si>
    <t xml:space="preserve">Spread a.a.</t>
  </si>
  <si>
    <t xml:space="preserve">Composição</t>
  </si>
  <si>
    <t xml:space="preserve">Retorno a.a. do benchmark puro</t>
  </si>
  <si>
    <t xml:space="preserve">Retorno BRUTO a.a. (cenário)</t>
  </si>
  <si>
    <t xml:space="preserve">Taxa mensal do benchmark</t>
  </si>
  <si>
    <t xml:space="preserve">Taxa mensal bruta</t>
  </si>
  <si>
    <t xml:space="preserve">Custos mensais (adm + custódia)</t>
  </si>
  <si>
    <t xml:space="preserve">Carregamento de entrada</t>
  </si>
  <si>
    <t xml:space="preserve">Carregamento de saída</t>
  </si>
  <si>
    <t xml:space="preserve">Base tributável (1=rend. / 2=total)</t>
  </si>
  <si>
    <t xml:space="preserve">Tem come-cotas (1/0)</t>
  </si>
  <si>
    <t xml:space="preserve">Alíquota do come-cotas</t>
  </si>
  <si>
    <t xml:space="preserve">É PGBL (aporte dedutível)</t>
  </si>
  <si>
    <t xml:space="preserve">  BLOCO 2 · RESULTADOS NO PRAZO ESCOLHIDO PELO CLIENTE</t>
  </si>
  <si>
    <t xml:space="preserve">Resultado</t>
  </si>
  <si>
    <t xml:space="preserve">Patrimônio bruto no prazo</t>
  </si>
  <si>
    <t xml:space="preserve">Patrimônio líquido na metade do prazo</t>
  </si>
  <si>
    <t xml:space="preserve">Patrimônio líquido em R$ de hoje</t>
  </si>
  <si>
    <t xml:space="preserve">Total investido (capital + aportes)</t>
  </si>
  <si>
    <t xml:space="preserve">Imposto total pago</t>
  </si>
  <si>
    <t xml:space="preserve">Custos totais pagos</t>
  </si>
  <si>
    <t xml:space="preserve">Renda mensal potencial (nominal)</t>
  </si>
  <si>
    <t xml:space="preserve">Renda mensal potencial (poder de compra)</t>
  </si>
  <si>
    <t xml:space="preserve">Pode retirar a partir de</t>
  </si>
  <si>
    <t xml:space="preserve">Atende à aplicação mínima (1/0)</t>
  </si>
  <si>
    <t xml:space="preserve">Cabe no perfil declarado (1/0)</t>
  </si>
  <si>
    <t xml:space="preserve">Para retirar (linguagem de cliente)</t>
  </si>
  <si>
    <t xml:space="preserve">Oscilação (linguagem de cliente)</t>
  </si>
  <si>
    <t xml:space="preserve">  BLOCO 3 · PROJEÇÃO MÊS A MÊS</t>
  </si>
  <si>
    <t xml:space="preserve">Dias</t>
  </si>
  <si>
    <t xml:space="preserve">Fator inflação</t>
  </si>
  <si>
    <t xml:space="preserve">Aporte do mês</t>
  </si>
  <si>
    <t xml:space="preserve">Custo de entrada</t>
  </si>
  <si>
    <t xml:space="preserve">Taxa de administração</t>
  </si>
  <si>
    <t xml:space="preserve">Come-cotas (IR)</t>
  </si>
  <si>
    <t xml:space="preserve">Total aportado (base fiscal)</t>
  </si>
  <si>
    <t xml:space="preserve">Come-cotas acumulado</t>
  </si>
  <si>
    <t xml:space="preserve">Ganho tributável</t>
  </si>
  <si>
    <t xml:space="preserve">Valor líquido se resgatar</t>
  </si>
  <si>
    <t xml:space="preserve">   MOTOR — IMÓVEL PARA ALUGUEL</t>
  </si>
  <si>
    <t xml:space="preserve">   Camada de cálculo. O imóvel tem mecânica própria (aluguel, vacância, IPTU, manutenção, custos de compra e de venda), por isso não usa o motor financeiro.</t>
  </si>
  <si>
    <t xml:space="preserve">  BLOCO 1 · PARÂMETROS RESOLVIDOS</t>
  </si>
  <si>
    <t xml:space="preserve">◀ ABA IMÓVEL</t>
  </si>
  <si>
    <t xml:space="preserve">Entra na comparação (1/0)</t>
  </si>
  <si>
    <t xml:space="preserve">ITBI (%)</t>
  </si>
  <si>
    <t xml:space="preserve">Escritura e registro (%)</t>
  </si>
  <si>
    <t xml:space="preserve">Custos de aquisição (R$)</t>
  </si>
  <si>
    <t xml:space="preserve">Desembolso total na compra</t>
  </si>
  <si>
    <t xml:space="preserve">Capital disponível do cliente</t>
  </si>
  <si>
    <t xml:space="preserve">Sobra (+) ou falta (−) de caixa</t>
  </si>
  <si>
    <t xml:space="preserve">Negativo = o cliente precisa de mais dinheiro do que tem para fechar a compra. A comparação só é justa quando esse valor é maior ou igual a zero.</t>
  </si>
  <si>
    <t xml:space="preserve">Aluguel mensal inicial</t>
  </si>
  <si>
    <t xml:space="preserve">Vem do valor informado na aba Imóvel ou do yield de aluguel da aba Premissas.</t>
  </si>
  <si>
    <t xml:space="preserve">Vacância (% do ano)</t>
  </si>
  <si>
    <t xml:space="preserve">Reajuste mensal do aluguel</t>
  </si>
  <si>
    <t xml:space="preserve">IPTU (% a.a. do valor)</t>
  </si>
  <si>
    <t xml:space="preserve">Manutenção e seguro (% a.a. do valor)</t>
  </si>
  <si>
    <t xml:space="preserve">Valorização mensal do imóvel</t>
  </si>
  <si>
    <t xml:space="preserve">Isenção de ganho de capital (1/0)</t>
  </si>
  <si>
    <t xml:space="preserve">Destino do aluguel</t>
  </si>
  <si>
    <t xml:space="preserve">Reinveste o aluguel (1/0)</t>
  </si>
  <si>
    <t xml:space="preserve">Rendimento do caixa a.a.</t>
  </si>
  <si>
    <t xml:space="preserve">Rendimento do caixa mensal</t>
  </si>
  <si>
    <t xml:space="preserve">IPCA do cenário (a.a.)</t>
  </si>
  <si>
    <t xml:space="preserve">IPCA mensal</t>
  </si>
  <si>
    <t xml:space="preserve">Custo de aquisição para ganho de capital</t>
  </si>
  <si>
    <t xml:space="preserve">  BLOCO 2 · RESULTADOS NO PRAZO ESCOLHIDO</t>
  </si>
  <si>
    <t xml:space="preserve">IMÓVEL PARA ALUGUEL</t>
  </si>
  <si>
    <t xml:space="preserve">  BLOCO 3 · PROJEÇÃO MÊS A MÊS DO IMÓVEL</t>
  </si>
  <si>
    <t xml:space="preserve">Valor de mercado do imóvel</t>
  </si>
  <si>
    <t xml:space="preserve">Aluguel contratado</t>
  </si>
  <si>
    <t xml:space="preserve">Perda por vacância</t>
  </si>
  <si>
    <t xml:space="preserve">Aluguel recebido</t>
  </si>
  <si>
    <t xml:space="preserve">IPTU</t>
  </si>
  <si>
    <t xml:space="preserve">Administração imobiliária</t>
  </si>
  <si>
    <t xml:space="preserve">Manutenção e seguro</t>
  </si>
  <si>
    <t xml:space="preserve">Base do carnê-leão</t>
  </si>
  <si>
    <t xml:space="preserve">IR sobre o aluguel</t>
  </si>
  <si>
    <t xml:space="preserve">Aluguel líquido</t>
  </si>
  <si>
    <t xml:space="preserve">Aporte do cliente</t>
  </si>
  <si>
    <t xml:space="preserve">Aluguel reinvestido</t>
  </si>
  <si>
    <t xml:space="preserve">Rendimento do caixa</t>
  </si>
  <si>
    <t xml:space="preserve">Saldo do caixa</t>
  </si>
  <si>
    <t xml:space="preserve">Total aportado no caixa</t>
  </si>
  <si>
    <t xml:space="preserve">IR sobre o caixa</t>
  </si>
  <si>
    <t xml:space="preserve">Custo de venda</t>
  </si>
  <si>
    <t xml:space="preserve">IR sobre ganho de capital</t>
  </si>
  <si>
    <t xml:space="preserve">Patrimônio líquido (se vender)</t>
  </si>
  <si>
    <t xml:space="preserve">Patrimônio em R$ de hoje</t>
  </si>
  <si>
    <t xml:space="preserve">Renda mensal disponível</t>
  </si>
  <si>
    <t xml:space="preserve">   BASE DE PRODUTOS</t>
  </si>
  <si>
    <t xml:space="preserve">   Camada de dados — altere aqui sem mexer em nenhuma fórmula</t>
  </si>
  <si>
    <t xml:space="preserve">  COMO USAR ESTA BASE</t>
  </si>
  <si>
    <t xml:space="preserve">  Cada linha é um produto. Para cadastrar um novo, copie a linha ZZ99 (a última, marcada como EXEMPLO), cole em uma linha vazia abaixo e ajuste os campos. O produto passa a aparecer automaticamente nas listas de escolha da aba Consultor. Preencha a coluna Ativo com SIM para colocá-lo em uso.</t>
  </si>
  <si>
    <t xml:space="preserve">  Legenda de cores da planilha inteira:  texto AZUL = valor digitado por você  ·  texto PRETO = cálculo da própria aba  ·  texto VERDE = valor que vem de outra aba  ·  fundo AMARELO = célula que você deve preencher.</t>
  </si>
  <si>
    <t xml:space="preserve">  ⚠  As taxas abaixo nascem como REFERÊNCIA. Antes de usar em atendimento, confirme produto a produto na fonte oficial (lâmina, regulamento, tabela de taxas vigente) e mude a coluna Status para VERIFICADO.</t>
  </si>
  <si>
    <t xml:space="preserve">Nome do produto</t>
  </si>
  <si>
    <t xml:space="preserve">Taxa adm. a.a.</t>
  </si>
  <si>
    <t xml:space="preserve">Taxa perf. (%)</t>
  </si>
  <si>
    <t xml:space="preserve">Carreg. entrada</t>
  </si>
  <si>
    <t xml:space="preserve">Carreg. saída</t>
  </si>
  <si>
    <t xml:space="preserve">Base tributável</t>
  </si>
  <si>
    <t xml:space="preserve">Aporte mín. mensal</t>
  </si>
  <si>
    <t xml:space="preserve">Rent. 12m (obs.)</t>
  </si>
  <si>
    <t xml:space="preserve">Rent. 36m a.a. (obs.)</t>
  </si>
  <si>
    <t xml:space="preserve">Status</t>
  </si>
  <si>
    <t xml:space="preserve">Observações</t>
  </si>
  <si>
    <t xml:space="preserve">RF01</t>
  </si>
  <si>
    <t xml:space="preserve">Poupança</t>
  </si>
  <si>
    <t xml:space="preserve">Renda Fixa</t>
  </si>
  <si>
    <t xml:space="preserve">CAIXA</t>
  </si>
  <si>
    <t xml:space="preserve">POUP</t>
  </si>
  <si>
    <t xml:space="preserve">SOMA</t>
  </si>
  <si>
    <t xml:space="preserve">ISENTO</t>
  </si>
  <si>
    <t xml:space="preserve">FGC até R$ 250 mil</t>
  </si>
  <si>
    <t xml:space="preserve">2026-08-23</t>
  </si>
  <si>
    <t xml:space="preserve">Lei 12.703/2012 — regra de remuneração</t>
  </si>
  <si>
    <t xml:space="preserve">Calculado</t>
  </si>
  <si>
    <t xml:space="preserve">VERIFICADO</t>
  </si>
  <si>
    <t xml:space="preserve">Só remunera na data de aniversário mensal: saque antes do aniversário perde o rendimento do mês.</t>
  </si>
  <si>
    <t xml:space="preserve">SIM</t>
  </si>
  <si>
    <t xml:space="preserve">RF02</t>
  </si>
  <si>
    <t xml:space="preserve">CDB CAIXA Liquidez Diária</t>
  </si>
  <si>
    <t xml:space="preserve">CDI</t>
  </si>
  <si>
    <t xml:space="preserve">RF_REGR</t>
  </si>
  <si>
    <t xml:space="preserve">Tabela de taxas da agência</t>
  </si>
  <si>
    <t xml:space="preserve">Cadastral</t>
  </si>
  <si>
    <t xml:space="preserve">EXEMPLO — VERIFICAR</t>
  </si>
  <si>
    <t xml:space="preserve">Resgate no mesmo dia. IOF nos 30 primeiros dias.</t>
  </si>
  <si>
    <t xml:space="preserve">RF03</t>
  </si>
  <si>
    <t xml:space="preserve">CDB CAIXA 12 meses</t>
  </si>
  <si>
    <t xml:space="preserve">Sem liquidez antes do vencimento.</t>
  </si>
  <si>
    <t xml:space="preserve">RF04</t>
  </si>
  <si>
    <t xml:space="preserve">CDB CAIXA 24 meses</t>
  </si>
  <si>
    <t xml:space="preserve">No vencimento cai na menor alíquota de IR (15%).</t>
  </si>
  <si>
    <t xml:space="preserve">RF05</t>
  </si>
  <si>
    <t xml:space="preserve">CDB CAIXA 60 meses</t>
  </si>
  <si>
    <t xml:space="preserve">Prazo longo em troca de taxa maior. Avaliar necessidade de liquidez.</t>
  </si>
  <si>
    <t xml:space="preserve">RF06</t>
  </si>
  <si>
    <t xml:space="preserve">LCI CAIXA 12 meses</t>
  </si>
  <si>
    <t xml:space="preserve">Tabela de taxas da agência + CMN (prazo mínimo)</t>
  </si>
  <si>
    <t xml:space="preserve">Isenta de IR para pessoa física. Confirmar o prazo mínimo de carência vigente.</t>
  </si>
  <si>
    <t xml:space="preserve">RF07</t>
  </si>
  <si>
    <t xml:space="preserve">LCA CAIXA 12 meses</t>
  </si>
  <si>
    <t xml:space="preserve">RF08</t>
  </si>
  <si>
    <t xml:space="preserve">Tesouro Selic 2031</t>
  </si>
  <si>
    <t xml:space="preserve">Tesouro Nacional</t>
  </si>
  <si>
    <t xml:space="preserve">SELIC</t>
  </si>
  <si>
    <t xml:space="preserve">Tesouro Transparente — taxas dos títulos</t>
  </si>
  <si>
    <t xml:space="preserve">Diário (D+1)</t>
  </si>
  <si>
    <t xml:space="preserve">Custódia B3 de 0,20% a.a.; verificar a isenção vigente para saldos menores.</t>
  </si>
  <si>
    <t xml:space="preserve">RF09</t>
  </si>
  <si>
    <t xml:space="preserve">Tesouro IPCA+ 2035</t>
  </si>
  <si>
    <t xml:space="preserve">IPCA</t>
  </si>
  <si>
    <t xml:space="preserve">MULT</t>
  </si>
  <si>
    <t xml:space="preserve">Protege da inflação se levado até o vencimento. Antes disso o preço oscila (marcação a mercado).</t>
  </si>
  <si>
    <t xml:space="preserve">RF10</t>
  </si>
  <si>
    <t xml:space="preserve">Tesouro Prefixado 2031</t>
  </si>
  <si>
    <t xml:space="preserve">PRE</t>
  </si>
  <si>
    <t xml:space="preserve">Taxa travada na contratação: não muda se a Selic subir ou cair.</t>
  </si>
  <si>
    <t xml:space="preserve">FU01</t>
  </si>
  <si>
    <t xml:space="preserve">Fundo CAIXA RF Simples</t>
  </si>
  <si>
    <t xml:space="preserve">Fundo</t>
  </si>
  <si>
    <t xml:space="preserve">CAIXA Asset</t>
  </si>
  <si>
    <t xml:space="preserve">FUNDO_LP</t>
  </si>
  <si>
    <t xml:space="preserve">Sem garantia do FGC</t>
  </si>
  <si>
    <t xml:space="preserve">CAIXA Asset — portfólio de fundos (lâmina)</t>
  </si>
  <si>
    <t xml:space="preserve">Porta de entrada, aplicação mínima baixa.</t>
  </si>
  <si>
    <t xml:space="preserve">FU02</t>
  </si>
  <si>
    <t xml:space="preserve">Fundo CAIXA RF Referenciado DI LP</t>
  </si>
  <si>
    <t xml:space="preserve">Resgate no mesmo dia. Sofre come-cotas em maio e novembro.</t>
  </si>
  <si>
    <t xml:space="preserve">FU03</t>
  </si>
  <si>
    <t xml:space="preserve">Fundo CAIXA RF Crédito Privado LP</t>
  </si>
  <si>
    <t xml:space="preserve">Rende mais que o DI puro, mas assume risco de crédito das empresas.</t>
  </si>
  <si>
    <t xml:space="preserve">FU04</t>
  </si>
  <si>
    <t xml:space="preserve">Fundo CAIXA RF IPCA Longo Prazo</t>
  </si>
  <si>
    <t xml:space="preserve">Oscila bastante no curto prazo. Indicado para prazos longos.</t>
  </si>
  <si>
    <t xml:space="preserve">FU05</t>
  </si>
  <si>
    <t xml:space="preserve">Fundo CAIXA Multimercado</t>
  </si>
  <si>
    <t xml:space="preserve">Taxa de performance de 20% sobre o que exceder o CDI. Resgate em cerca de 30 dias.</t>
  </si>
  <si>
    <t xml:space="preserve">FU06</t>
  </si>
  <si>
    <t xml:space="preserve">Fundo CAIXA Ações Ibovespa</t>
  </si>
  <si>
    <t xml:space="preserve">IBOV</t>
  </si>
  <si>
    <t xml:space="preserve">FUNDO_ACOES</t>
  </si>
  <si>
    <t xml:space="preserve">15% de IR só no resgate, sem come-cotas. Pode ficar anos no negativo.</t>
  </si>
  <si>
    <t xml:space="preserve">FU07</t>
  </si>
  <si>
    <t xml:space="preserve">Fundo CAIXA Ações Dividendos</t>
  </si>
  <si>
    <t xml:space="preserve">Foco em empresas pagadoras de dividendos. Oscila menos que o Ibovespa, mas ainda é renda variável.</t>
  </si>
  <si>
    <t xml:space="preserve">FU08</t>
  </si>
  <si>
    <t xml:space="preserve">Fundo CAIXA Cambial Dólar</t>
  </si>
  <si>
    <t xml:space="preserve">CAMBIO</t>
  </si>
  <si>
    <t xml:space="preserve">FUNDO_CP</t>
  </si>
  <si>
    <t xml:space="preserve">Serve para proteção (viagem, despesa em dólar), não para render mais.</t>
  </si>
  <si>
    <t xml:space="preserve">PR01</t>
  </si>
  <si>
    <t xml:space="preserve">PGBL CAIXA RF — Regressivo</t>
  </si>
  <si>
    <t xml:space="preserve">Previdência</t>
  </si>
  <si>
    <t xml:space="preserve">CAIXA Vida e Previdência</t>
  </si>
  <si>
    <t xml:space="preserve">PREV_REGR</t>
  </si>
  <si>
    <t xml:space="preserve">Seguradora (sem FGC)</t>
  </si>
  <si>
    <t xml:space="preserve">Regulamento do plano + tabela de taxas</t>
  </si>
  <si>
    <t xml:space="preserve">Só vale para quem declara IR no modelo COMPLETO. Na saída o IR incide sobre o VALOR TOTAL.</t>
  </si>
  <si>
    <t xml:space="preserve">PR02</t>
  </si>
  <si>
    <t xml:space="preserve">PGBL CAIXA RF — Progressivo</t>
  </si>
  <si>
    <t xml:space="preserve">PREV_PROG</t>
  </si>
  <si>
    <t xml:space="preserve">Indicado quando há previsão de resgate/renda em faixa de IR baixa ou isenta.</t>
  </si>
  <si>
    <t xml:space="preserve">PR03</t>
  </si>
  <si>
    <t xml:space="preserve">VGBL CAIXA RF — Regressivo</t>
  </si>
  <si>
    <t xml:space="preserve">Para quem declara SIMPLIFICADO ou é isento. IR só sobre o rendimento.</t>
  </si>
  <si>
    <t xml:space="preserve">PR04</t>
  </si>
  <si>
    <t xml:space="preserve">PGBL CAIXA Composto 30 — Regressivo</t>
  </si>
  <si>
    <t xml:space="preserve">Até 30% em renda variável. Prazo longo dilui a oscilação.</t>
  </si>
  <si>
    <t xml:space="preserve">PR05</t>
  </si>
  <si>
    <t xml:space="preserve">VGBL CAIXA Composto 30 — Regressivo</t>
  </si>
  <si>
    <t xml:space="preserve">Sucessão sem inventário é um diferencial relevante deste produto.</t>
  </si>
  <si>
    <t xml:space="preserve">IM01</t>
  </si>
  <si>
    <t xml:space="preserve">Imóvel para aluguel</t>
  </si>
  <si>
    <t xml:space="preserve">Imobiliário</t>
  </si>
  <si>
    <t xml:space="preserve">Mercado</t>
  </si>
  <si>
    <t xml:space="preserve">IMOB_VAL</t>
  </si>
  <si>
    <t xml:space="preserve">IMOVEL</t>
  </si>
  <si>
    <t xml:space="preserve">Nenhuma</t>
  </si>
  <si>
    <t xml:space="preserve">Premissas da aba Imóvel — FipeZAP como referência</t>
  </si>
  <si>
    <t xml:space="preserve">Mensal (com defasagem)</t>
  </si>
  <si>
    <t xml:space="preserve">Calculado na aba Imóvel (motor próprio: aluguel, vacância, IPTU, manutenção, custos de compra e venda).</t>
  </si>
  <si>
    <t xml:space="preserve">ZZ99</t>
  </si>
  <si>
    <t xml:space="preserve">► EXEMPLO — copie esta linha para cadastrar um produto novo</t>
  </si>
  <si>
    <t xml:space="preserve">Emissor XYZ</t>
  </si>
  <si>
    <t xml:space="preserve">Onde você conferiu o dado</t>
  </si>
  <si>
    <t xml:space="preserve">Deixe a coluna Ativo como NÃO enquanto estiver preenchendo.</t>
  </si>
  <si>
    <t xml:space="preserve">NÃO</t>
  </si>
  <si>
    <t xml:space="preserve">   PREMISSAS E PARÂMETROS DE CÁLCULO</t>
  </si>
  <si>
    <t xml:space="preserve">   Camada de dados — tudo que o motor usa está aqui, nada está escondido em fórmula</t>
  </si>
  <si>
    <t xml:space="preserve">Atualizado por</t>
  </si>
  <si>
    <t xml:space="preserve">  1 · INDICADORES MACROECONÔMICOS  (% ao ano)</t>
  </si>
  <si>
    <t xml:space="preserve">Indicador</t>
  </si>
  <si>
    <t xml:space="preserve">Código</t>
  </si>
  <si>
    <t xml:space="preserve">Conservador</t>
  </si>
  <si>
    <t xml:space="preserve">Otimista</t>
  </si>
  <si>
    <t xml:space="preserve">No cenário em uso</t>
  </si>
  <si>
    <t xml:space="preserve">Taxa Selic (meta)</t>
  </si>
  <si>
    <t xml:space="preserve">Banco Central — SGS série 432</t>
  </si>
  <si>
    <t xml:space="preserve">CDI acumulado</t>
  </si>
  <si>
    <t xml:space="preserve">Banco Central — SGS série 4389</t>
  </si>
  <si>
    <t xml:space="preserve">Calculado: Selic − 0,10 p.p.</t>
  </si>
  <si>
    <t xml:space="preserve">IPCA (inflação)</t>
  </si>
  <si>
    <t xml:space="preserve">IBGE via BCB — SGS série 433</t>
  </si>
  <si>
    <t xml:space="preserve">Taxa Referencial</t>
  </si>
  <si>
    <t xml:space="preserve">TR</t>
  </si>
  <si>
    <t xml:space="preserve">Banco Central — SGS série 226</t>
  </si>
  <si>
    <t xml:space="preserve">Mensal</t>
  </si>
  <si>
    <t xml:space="preserve">Poupança (regra vigente)</t>
  </si>
  <si>
    <t xml:space="preserve">Lei 12.703/2012 — calculado a partir da Selic e da TR</t>
  </si>
  <si>
    <t xml:space="preserve">Calculado: se Selic &gt; 8,5% a.a. → 0,5% a.m. + TR; senão 70% da Selic + TR</t>
  </si>
  <si>
    <t xml:space="preserve">Prefixado (base zero)</t>
  </si>
  <si>
    <t xml:space="preserve">A taxa do prefixado vem do campo Spread do produto</t>
  </si>
  <si>
    <t xml:space="preserve">Bolsa / Ibovespa</t>
  </si>
  <si>
    <t xml:space="preserve">Premissa do consultor — B3 (histórico)</t>
  </si>
  <si>
    <t xml:space="preserve">Premissa</t>
  </si>
  <si>
    <t xml:space="preserve">Dólar</t>
  </si>
  <si>
    <t xml:space="preserve">Premissa do consultor — BCB PTAX (histórico)</t>
  </si>
  <si>
    <t xml:space="preserve">Valorização imobiliária</t>
  </si>
  <si>
    <t xml:space="preserve">Premissa do consultor — Índice FipeZAP (histórico)</t>
  </si>
  <si>
    <t xml:space="preserve">Aluguel bruto (% do valor/ano)</t>
  </si>
  <si>
    <t xml:space="preserve">IMOB_YLD</t>
  </si>
  <si>
    <t xml:space="preserve">Premissa do consultor — FipeZAP aluguel (histórico)</t>
  </si>
  <si>
    <t xml:space="preserve">  Cenário NÃO é promessa de rentabilidade. É um conjunto de premissas escolhido pelo consultor para mostrar ao cliente uma faixa de resultados possíveis.</t>
  </si>
  <si>
    <t xml:space="preserve">  2 · IMPOSTO DE RENDA NO RESGATE  (alíquota por regime e prazo)</t>
  </si>
  <si>
    <t xml:space="preserve">  Leitura: a linha usada é a maior faixa de dias que o prazo já alcançou. Ex.: 400 dias em RF_REGR cai na faixa de 361 dias → 17,5%.</t>
  </si>
  <si>
    <t xml:space="preserve">Dias mínimos</t>
  </si>
  <si>
    <t xml:space="preserve">  3 · COME-COTAS  (antecipação semestral de IR — maio e novembro)</t>
  </si>
  <si>
    <t xml:space="preserve">Alíquota</t>
  </si>
  <si>
    <t xml:space="preserve">Como funciona</t>
  </si>
  <si>
    <t xml:space="preserve">Isento de IR para pessoa física (LCI, LCA, poupança).</t>
  </si>
  <si>
    <t xml:space="preserve">Renda fixa — tabela regressiva: 22,5% até 180 dias / 20% até 360 / 17,5% até 720 / 15% acima.</t>
  </si>
  <si>
    <t xml:space="preserve">Fundo de curto prazo — come-cotas 20% semestral; 22,5% até 180 dias, 20% acima.</t>
  </si>
  <si>
    <t xml:space="preserve">Fundo de longo prazo — come-cotas 15% semestral + complemento pela tabela regressiva.</t>
  </si>
  <si>
    <t xml:space="preserve">Fundo de ações — 15% só no resgate, sem come-cotas.</t>
  </si>
  <si>
    <t xml:space="preserve">Previdência regressiva — 35% até 2 anos, caindo 5 p.p. a cada 2 anos até 10% acima de 10 anos.</t>
  </si>
  <si>
    <t xml:space="preserve">Previdência progressiva — 15% retido na fonte, com ajuste na declaração anual.</t>
  </si>
  <si>
    <t xml:space="preserve">  4 · IOF REGRESSIVO  (% do rendimento, resgates com menos de 30 dias)</t>
  </si>
  <si>
    <t xml:space="preserve">IOF sobre o rendimento</t>
  </si>
  <si>
    <t xml:space="preserve">A projeção mês a mês trata cada mês como 30 dias, então o IOF só aparece em simulações de menos de um mês. Para resgates de poucos dias use a calculadora de curto prazo na aba Consultor.</t>
  </si>
  <si>
    <t xml:space="preserve">  5 · TABELA PROGRESSIVA MENSAL DO IRPF  (carnê-leão do aluguel)</t>
  </si>
  <si>
    <t xml:space="preserve">Base mínima da faixa (R$/mês)</t>
  </si>
  <si>
    <t xml:space="preserve">Parcela a deduzir (R$)</t>
  </si>
  <si>
    <t xml:space="preserve">Receita Federal — conferir a vigência a cada exercício.</t>
  </si>
  <si>
    <t xml:space="preserve">  6 · PRAZOS OFERECIDOS AO CLIENTE</t>
  </si>
  <si>
    <t xml:space="preserve">Como o cliente responde</t>
  </si>
  <si>
    <t xml:space="preserve">Meses usados no cálculo</t>
  </si>
  <si>
    <t xml:space="preserve">Até 1 ano</t>
  </si>
  <si>
    <t xml:space="preserve">1 a 3 anos</t>
  </si>
  <si>
    <t xml:space="preserve">3 a 5 anos</t>
  </si>
  <si>
    <t xml:space="preserve">Mais de 10 anos</t>
  </si>
  <si>
    <t xml:space="preserve">Prazo personalizado</t>
  </si>
  <si>
    <t xml:space="preserve">  7 · COMO O RISCO É EXPLICADO AO CLIENTE</t>
  </si>
  <si>
    <t xml:space="preserve">Nível (1-5)</t>
  </si>
  <si>
    <t xml:space="preserve">Como aparece para o cliente</t>
  </si>
  <si>
    <t xml:space="preserve">Frase de apoio</t>
  </si>
  <si>
    <t xml:space="preserve">Muito baixa</t>
  </si>
  <si>
    <t xml:space="preserve">O valor praticamente não oscila.</t>
  </si>
  <si>
    <t xml:space="preserve">Baixa</t>
  </si>
  <si>
    <t xml:space="preserve">Pequenas variações no caminho.</t>
  </si>
  <si>
    <t xml:space="preserve">Média</t>
  </si>
  <si>
    <t xml:space="preserve">Sobe e desce, mas tende a se acomodar em prazos longos.</t>
  </si>
  <si>
    <t xml:space="preserve">Alta</t>
  </si>
  <si>
    <t xml:space="preserve">Variações grandes. Exige prazo e tranquilidade.</t>
  </si>
  <si>
    <t xml:space="preserve">Muito alta</t>
  </si>
  <si>
    <t xml:space="preserve">Pode cair bastante e demorar a se recuperar.</t>
  </si>
  <si>
    <t xml:space="preserve">  8 · PERFIL DO INVESTIDOR → RISCO MÁXIMO ACEITO</t>
  </si>
  <si>
    <t xml:space="preserve">Perfil (suitability)</t>
  </si>
  <si>
    <t xml:space="preserve">Risco máximo (1-5)</t>
  </si>
  <si>
    <t xml:space="preserve">O perfil oficial vem do questionário de suitability do sistema da instituição. Aqui ele só serve para filtrar o que a planilha sugere.</t>
  </si>
  <si>
    <t xml:space="preserve">Arrojado</t>
  </si>
  <si>
    <t xml:space="preserve">  9 · OUTROS PARÂMETROS</t>
  </si>
  <si>
    <t xml:space="preserve">Limite do FGC por CPF e por instituição</t>
  </si>
  <si>
    <t xml:space="preserve">Fundo Garantidor de Créditos — usado no alerta de concentração.</t>
  </si>
  <si>
    <t xml:space="preserve">Limite de dedução do PGBL (% da renda bruta anual)</t>
  </si>
  <si>
    <t xml:space="preserve">Vale só para quem declara no modelo completo e contribui para a Previdência Social.</t>
  </si>
  <si>
    <t xml:space="preserve">IR sobre ganho de capital na venda de imóvel</t>
  </si>
  <si>
    <t xml:space="preserve">Alíquota base. Há faixas maiores para ganhos altos e regras de isenção — ver aba Imóvel.</t>
  </si>
  <si>
    <t xml:space="preserve">Dias por mês usados na projeção</t>
  </si>
  <si>
    <t xml:space="preserve">Faz as faixas de IR baterem exatamente (180, 360, 720 dias).</t>
  </si>
  <si>
    <t xml:space="preserve">Meses em que o come-cotas incide</t>
  </si>
  <si>
    <t xml:space="preserve">Maio e Novembro</t>
  </si>
  <si>
    <t xml:space="preserve">Último dia útil de maio e de novembro.</t>
  </si>
  <si>
    <t xml:space="preserve">Meses de tolerância para renda vitalícia</t>
  </si>
  <si>
    <t xml:space="preserve">Reservado para uso futuro no cálculo de renda.</t>
  </si>
  <si>
    <t xml:space="preserve">   FONTES DE DADOS E ATUALIZAÇÃO</t>
  </si>
  <si>
    <t xml:space="preserve">   De onde vem cada número, com que atraso, e como atualizar</t>
  </si>
  <si>
    <t xml:space="preserve">  ⚠  Nem todo dado da internet é 'tempo real'. A coluna PERIODICIDADE diz o atraso real de cada fonte. Um dado mensal com defasagem não pode ser apresentado ao cliente como cotação de hoje.</t>
  </si>
  <si>
    <t xml:space="preserve">O que alimenta</t>
  </si>
  <si>
    <t xml:space="preserve">Endereço</t>
  </si>
  <si>
    <t xml:space="preserve">Conteúdo</t>
  </si>
  <si>
    <t xml:space="preserve">Periodicidade e atraso</t>
  </si>
  <si>
    <t xml:space="preserve">Atualização</t>
  </si>
  <si>
    <t xml:space="preserve">Como atualizar</t>
  </si>
  <si>
    <t xml:space="preserve">Selic / CDI / IPCA / TR / IGP-M</t>
  </si>
  <si>
    <t xml:space="preserve">Banco Central do Brasil — API SGS</t>
  </si>
  <si>
    <t xml:space="preserve">https://api.bcb.gov.br/dados/serie/bcdata.sgs.{codigo}/dados?formato=json</t>
  </si>
  <si>
    <t xml:space="preserve">Selic 432 · CDI 4389 · IPCA 433 · TR 226 · IGP-M 189</t>
  </si>
  <si>
    <t xml:space="preserve">Diário / mensal, com defasagem de 1 dia útil</t>
  </si>
  <si>
    <t xml:space="preserve">AUTOMÁTICA</t>
  </si>
  <si>
    <t xml:space="preserve">scripts/atualizar_dados.py — grava direto na aba Premissas</t>
  </si>
  <si>
    <t xml:space="preserve">Taxas dos títulos públicos</t>
  </si>
  <si>
    <t xml:space="preserve">Tesouro Transparente (Tesouro Nacional)</t>
  </si>
  <si>
    <t xml:space="preserve">https://www.tesourotransparente.gov.br/ckan/dataset/taxas-dos-titulos-ofertados-pelo-tesouro-direto</t>
  </si>
  <si>
    <t xml:space="preserve">Taxa de compra/venda por título e vencimento</t>
  </si>
  <si>
    <t xml:space="preserve">Diário, divulgado em D+1</t>
  </si>
  <si>
    <t xml:space="preserve">SEMIAUTOMÁTICA</t>
  </si>
  <si>
    <t xml:space="preserve">CSV público — o script baixa e sugere o spread dos produtos Tesouro</t>
  </si>
  <si>
    <t xml:space="preserve">Fundos CAIXA — taxas e política</t>
  </si>
  <si>
    <t xml:space="preserve">CAIXA Asset — portfólio de fundos</t>
  </si>
  <si>
    <t xml:space="preserve">https://www.caixa.gov.br/caixa-asset/portfolio-fundos/Paginas/default.aspx</t>
  </si>
  <si>
    <t xml:space="preserve">Taxa de administração, aplicação mínima, cota de resgate, classificação</t>
  </si>
  <si>
    <t xml:space="preserve">Cadastral — muda por decisão do gestor, sem periodicidade fixa</t>
  </si>
  <si>
    <t xml:space="preserve">MANUAL</t>
  </si>
  <si>
    <t xml:space="preserve">Página sem API pública. Conferir na lâmina do fundo e atualizar a aba Produtos</t>
  </si>
  <si>
    <t xml:space="preserve">Fundos — cota e patrimônio diários</t>
  </si>
  <si>
    <t xml:space="preserve">CVM — Dados Abertos (Informe Diário)</t>
  </si>
  <si>
    <t xml:space="preserve">https://dados.cvm.gov.br/dados/FI/DOC/INF_DIARIO/DADOS/</t>
  </si>
  <si>
    <t xml:space="preserve">Cota diária por CNPJ do fundo — permite calcular rentabilidade e volatilidade reais</t>
  </si>
  <si>
    <t xml:space="preserve">Diário, publicado com 2 a 5 dias úteis de atraso</t>
  </si>
  <si>
    <t xml:space="preserve">AUTOMÁTICA (por CNPJ)</t>
  </si>
  <si>
    <t xml:space="preserve">scripts/atualizar_dados.py --cvm — preenche Rent. 12m / 36m e Volatilidade</t>
  </si>
  <si>
    <t xml:space="preserve">Índices de mercado (IMA-B, IHFA, IRF-M)</t>
  </si>
  <si>
    <t xml:space="preserve">ANBIMA</t>
  </si>
  <si>
    <t xml:space="preserve">https://www.anbima.com.br/pt_br/informar/estatisticas/precos-e-indices/</t>
  </si>
  <si>
    <t xml:space="preserve">Índices de referência de renda fixa e multimercado</t>
  </si>
  <si>
    <t xml:space="preserve">Diário, com defasagem</t>
  </si>
  <si>
    <t xml:space="preserve">Usar como benchmark alternativo ao CDI em produtos indexados</t>
  </si>
  <si>
    <t xml:space="preserve">Preço e aluguel de imóveis</t>
  </si>
  <si>
    <t xml:space="preserve">Índice FipeZAP</t>
  </si>
  <si>
    <t xml:space="preserve">https://www.fipe.org.br/pt-br/indices/fipezap/</t>
  </si>
  <si>
    <t xml:space="preserve">Variação de preço de venda e de locação, e yield por cidade</t>
  </si>
  <si>
    <t xml:space="preserve">Mensal, com defasagem</t>
  </si>
  <si>
    <t xml:space="preserve">Alimenta IMOB_VAL e IMOB_YLD na aba Premissas — ajustar por cidade/bairro</t>
  </si>
  <si>
    <t xml:space="preserve">Tabelas de IR, IOF e carnê-leão</t>
  </si>
  <si>
    <t xml:space="preserve">Receita Federal do Brasil</t>
  </si>
  <si>
    <t xml:space="preserve">https://www.gov.br/receitafederal/</t>
  </si>
  <si>
    <t xml:space="preserve">Tabela progressiva mensal, tabelas regressivas, limite de dedução do PGBL</t>
  </si>
  <si>
    <t xml:space="preserve">Muda por lei/IN — verificar a cada mudança de exercício</t>
  </si>
  <si>
    <t xml:space="preserve">Atualizar os blocos de tributação da aba Premissas e registrar a data</t>
  </si>
  <si>
    <t xml:space="preserve">Cobertura do FGC</t>
  </si>
  <si>
    <t xml:space="preserve">Fundo Garantidor de Créditos</t>
  </si>
  <si>
    <t xml:space="preserve">https://www.fgc.org.br/</t>
  </si>
  <si>
    <t xml:space="preserve">Limite por CPF e por instituição, e teto global quadrienal</t>
  </si>
  <si>
    <t xml:space="preserve">Alimenta o alerta de concentração da aba Consultor</t>
  </si>
  <si>
    <t xml:space="preserve">  REGISTRO DE ATUALIZAÇÕES</t>
  </si>
  <si>
    <t xml:space="preserve">Quem atualizou</t>
  </si>
  <si>
    <t xml:space="preserve">O que foi atualizado</t>
  </si>
  <si>
    <t xml:space="preserve">Fonte consultada</t>
  </si>
  <si>
    <t xml:space="preserve">   EM PALAVRAS SIMPLES</t>
  </si>
  <si>
    <t xml:space="preserve">   Para explicar ao cliente sem usar jargão — leia em voz alta se ajudar</t>
  </si>
  <si>
    <t xml:space="preserve">Termo</t>
  </si>
  <si>
    <t xml:space="preserve">O que é, em uma frase</t>
  </si>
  <si>
    <t xml:space="preserve">Exemplo para usar na conversa</t>
  </si>
  <si>
    <t xml:space="preserve">É a facilidade e o tempo necessário para transformar seu investimento em dinheiro disponível na conta.</t>
  </si>
  <si>
    <t xml:space="preserve">Poupança: dinheiro na hora. Imóvel: pode levar meses para vender.</t>
  </si>
  <si>
    <t xml:space="preserve">Carência</t>
  </si>
  <si>
    <t xml:space="preserve">É o tempo mínimo que o dinheiro precisa ficar aplicado antes de você poder retirar.</t>
  </si>
  <si>
    <t xml:space="preserve">Uma LCI de 12 meses não pode ser resgatada antes desse prazo.</t>
  </si>
  <si>
    <t xml:space="preserve">É a possibilidade de o resultado ser diferente do esperado — para menos ou para mais.</t>
  </si>
  <si>
    <t xml:space="preserve">Poupança quase não oscila. Fundo de ações pode cair e demorar a se recuperar.</t>
  </si>
  <si>
    <t xml:space="preserve">Oscilação (volatilidade)</t>
  </si>
  <si>
    <t xml:space="preserve">É o quanto o valor do investimento sobe e desce no caminho até o final.</t>
  </si>
  <si>
    <t xml:space="preserve">Oscilação baixa: o valor sobe quase em linha reta. Alta: sobe e desce bastante.</t>
  </si>
  <si>
    <t xml:space="preserve">Rentabilidade</t>
  </si>
  <si>
    <t xml:space="preserve">É o quanto o dinheiro rendeu em um período, em percentual.</t>
  </si>
  <si>
    <t xml:space="preserve">R$ 100 que viraram R$ 110 em um ano renderam 10% no ano.</t>
  </si>
  <si>
    <t xml:space="preserve">É a taxa de referência dos investimentos de renda fixa no Brasil. Anda quase junto com a taxa Selic.</t>
  </si>
  <si>
    <t xml:space="preserve">'100% do CDI' significa render o mesmo que essa taxa de referência.</t>
  </si>
  <si>
    <t xml:space="preserve">Selic</t>
  </si>
  <si>
    <t xml:space="preserve">É a taxa básica de juros da economia, definida pelo Banco Central.</t>
  </si>
  <si>
    <t xml:space="preserve">Quando a Selic sobe, a renda fixa tende a render mais.</t>
  </si>
  <si>
    <t xml:space="preserve">É o índice oficial da inflação: mede quanto os preços subiram.</t>
  </si>
  <si>
    <t xml:space="preserve">Se o dinheiro rendeu 8% e a inflação foi 5%, o ganho real foi de cerca de 3%.</t>
  </si>
  <si>
    <t xml:space="preserve">Ganho real</t>
  </si>
  <si>
    <t xml:space="preserve">É o quanto o dinheiro rendeu ACIMA da inflação — ou seja, o quanto você realmente ganhou de poder de compra.</t>
  </si>
  <si>
    <t xml:space="preserve">É o número que importa em prazos longos.</t>
  </si>
  <si>
    <t xml:space="preserve">É um imposto que alguns fundos pagam automaticamente em maio e novembro, mesmo sem você resgatar.</t>
  </si>
  <si>
    <t xml:space="preserve">Ele reduz um pouco o saldo duas vezes por ano. Fundos de ações não têm come-cotas.</t>
  </si>
  <si>
    <t xml:space="preserve">Tabela regressiva de IR</t>
  </si>
  <si>
    <t xml:space="preserve">Quanto mais tempo o dinheiro fica aplicado, menor o imposto sobre o rendimento.</t>
  </si>
  <si>
    <t xml:space="preserve">22,5% até 6 meses, caindo até 15% depois de 2 anos.</t>
  </si>
  <si>
    <t xml:space="preserve">IOF</t>
  </si>
  <si>
    <t xml:space="preserve">É um imposto que só existe quando o resgate acontece nos 30 primeiros dias.</t>
  </si>
  <si>
    <t xml:space="preserve">A partir do 30º dia ele deixa de ser cobrado.</t>
  </si>
  <si>
    <t xml:space="preserve">FGC</t>
  </si>
  <si>
    <t xml:space="preserve">É um fundo que devolve seu dinheiro, até um limite por CPF e por banco, se a instituição quebrar.</t>
  </si>
  <si>
    <t xml:space="preserve">Protege poupança, CDB, LCI e LCA. Não protege fundos de investimento.</t>
  </si>
  <si>
    <t xml:space="preserve">PGBL</t>
  </si>
  <si>
    <t xml:space="preserve">Plano de previdência para quem declara o Imposto de Renda no modelo completo: permite abater os aportes.</t>
  </si>
  <si>
    <t xml:space="preserve">Na retirada, o imposto incide sobre o valor total, não só sobre o rendimento.</t>
  </si>
  <si>
    <t xml:space="preserve">VGBL</t>
  </si>
  <si>
    <t xml:space="preserve">Plano de previdência para quem declara no modelo simplificado ou é isento.</t>
  </si>
  <si>
    <t xml:space="preserve">Na retirada, o imposto incide apenas sobre o rendimento.</t>
  </si>
  <si>
    <t xml:space="preserve">Regime regressivo (previdência)</t>
  </si>
  <si>
    <t xml:space="preserve">O imposto começa em 35% e cai 5 pontos a cada 2 anos, até 10% depois de 10 anos.</t>
  </si>
  <si>
    <t xml:space="preserve">Faz sentido para quem vai deixar o dinheiro por muitos anos.</t>
  </si>
  <si>
    <t xml:space="preserve">Regime progressivo (previdência)</t>
  </si>
  <si>
    <t xml:space="preserve">Segue a tabela do salário: 15% na fonte e acerto na declaração anual.</t>
  </si>
  <si>
    <t xml:space="preserve">Faz sentido para quem vai receber valores baixos ou é isento de IR.</t>
  </si>
  <si>
    <t xml:space="preserve">Marcação a mercado</t>
  </si>
  <si>
    <t xml:space="preserve">É a variação diária do preço de um título antes do vencimento.</t>
  </si>
  <si>
    <t xml:space="preserve">Um Tesouro IPCA+ pode valer menos hoje e ainda assim pagar o combinado no vencimento.</t>
  </si>
  <si>
    <t xml:space="preserve">Vacância</t>
  </si>
  <si>
    <t xml:space="preserve">É o tempo em que um imóvel fica sem inquilino — e portanto sem renda.</t>
  </si>
  <si>
    <t xml:space="preserve">Vacância de 8% ao ano equivale a cerca de um mês por ano sem aluguel.</t>
  </si>
  <si>
    <t xml:space="preserve">Yield de aluguel</t>
  </si>
  <si>
    <t xml:space="preserve">É o aluguel anual dividido pelo valor do imóvel.</t>
  </si>
  <si>
    <t xml:space="preserve">Um imóvel de R$ 300 mil que rende R$ 1.500/mês tem yield bruto de 6% ao ano.</t>
  </si>
  <si>
    <t xml:space="preserve">Ganho de capital</t>
  </si>
  <si>
    <t xml:space="preserve">É o lucro na venda de um bem — a diferença entre o preço de venda e o de compra.</t>
  </si>
  <si>
    <t xml:space="preserve">Na venda de imóvel há imposto sobre esse lucro, com regras de isenção específicas.</t>
  </si>
  <si>
    <t xml:space="preserve">Diversificação</t>
  </si>
  <si>
    <t xml:space="preserve">É dividir o dinheiro entre alternativas diferentes para não depender de um único resultado.</t>
  </si>
  <si>
    <t xml:space="preserve">Parte com liquidez para emergências, parte em prazo mais longo.</t>
  </si>
  <si>
    <t xml:space="preserve">Suitability</t>
  </si>
  <si>
    <t xml:space="preserve">É a análise de perfil que verifica se um investimento combina com o cliente.</t>
  </si>
  <si>
    <t xml:space="preserve">É obrigatória e é feita no sistema oficial — esta planilha não substitui esse processo.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</si>
</sst>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—"/>
    <numFmt numFmtId="166" formatCode="dd/mm/yyyy"/>
    <numFmt numFmtId="167" formatCode="&quot;R$ &quot;#,##0;&quot;(R$ &quot;#,##0\);\—"/>
    <numFmt numFmtId="168" formatCode="0.0%;\(0.0%\);\—"/>
    <numFmt numFmtId="169" formatCode="#,##0"/>
    <numFmt numFmtId="170" formatCode="0.0"/>
    <numFmt numFmtId="171" formatCode="0.00%;\(0.00%\);\—"/>
    <numFmt numFmtId="172" formatCode="&quot;R$ &quot;#,##0.00;&quot;(R$ &quot;#,##0.00\);\—"/>
    <numFmt numFmtId="173" formatCode="0.000000"/>
    <numFmt numFmtId="174" formatCode="0.0000"/>
    <numFmt numFmtId="175" formatCode="@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3C3C3C"/>
      <name val="Arial"/>
      <family val="0"/>
      <charset val="1"/>
    </font>
    <font>
      <b val="true"/>
      <sz val="11"/>
      <color rgb="FF0B3B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.5"/>
      <color rgb="FF3C3C3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C3C3C"/>
      <name val="Arial"/>
      <family val="0"/>
      <charset val="1"/>
    </font>
    <font>
      <b val="true"/>
      <sz val="9"/>
      <color rgb="FF8A61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8.5"/>
      <color rgb="FF7A7A7A"/>
      <name val="Arial"/>
      <family val="0"/>
      <charset val="1"/>
    </font>
    <font>
      <i val="true"/>
      <sz val="8.5"/>
      <color rgb="FF7A7A7A"/>
      <name val="Arial"/>
      <family val="0"/>
      <charset val="1"/>
    </font>
    <font>
      <b val="true"/>
      <sz val="10"/>
      <color rgb="FF1F7A3D"/>
      <name val="Arial"/>
      <family val="0"/>
      <charset val="1"/>
    </font>
    <font>
      <b val="true"/>
      <sz val="11"/>
      <color rgb="FF1F7A3D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color rgb="FF8A6100"/>
      <name val="Arial"/>
      <family val="0"/>
      <charset val="1"/>
    </font>
    <font>
      <b val="true"/>
      <sz val="12"/>
      <color rgb="FF0B3B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B3B6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9"/>
      <color rgb="FF3C3C3C"/>
      <name val="Arial"/>
      <family val="0"/>
      <charset val="1"/>
    </font>
    <font>
      <b val="true"/>
      <sz val="9"/>
      <color rgb="FF3C3C3C"/>
      <name val="Arial"/>
      <family val="0"/>
      <charset val="1"/>
    </font>
    <font>
      <b val="true"/>
      <sz val="9"/>
      <color rgb="FF0B3B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0B3B60"/>
      <name val="Arial"/>
      <family val="0"/>
      <charset val="1"/>
    </font>
    <font>
      <sz val="7.5"/>
      <color rgb="FF7A7A7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3C3C3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i val="true"/>
      <sz val="8.5"/>
      <color rgb="FF1F7A3D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.5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.5"/>
      <color rgb="FF0B3B60"/>
      <name val="Arial"/>
      <family val="0"/>
      <charset val="1"/>
    </font>
    <font>
      <sz val="8.5"/>
      <color rgb="FF3C3C3C"/>
      <name val="Arial"/>
      <family val="0"/>
      <charset val="1"/>
    </font>
    <font>
      <sz val="8"/>
      <color rgb="FF008000"/>
      <name val="Arial"/>
      <family val="0"/>
      <charset val="1"/>
    </font>
    <font>
      <b val="true"/>
      <sz val="8.5"/>
      <color rgb="FF3C3C3C"/>
      <name val="Arial"/>
      <family val="0"/>
      <charset val="1"/>
    </font>
    <font>
      <b val="true"/>
      <sz val="8"/>
      <color rgb="FF0B3B60"/>
      <name val="Arial"/>
      <family val="0"/>
      <charset val="1"/>
    </font>
    <font>
      <i val="true"/>
      <sz val="7.5"/>
      <color rgb="FF7A7A7A"/>
      <name val="Arial"/>
      <family val="0"/>
      <charset val="1"/>
    </font>
    <font>
      <sz val="8"/>
      <color rgb="FF7A7A7A"/>
      <name val="Arial"/>
      <family val="0"/>
      <charset val="1"/>
    </font>
    <font>
      <b val="true"/>
      <sz val="8"/>
      <color rgb="FF3C3C3C"/>
      <name val="Arial"/>
      <family val="0"/>
      <charset val="1"/>
    </font>
    <font>
      <b val="true"/>
      <sz val="9.5"/>
      <color rgb="FF3C3C3C"/>
      <name val="Arial"/>
      <family val="0"/>
      <charset val="1"/>
    </font>
    <font>
      <b val="true"/>
      <sz val="10"/>
      <color rgb="FF0B3B6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9.5"/>
      <color rgb="FFFFFFFF"/>
      <name val="Arial"/>
      <family val="0"/>
      <charset val="1"/>
    </font>
    <font>
      <i val="true"/>
      <sz val="8"/>
      <color rgb="FF7A7A7A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8.5"/>
      <color rgb="FF000000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sz val="8"/>
      <color rgb="FFB3261E"/>
      <name val="Arial"/>
      <family val="0"/>
      <charset val="1"/>
    </font>
    <font>
      <sz val="8.5"/>
      <color rgb="FF0000FF"/>
      <name val="Arial"/>
      <family val="0"/>
      <charset val="1"/>
    </font>
    <font>
      <sz val="10"/>
      <name val="Arial"/>
      <family val="2"/>
    </font>
    <font>
      <b val="true"/>
      <sz val="8.5"/>
      <color rgb="FF005CA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3B60"/>
        <bgColor rgb="FF3C3C3C"/>
      </patternFill>
    </fill>
    <fill>
      <patternFill patternType="solid">
        <fgColor rgb="FFE8F1F9"/>
        <bgColor rgb="FFEFEFEF"/>
      </patternFill>
    </fill>
    <fill>
      <patternFill patternType="solid">
        <fgColor rgb="FF005CA9"/>
        <bgColor rgb="FF0B3B60"/>
      </patternFill>
    </fill>
    <fill>
      <patternFill patternType="solid">
        <fgColor rgb="FF2E7EBB"/>
        <bgColor rgb="FF426FA6"/>
      </patternFill>
    </fill>
    <fill>
      <patternFill patternType="solid">
        <fgColor rgb="FFE8730C"/>
        <bgColor rgb="FFDB8238"/>
      </patternFill>
    </fill>
    <fill>
      <patternFill patternType="solid">
        <fgColor rgb="FFFFF6DF"/>
        <bgColor rgb="FFFDF1E3"/>
      </patternFill>
    </fill>
    <fill>
      <patternFill patternType="solid">
        <fgColor rgb="FFFFF2CC"/>
        <bgColor rgb="FFFFF6DF"/>
      </patternFill>
    </fill>
    <fill>
      <patternFill patternType="solid">
        <fgColor rgb="FFE6F4EA"/>
        <bgColor rgb="FFE8F1F9"/>
      </patternFill>
    </fill>
    <fill>
      <patternFill patternType="solid">
        <fgColor rgb="FFF4F9FD"/>
        <bgColor rgb="FFF5F7FA"/>
      </patternFill>
    </fill>
    <fill>
      <patternFill patternType="solid">
        <fgColor rgb="FFFFFFFF"/>
        <bgColor rgb="FFF4F9FD"/>
      </patternFill>
    </fill>
    <fill>
      <patternFill patternType="solid">
        <fgColor rgb="FFF5F7FA"/>
        <bgColor rgb="FFF4F9FD"/>
      </patternFill>
    </fill>
    <fill>
      <patternFill patternType="solid">
        <fgColor rgb="FFEFEFEF"/>
        <bgColor rgb="FFE8F1F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2E7EBB"/>
      </left>
      <right/>
      <top style="thin">
        <color rgb="FF2E7EBB"/>
      </top>
      <bottom style="thin">
        <color rgb="FF2E7EBB"/>
      </bottom>
      <diagonal/>
    </border>
    <border diagonalUp="false" diagonalDown="false">
      <left style="thin">
        <color rgb="FF2E7EBB"/>
      </left>
      <right/>
      <top style="thin">
        <color rgb="FF2E7EBB"/>
      </top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 diagonalUp="false" diagonalDown="false">
      <left style="thin">
        <color rgb="FF2E7EBB"/>
      </left>
      <right style="thin">
        <color rgb="FF2E7EBB"/>
      </right>
      <top style="thin">
        <color rgb="FF2E7EBB"/>
      </top>
      <bottom style="thin">
        <color rgb="FF2E7EBB"/>
      </bottom>
      <diagonal/>
    </border>
    <border diagonalUp="false" diagonalDown="false">
      <left style="thin">
        <color rgb="FFD6DCE4"/>
      </left>
      <right/>
      <top style="thin">
        <color rgb="FFD6DCE4"/>
      </top>
      <bottom style="thin">
        <color rgb="FFD6DCE4"/>
      </bottom>
      <diagonal/>
    </border>
    <border diagonalUp="false" diagonalDown="false">
      <left/>
      <right/>
      <top/>
      <bottom style="thin">
        <color rgb="FFD6DCE4"/>
      </bottom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5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5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5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E6F4EA"/>
        </patternFill>
      </fill>
    </dxf>
    <dxf>
      <fill>
        <patternFill>
          <bgColor rgb="FFFFF6DF"/>
        </patternFill>
      </fill>
    </dxf>
    <dxf>
      <font>
        <name val="Arial"/>
        <charset val="1"/>
        <family val="0"/>
        <color rgb="FFBFBFBF"/>
        <sz val="8"/>
      </font>
    </dxf>
    <dxf>
      <font>
        <name val="Arial"/>
        <charset val="1"/>
        <family val="0"/>
        <b val="1"/>
        <color rgb="FF0B3B60"/>
        <sz val="8"/>
      </font>
      <fill>
        <patternFill>
          <bgColor rgb="FFE6F4EA"/>
        </patternFill>
      </fill>
    </dxf>
    <dxf>
      <fill>
        <patternFill patternType="solid">
          <fgColor rgb="FF005CA9"/>
          <bgColor rgb="FF000000"/>
        </patternFill>
      </fill>
    </dxf>
    <dxf>
      <fill>
        <patternFill patternType="solid">
          <fgColor rgb="FFFDF1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A7A7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F1E3"/>
        </patternFill>
      </fill>
    </dxf>
    <dxf>
      <fill>
        <patternFill>
          <bgColor rgb="FFFCEA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F9FD"/>
      <rgbColor rgb="FFFF00FF"/>
      <rgbColor rgb="FF00FFFF"/>
      <rgbColor rgb="FF800000"/>
      <rgbColor rgb="FF008000"/>
      <rgbColor rgb="FF000080"/>
      <rgbColor rgb="FF8A6100"/>
      <rgbColor rgb="FF800080"/>
      <rgbColor rgb="FF1F7A3D"/>
      <rgbColor rgb="FFBFBFBF"/>
      <rgbColor rgb="FF7A7A7A"/>
      <rgbColor rgb="FF8EA5CA"/>
      <rgbColor rgb="FFAA433F"/>
      <rgbColor rgb="FFFFF6DF"/>
      <rgbColor rgb="FFE6F4EA"/>
      <rgbColor rgb="FF660066"/>
      <rgbColor rgb="FFDB8238"/>
      <rgbColor rgb="FF005CA9"/>
      <rgbColor rgb="FFD6DCE4"/>
      <rgbColor rgb="FF000080"/>
      <rgbColor rgb="FFFF00FF"/>
      <rgbColor rgb="FFFFFF00"/>
      <rgbColor rgb="FF00FFFF"/>
      <rgbColor rgb="FF800080"/>
      <rgbColor rgb="FF800000"/>
      <rgbColor rgb="FF426FA6"/>
      <rgbColor rgb="FF0000FF"/>
      <rgbColor rgb="FF00CCFF"/>
      <rgbColor rgb="FFE8F1F9"/>
      <rgbColor rgb="FFEFEFEF"/>
      <rgbColor rgb="FFFFF2CC"/>
      <rgbColor rgb="FFFCEAE8"/>
      <rgbColor rgb="FFFDF1E3"/>
      <rgbColor rgb="FFF5F7FA"/>
      <rgbColor rgb="FFD9D9D9"/>
      <rgbColor rgb="FF2E7EBB"/>
      <rgbColor rgb="FF4F81BD"/>
      <rgbColor rgb="FF87A44B"/>
      <rgbColor rgb="FFFFCC00"/>
      <rgbColor rgb="FFFF9900"/>
      <rgbColor rgb="FFE8730C"/>
      <rgbColor rgb="FF6F568D"/>
      <rgbColor rgb="FF878787"/>
      <rgbColor rgb="FF0B3B60"/>
      <rgbColor rgb="FF3D97AF"/>
      <rgbColor rgb="FF003300"/>
      <rgbColor rgb="FF333300"/>
      <rgbColor rgb="FFB3261E"/>
      <rgbColor rgb="FFC0504D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Como o patrimônio pode evoluir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Comparar!B16</c:f>
              <c:strCache>
                <c:ptCount val="1"/>
                <c:pt idx="0">
                  <c:v>Tesouro Prefixado 2031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Comparar!$B$17:$B$37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164133.968269664</c:v>
                </c:pt>
                <c:pt idx="2">
                  <c:v>180868.074907374</c:v>
                </c:pt>
                <c:pt idx="3">
                  <c:v>200566.722833443</c:v>
                </c:pt>
                <c:pt idx="4">
                  <c:v>221539.9679202</c:v>
                </c:pt>
                <c:pt idx="5">
                  <c:v>244983.506178358</c:v>
                </c:pt>
                <c:pt idx="6">
                  <c:v>271188.296318762</c:v>
                </c:pt>
                <c:pt idx="7">
                  <c:v>300479.567062146</c:v>
                </c:pt>
                <c:pt idx="8">
                  <c:v>333220.853566073</c:v>
                </c:pt>
                <c:pt idx="9">
                  <c:v>369818.509274621</c:v>
                </c:pt>
                <c:pt idx="10">
                  <c:v>410726.749187574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Comparar!C16</c:f>
              <c:strCache>
                <c:ptCount val="1"/>
                <c:pt idx="0">
                  <c:v>Tesouro IPCA+ 2035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Comparar!$C$17:$C$37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162025.803231287</c:v>
                </c:pt>
                <c:pt idx="2">
                  <c:v>176046.046802759</c:v>
                </c:pt>
                <c:pt idx="3">
                  <c:v>192302.039292979</c:v>
                </c:pt>
                <c:pt idx="4">
                  <c:v>209318.755233051</c:v>
                </c:pt>
                <c:pt idx="5">
                  <c:v>228040.801819273</c:v>
                </c:pt>
                <c:pt idx="6">
                  <c:v>248639.07880827</c:v>
                </c:pt>
                <c:pt idx="7">
                  <c:v>271301.612680376</c:v>
                </c:pt>
                <c:pt idx="8">
                  <c:v>296235.272994719</c:v>
                </c:pt>
                <c:pt idx="9">
                  <c:v>323667.660748862</c:v>
                </c:pt>
                <c:pt idx="10">
                  <c:v>353849.18598047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Comparar!D16</c:f>
              <c:strCache>
                <c:ptCount val="1"/>
                <c:pt idx="0">
                  <c:v>Fundo CAIXA RF Crédito Privado LP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Comparar!$D$17:$D$37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162228.758686269</c:v>
                </c:pt>
                <c:pt idx="2">
                  <c:v>176326.969311766</c:v>
                </c:pt>
                <c:pt idx="3">
                  <c:v>192481.692350934</c:v>
                </c:pt>
                <c:pt idx="4">
                  <c:v>209170.093850507</c:v>
                </c:pt>
                <c:pt idx="5">
                  <c:v>227305.400461987</c:v>
                </c:pt>
                <c:pt idx="6">
                  <c:v>247013.060653455</c:v>
                </c:pt>
                <c:pt idx="7">
                  <c:v>268429.399430795</c:v>
                </c:pt>
                <c:pt idx="8">
                  <c:v>291702.561347011</c:v>
                </c:pt>
                <c:pt idx="9">
                  <c:v>316993.535271624</c:v>
                </c:pt>
                <c:pt idx="10">
                  <c:v>344477.26800885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Comparar!E16</c:f>
              <c:strCache>
                <c:ptCount val="1"/>
                <c:pt idx="0">
                  <c:v>VGBL CAIXA Composto 30 — Regressivo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Comparar!$E$17:$E$37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160473.12305805</c:v>
                </c:pt>
                <c:pt idx="2">
                  <c:v>172071.233875989</c:v>
                </c:pt>
                <c:pt idx="3">
                  <c:v>187600.957548663</c:v>
                </c:pt>
                <c:pt idx="4">
                  <c:v>202918.674231771</c:v>
                </c:pt>
                <c:pt idx="5">
                  <c:v>224873.323582321</c:v>
                </c:pt>
                <c:pt idx="6">
                  <c:v>245000.337691793</c:v>
                </c:pt>
                <c:pt idx="7">
                  <c:v>275108.616710378</c:v>
                </c:pt>
                <c:pt idx="8">
                  <c:v>301437.36240675</c:v>
                </c:pt>
                <c:pt idx="9">
                  <c:v>341881.394533874</c:v>
                </c:pt>
                <c:pt idx="10">
                  <c:v>376188.272968797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Comparar!F16</c:f>
              <c:strCache>
                <c:ptCount val="1"/>
                <c:pt idx="0">
                  <c:v>PGBL CAIXA Composto 30 — Regressivo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Comparar!$F$17:$F$37</c:f>
              <c:numCache>
                <c:formatCode>"R$ "#,##0;"(R$ "#,##0\);\—</c:formatCode>
                <c:ptCount val="21"/>
                <c:pt idx="0">
                  <c:v>97500</c:v>
                </c:pt>
                <c:pt idx="1">
                  <c:v>107973.12305805</c:v>
                </c:pt>
                <c:pt idx="2">
                  <c:v>119571.233875989</c:v>
                </c:pt>
                <c:pt idx="3">
                  <c:v>142600.957548663</c:v>
                </c:pt>
                <c:pt idx="4">
                  <c:v>157918.674231771</c:v>
                </c:pt>
                <c:pt idx="5">
                  <c:v>187373.323582321</c:v>
                </c:pt>
                <c:pt idx="6">
                  <c:v>207500.337691793</c:v>
                </c:pt>
                <c:pt idx="7">
                  <c:v>245108.616710378</c:v>
                </c:pt>
                <c:pt idx="8">
                  <c:v>271437.36240675</c:v>
                </c:pt>
                <c:pt idx="9">
                  <c:v>319381.394533874</c:v>
                </c:pt>
                <c:pt idx="10">
                  <c:v>353688.272968797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Comparar!G16</c:f>
              <c:strCache>
                <c:ptCount val="1"/>
                <c:pt idx="0">
                  <c:v>Fundo CAIXA RF IPCA Longo Prazo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Comparar!$G$17:$G$37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160936.564161781</c:v>
                </c:pt>
                <c:pt idx="2">
                  <c:v>173440.536175562</c:v>
                </c:pt>
                <c:pt idx="3">
                  <c:v>187653.148115287</c:v>
                </c:pt>
                <c:pt idx="4">
                  <c:v>202202.302744119</c:v>
                </c:pt>
                <c:pt idx="5">
                  <c:v>217879.484813681</c:v>
                </c:pt>
                <c:pt idx="6">
                  <c:v>234772.15273235</c:v>
                </c:pt>
                <c:pt idx="7">
                  <c:v>252974.54574815</c:v>
                </c:pt>
                <c:pt idx="8">
                  <c:v>272588.209681925</c:v>
                </c:pt>
                <c:pt idx="9">
                  <c:v>293722.563421742</c:v>
                </c:pt>
                <c:pt idx="10">
                  <c:v>316495.509338824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Comparar!H16</c:f>
              <c:strCache>
                <c:ptCount val="1"/>
                <c:pt idx="0">
                  <c:v>Imóvel para aluguel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Comparar!$H$17:$H$37</c:f>
              <c:numCache>
                <c:formatCode>"R$ "#,##0;"(R$ "#,##0\);\—</c:formatCode>
                <c:ptCount val="21"/>
                <c:pt idx="0">
                  <c:v>141000</c:v>
                </c:pt>
                <c:pt idx="1">
                  <c:v>153757.543859983</c:v>
                </c:pt>
                <c:pt idx="2">
                  <c:v>167675.083768743</c:v>
                </c:pt>
                <c:pt idx="3">
                  <c:v>182423.967037976</c:v>
                </c:pt>
                <c:pt idx="4">
                  <c:v>198096.346834296</c:v>
                </c:pt>
                <c:pt idx="5">
                  <c:v>215279.936139212</c:v>
                </c:pt>
                <c:pt idx="6">
                  <c:v>234129.645788384</c:v>
                </c:pt>
                <c:pt idx="7">
                  <c:v>254816.673530372</c:v>
                </c:pt>
                <c:pt idx="8">
                  <c:v>277530.233368175</c:v>
                </c:pt>
                <c:pt idx="9">
                  <c:v>302479.469211964</c:v>
                </c:pt>
                <c:pt idx="10">
                  <c:v>329895.572514463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732326"/>
        <c:axId val="94730188"/>
      </c:lineChart>
      <c:catAx>
        <c:axId val="50732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30188"/>
        <c:crosses val="autoZero"/>
        <c:auto val="1"/>
        <c:lblAlgn val="ctr"/>
        <c:lblOffset val="100"/>
        <c:noMultiLvlLbl val="0"/>
      </c:catAx>
      <c:valAx>
        <c:axId val="94730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Patrimônio líquido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32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Patrimônio líquido no fim do prazo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Comparar!C6</c:f>
              <c:strCache>
                <c:ptCount val="1"/>
                <c:pt idx="0">
                  <c:v>Patrimônio líquido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Comparar!$B$7:$B$13</c:f>
              <c:strCache>
                <c:ptCount val="7"/>
                <c:pt idx="0">
                  <c:v>Tesouro Prefixado 2031</c:v>
                </c:pt>
                <c:pt idx="1">
                  <c:v>Tesouro IPCA+ 2035</c:v>
                </c:pt>
                <c:pt idx="2">
                  <c:v>Fundo CAIXA RF Crédito Privado LP</c:v>
                </c:pt>
                <c:pt idx="3">
                  <c:v>VGBL CAIXA Composto 30 — Regressivo</c:v>
                </c:pt>
                <c:pt idx="4">
                  <c:v>PGBL CAIXA Composto 30 — Regressivo</c:v>
                </c:pt>
                <c:pt idx="5">
                  <c:v>Fundo CAIXA RF IPCA Longo Prazo</c:v>
                </c:pt>
                <c:pt idx="6">
                  <c:v>Imóvel para aluguel</c:v>
                </c:pt>
              </c:strCache>
            </c:strRef>
          </c:cat>
          <c:val>
            <c:numRef>
              <c:f>Comparar!$C$7:$C$13</c:f>
              <c:numCache>
                <c:formatCode>"R$ "#,##0;"(R$ "#,##0\);\—</c:formatCode>
                <c:ptCount val="7"/>
                <c:pt idx="0">
                  <c:v>410726.749187574</c:v>
                </c:pt>
                <c:pt idx="1">
                  <c:v>353849.18598047</c:v>
                </c:pt>
                <c:pt idx="2">
                  <c:v>344477.26800885</c:v>
                </c:pt>
                <c:pt idx="3">
                  <c:v>376188.272968797</c:v>
                </c:pt>
                <c:pt idx="4">
                  <c:v>353688.272968797</c:v>
                </c:pt>
                <c:pt idx="5">
                  <c:v>316495.509338824</c:v>
                </c:pt>
                <c:pt idx="6">
                  <c:v>329895.572514463</c:v>
                </c:pt>
              </c:numCache>
            </c:numRef>
          </c:val>
        </c:ser>
        <c:gapWidth val="150"/>
        <c:overlap val="0"/>
        <c:axId val="26519538"/>
        <c:axId val="89917108"/>
      </c:barChart>
      <c:catAx>
        <c:axId val="26519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17108"/>
        <c:crosses val="autoZero"/>
        <c:auto val="1"/>
        <c:lblAlgn val="ctr"/>
        <c:lblOffset val="100"/>
        <c:noMultiLvlLbl val="0"/>
      </c:catAx>
      <c:valAx>
        <c:axId val="89917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195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 onde vem o resultado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Comparar!D6</c:f>
              <c:strCache>
                <c:ptCount val="1"/>
                <c:pt idx="0">
                  <c:v>Total investido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Comparar!$B$7:$B$13</c:f>
              <c:strCache>
                <c:ptCount val="7"/>
                <c:pt idx="0">
                  <c:v>Tesouro Prefixado 2031</c:v>
                </c:pt>
                <c:pt idx="1">
                  <c:v>Tesouro IPCA+ 2035</c:v>
                </c:pt>
                <c:pt idx="2">
                  <c:v>Fundo CAIXA RF Crédito Privado LP</c:v>
                </c:pt>
                <c:pt idx="3">
                  <c:v>VGBL CAIXA Composto 30 — Regressivo</c:v>
                </c:pt>
                <c:pt idx="4">
                  <c:v>PGBL CAIXA Composto 30 — Regressivo</c:v>
                </c:pt>
                <c:pt idx="5">
                  <c:v>Fundo CAIXA RF IPCA Longo Prazo</c:v>
                </c:pt>
                <c:pt idx="6">
                  <c:v>Imóvel para aluguel</c:v>
                </c:pt>
              </c:strCache>
            </c:strRef>
          </c:cat>
          <c:val>
            <c:numRef>
              <c:f>Comparar!$D$7:$D$13</c:f>
              <c:numCache>
                <c:formatCode>"R$ "#,##0;"(R$ "#,##0\);\—</c:formatCode>
                <c:ptCount val="7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155250</c:v>
                </c:pt>
              </c:numCache>
            </c:numRef>
          </c:val>
        </c:ser>
        <c:ser>
          <c:idx val="1"/>
          <c:order val="1"/>
          <c:tx>
            <c:strRef>
              <c:f>Comparar!E6</c:f>
              <c:strCache>
                <c:ptCount val="1"/>
                <c:pt idx="0">
                  <c:v>Ganho líquido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Comparar!$B$7:$B$13</c:f>
              <c:strCache>
                <c:ptCount val="7"/>
                <c:pt idx="0">
                  <c:v>Tesouro Prefixado 2031</c:v>
                </c:pt>
                <c:pt idx="1">
                  <c:v>Tesouro IPCA+ 2035</c:v>
                </c:pt>
                <c:pt idx="2">
                  <c:v>Fundo CAIXA RF Crédito Privado LP</c:v>
                </c:pt>
                <c:pt idx="3">
                  <c:v>VGBL CAIXA Composto 30 — Regressivo</c:v>
                </c:pt>
                <c:pt idx="4">
                  <c:v>PGBL CAIXA Composto 30 — Regressivo</c:v>
                </c:pt>
                <c:pt idx="5">
                  <c:v>Fundo CAIXA RF IPCA Longo Prazo</c:v>
                </c:pt>
                <c:pt idx="6">
                  <c:v>Imóvel para aluguel</c:v>
                </c:pt>
              </c:strCache>
            </c:strRef>
          </c:cat>
          <c:val>
            <c:numRef>
              <c:f>Comparar!$E$7:$E$13</c:f>
              <c:numCache>
                <c:formatCode>"R$ "#,##0;"(R$ "#,##0\);\—</c:formatCode>
                <c:ptCount val="7"/>
                <c:pt idx="0">
                  <c:v>260726.749187574</c:v>
                </c:pt>
                <c:pt idx="1">
                  <c:v>203849.18598047</c:v>
                </c:pt>
                <c:pt idx="2">
                  <c:v>194477.26800885</c:v>
                </c:pt>
                <c:pt idx="3">
                  <c:v>226188.272968797</c:v>
                </c:pt>
                <c:pt idx="4">
                  <c:v>203688.272968797</c:v>
                </c:pt>
                <c:pt idx="5">
                  <c:v>166495.509338824</c:v>
                </c:pt>
                <c:pt idx="6">
                  <c:v>174645.572514463</c:v>
                </c:pt>
              </c:numCache>
            </c:numRef>
          </c:val>
        </c:ser>
        <c:gapWidth val="150"/>
        <c:overlap val="100"/>
        <c:axId val="66509789"/>
        <c:axId val="78031417"/>
      </c:barChart>
      <c:catAx>
        <c:axId val="665097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31417"/>
        <c:crosses val="autoZero"/>
        <c:auto val="1"/>
        <c:lblAlgn val="ctr"/>
        <c:lblOffset val="100"/>
        <c:noMultiLvlLbl val="0"/>
      </c:catAx>
      <c:valAx>
        <c:axId val="78031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097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Renda mensal que o patrimônio poderia gerar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Comparar!L6</c:f>
              <c:strCache>
                <c:ptCount val="1"/>
                <c:pt idx="0">
                  <c:v>Renda mensal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Comparar!$B$7:$B$13</c:f>
              <c:strCache>
                <c:ptCount val="7"/>
                <c:pt idx="0">
                  <c:v>Tesouro Prefixado 2031</c:v>
                </c:pt>
                <c:pt idx="1">
                  <c:v>Tesouro IPCA+ 2035</c:v>
                </c:pt>
                <c:pt idx="2">
                  <c:v>Fundo CAIXA RF Crédito Privado LP</c:v>
                </c:pt>
                <c:pt idx="3">
                  <c:v>VGBL CAIXA Composto 30 — Regressivo</c:v>
                </c:pt>
                <c:pt idx="4">
                  <c:v>PGBL CAIXA Composto 30 — Regressivo</c:v>
                </c:pt>
                <c:pt idx="5">
                  <c:v>Fundo CAIXA RF IPCA Longo Prazo</c:v>
                </c:pt>
                <c:pt idx="6">
                  <c:v>Imóvel para aluguel</c:v>
                </c:pt>
              </c:strCache>
            </c:strRef>
          </c:cat>
          <c:val>
            <c:numRef>
              <c:f>Comparar!$L$7:$L$13</c:f>
              <c:numCache>
                <c:formatCode>"R$ "#,##0;"(R$ "#,##0\);\—</c:formatCode>
                <c:ptCount val="7"/>
                <c:pt idx="0">
                  <c:v>3254.51962490677</c:v>
                </c:pt>
                <c:pt idx="1">
                  <c:v>2403.33481029411</c:v>
                </c:pt>
                <c:pt idx="2">
                  <c:v>2387.93680069255</c:v>
                </c:pt>
                <c:pt idx="3">
                  <c:v>2730.34948662969</c:v>
                </c:pt>
                <c:pt idx="4">
                  <c:v>2567.04598180655</c:v>
                </c:pt>
                <c:pt idx="5">
                  <c:v>1970.28211864106</c:v>
                </c:pt>
                <c:pt idx="6">
                  <c:v>827.862635730365</c:v>
                </c:pt>
              </c:numCache>
            </c:numRef>
          </c:val>
        </c:ser>
        <c:gapWidth val="150"/>
        <c:overlap val="0"/>
        <c:axId val="27803961"/>
        <c:axId val="14872753"/>
      </c:barChart>
      <c:catAx>
        <c:axId val="27803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72753"/>
        <c:crosses val="autoZero"/>
        <c:auto val="1"/>
        <c:lblAlgn val="ctr"/>
        <c:lblOffset val="100"/>
        <c:noMultiLvlLbl val="0"/>
      </c:catAx>
      <c:valAx>
        <c:axId val="14872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039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estimada do patrimônio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Comparar!B16</c:f>
              <c:strCache>
                <c:ptCount val="1"/>
                <c:pt idx="0">
                  <c:v>Tesouro Prefixado 2031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Comparar!$B$17:$B$37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164133.968269664</c:v>
                </c:pt>
                <c:pt idx="2">
                  <c:v>180868.074907374</c:v>
                </c:pt>
                <c:pt idx="3">
                  <c:v>200566.722833443</c:v>
                </c:pt>
                <c:pt idx="4">
                  <c:v>221539.9679202</c:v>
                </c:pt>
                <c:pt idx="5">
                  <c:v>244983.506178358</c:v>
                </c:pt>
                <c:pt idx="6">
                  <c:v>271188.296318762</c:v>
                </c:pt>
                <c:pt idx="7">
                  <c:v>300479.567062146</c:v>
                </c:pt>
                <c:pt idx="8">
                  <c:v>333220.853566073</c:v>
                </c:pt>
                <c:pt idx="9">
                  <c:v>369818.509274621</c:v>
                </c:pt>
                <c:pt idx="10">
                  <c:v>410726.749187574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Comparar!C16</c:f>
              <c:strCache>
                <c:ptCount val="1"/>
                <c:pt idx="0">
                  <c:v>Tesouro IPCA+ 2035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Comparar!$C$17:$C$37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162025.803231287</c:v>
                </c:pt>
                <c:pt idx="2">
                  <c:v>176046.046802759</c:v>
                </c:pt>
                <c:pt idx="3">
                  <c:v>192302.039292979</c:v>
                </c:pt>
                <c:pt idx="4">
                  <c:v>209318.755233051</c:v>
                </c:pt>
                <c:pt idx="5">
                  <c:v>228040.801819273</c:v>
                </c:pt>
                <c:pt idx="6">
                  <c:v>248639.07880827</c:v>
                </c:pt>
                <c:pt idx="7">
                  <c:v>271301.612680376</c:v>
                </c:pt>
                <c:pt idx="8">
                  <c:v>296235.272994719</c:v>
                </c:pt>
                <c:pt idx="9">
                  <c:v>323667.660748862</c:v>
                </c:pt>
                <c:pt idx="10">
                  <c:v>353849.18598047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Comparar!D16</c:f>
              <c:strCache>
                <c:ptCount val="1"/>
                <c:pt idx="0">
                  <c:v>Fundo CAIXA RF Crédito Privado LP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Comparar!$D$17:$D$37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162228.758686269</c:v>
                </c:pt>
                <c:pt idx="2">
                  <c:v>176326.969311766</c:v>
                </c:pt>
                <c:pt idx="3">
                  <c:v>192481.692350934</c:v>
                </c:pt>
                <c:pt idx="4">
                  <c:v>209170.093850507</c:v>
                </c:pt>
                <c:pt idx="5">
                  <c:v>227305.400461987</c:v>
                </c:pt>
                <c:pt idx="6">
                  <c:v>247013.060653455</c:v>
                </c:pt>
                <c:pt idx="7">
                  <c:v>268429.399430795</c:v>
                </c:pt>
                <c:pt idx="8">
                  <c:v>291702.561347011</c:v>
                </c:pt>
                <c:pt idx="9">
                  <c:v>316993.535271624</c:v>
                </c:pt>
                <c:pt idx="10">
                  <c:v>344477.26800885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Comparar!E16</c:f>
              <c:strCache>
                <c:ptCount val="1"/>
                <c:pt idx="0">
                  <c:v>VGBL CAIXA Composto 30 — Regressivo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Comparar!$E$17:$E$37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160473.12305805</c:v>
                </c:pt>
                <c:pt idx="2">
                  <c:v>172071.233875989</c:v>
                </c:pt>
                <c:pt idx="3">
                  <c:v>187600.957548663</c:v>
                </c:pt>
                <c:pt idx="4">
                  <c:v>202918.674231771</c:v>
                </c:pt>
                <c:pt idx="5">
                  <c:v>224873.323582321</c:v>
                </c:pt>
                <c:pt idx="6">
                  <c:v>245000.337691793</c:v>
                </c:pt>
                <c:pt idx="7">
                  <c:v>275108.616710378</c:v>
                </c:pt>
                <c:pt idx="8">
                  <c:v>301437.36240675</c:v>
                </c:pt>
                <c:pt idx="9">
                  <c:v>341881.394533874</c:v>
                </c:pt>
                <c:pt idx="10">
                  <c:v>376188.272968797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Comparar!F16</c:f>
              <c:strCache>
                <c:ptCount val="1"/>
                <c:pt idx="0">
                  <c:v>PGBL CAIXA Composto 30 — Regressivo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Comparar!$F$17:$F$37</c:f>
              <c:numCache>
                <c:formatCode>"R$ "#,##0;"(R$ "#,##0\);\—</c:formatCode>
                <c:ptCount val="21"/>
                <c:pt idx="0">
                  <c:v>97500</c:v>
                </c:pt>
                <c:pt idx="1">
                  <c:v>107973.12305805</c:v>
                </c:pt>
                <c:pt idx="2">
                  <c:v>119571.233875989</c:v>
                </c:pt>
                <c:pt idx="3">
                  <c:v>142600.957548663</c:v>
                </c:pt>
                <c:pt idx="4">
                  <c:v>157918.674231771</c:v>
                </c:pt>
                <c:pt idx="5">
                  <c:v>187373.323582321</c:v>
                </c:pt>
                <c:pt idx="6">
                  <c:v>207500.337691793</c:v>
                </c:pt>
                <c:pt idx="7">
                  <c:v>245108.616710378</c:v>
                </c:pt>
                <c:pt idx="8">
                  <c:v>271437.36240675</c:v>
                </c:pt>
                <c:pt idx="9">
                  <c:v>319381.394533874</c:v>
                </c:pt>
                <c:pt idx="10">
                  <c:v>353688.272968797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Comparar!G16</c:f>
              <c:strCache>
                <c:ptCount val="1"/>
                <c:pt idx="0">
                  <c:v>Fundo CAIXA RF IPCA Longo Prazo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Comparar!$G$17:$G$37</c:f>
              <c:numCache>
                <c:formatCode>"R$ "#,##0;"(R$ "#,##0\);\—</c:formatCode>
                <c:ptCount val="21"/>
                <c:pt idx="0">
                  <c:v>150000</c:v>
                </c:pt>
                <c:pt idx="1">
                  <c:v>160936.564161781</c:v>
                </c:pt>
                <c:pt idx="2">
                  <c:v>173440.536175562</c:v>
                </c:pt>
                <c:pt idx="3">
                  <c:v>187653.148115287</c:v>
                </c:pt>
                <c:pt idx="4">
                  <c:v>202202.302744119</c:v>
                </c:pt>
                <c:pt idx="5">
                  <c:v>217879.484813681</c:v>
                </c:pt>
                <c:pt idx="6">
                  <c:v>234772.15273235</c:v>
                </c:pt>
                <c:pt idx="7">
                  <c:v>252974.54574815</c:v>
                </c:pt>
                <c:pt idx="8">
                  <c:v>272588.209681925</c:v>
                </c:pt>
                <c:pt idx="9">
                  <c:v>293722.563421742</c:v>
                </c:pt>
                <c:pt idx="10">
                  <c:v>316495.509338824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Comparar!H16</c:f>
              <c:strCache>
                <c:ptCount val="1"/>
                <c:pt idx="0">
                  <c:v>Imóvel para aluguel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Comparar!$A$17:$A$37</c:f>
              <c:strCache>
                <c:ptCount val="21"/>
                <c:pt idx="0">
                  <c:v>—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Comparar!$H$17:$H$37</c:f>
              <c:numCache>
                <c:formatCode>"R$ "#,##0;"(R$ "#,##0\);\—</c:formatCode>
                <c:ptCount val="21"/>
                <c:pt idx="0">
                  <c:v>141000</c:v>
                </c:pt>
                <c:pt idx="1">
                  <c:v>153757.543859983</c:v>
                </c:pt>
                <c:pt idx="2">
                  <c:v>167675.083768743</c:v>
                </c:pt>
                <c:pt idx="3">
                  <c:v>182423.967037976</c:v>
                </c:pt>
                <c:pt idx="4">
                  <c:v>198096.346834296</c:v>
                </c:pt>
                <c:pt idx="5">
                  <c:v>215279.936139212</c:v>
                </c:pt>
                <c:pt idx="6">
                  <c:v>234129.645788384</c:v>
                </c:pt>
                <c:pt idx="7">
                  <c:v>254816.673530372</c:v>
                </c:pt>
                <c:pt idx="8">
                  <c:v>277530.233368175</c:v>
                </c:pt>
                <c:pt idx="9">
                  <c:v>302479.469211964</c:v>
                </c:pt>
                <c:pt idx="10">
                  <c:v>329895.572514463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184066"/>
        <c:axId val="7368780"/>
      </c:lineChart>
      <c:catAx>
        <c:axId val="79184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8780"/>
        <c:crosses val="autoZero"/>
        <c:auto val="1"/>
        <c:lblAlgn val="ctr"/>
        <c:lblOffset val="100"/>
        <c:noMultiLvlLbl val="0"/>
      </c:catAx>
      <c:valAx>
        <c:axId val="7368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84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39</xdr:row>
      <xdr:rowOff>0</xdr:rowOff>
    </xdr:from>
    <xdr:to>
      <xdr:col>6</xdr:col>
      <xdr:colOff>194040</xdr:colOff>
      <xdr:row>59</xdr:row>
      <xdr:rowOff>149760</xdr:rowOff>
    </xdr:to>
    <xdr:graphicFrame>
      <xdr:nvGraphicFramePr>
        <xdr:cNvPr id="0" name="Chart 1"/>
        <xdr:cNvGraphicFramePr/>
      </xdr:nvGraphicFramePr>
      <xdr:xfrm>
        <a:off x="177840" y="84772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39</xdr:row>
      <xdr:rowOff>0</xdr:rowOff>
    </xdr:from>
    <xdr:to>
      <xdr:col>12</xdr:col>
      <xdr:colOff>1754640</xdr:colOff>
      <xdr:row>59</xdr:row>
      <xdr:rowOff>149760</xdr:rowOff>
    </xdr:to>
    <xdr:graphicFrame>
      <xdr:nvGraphicFramePr>
        <xdr:cNvPr id="1" name="Chart 2"/>
        <xdr:cNvGraphicFramePr/>
      </xdr:nvGraphicFramePr>
      <xdr:xfrm>
        <a:off x="12357000" y="847728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6</xdr:col>
      <xdr:colOff>194040</xdr:colOff>
      <xdr:row>80</xdr:row>
      <xdr:rowOff>170640</xdr:rowOff>
    </xdr:to>
    <xdr:graphicFrame>
      <xdr:nvGraphicFramePr>
        <xdr:cNvPr id="2" name="Chart 3"/>
        <xdr:cNvGraphicFramePr/>
      </xdr:nvGraphicFramePr>
      <xdr:xfrm>
        <a:off x="177840" y="128588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62</xdr:row>
      <xdr:rowOff>0</xdr:rowOff>
    </xdr:from>
    <xdr:to>
      <xdr:col>12</xdr:col>
      <xdr:colOff>1754640</xdr:colOff>
      <xdr:row>80</xdr:row>
      <xdr:rowOff>170640</xdr:rowOff>
    </xdr:to>
    <xdr:graphicFrame>
      <xdr:nvGraphicFramePr>
        <xdr:cNvPr id="3" name="Chart 4"/>
        <xdr:cNvGraphicFramePr/>
      </xdr:nvGraphicFramePr>
      <xdr:xfrm>
        <a:off x="12357000" y="128588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4</xdr:col>
      <xdr:colOff>1150200</xdr:colOff>
      <xdr:row>43</xdr:row>
      <xdr:rowOff>1080</xdr:rowOff>
    </xdr:to>
    <xdr:graphicFrame>
      <xdr:nvGraphicFramePr>
        <xdr:cNvPr id="4" name="Chart 1"/>
        <xdr:cNvGraphicFramePr/>
      </xdr:nvGraphicFramePr>
      <xdr:xfrm>
        <a:off x="177840" y="622944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B60"/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6"/>
    <col collapsed="false" customWidth="true" hidden="false" outlineLevel="0" max="8" min="8" style="0" width="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5" customFormat="false" ht="33.75" hidden="false" customHeight="true" outlineLevel="0" collapsed="false">
      <c r="A5" s="2" t="s">
        <v>1</v>
      </c>
      <c r="B5" s="2"/>
      <c r="C5" s="2"/>
      <c r="D5" s="2"/>
      <c r="E5" s="2"/>
      <c r="F5" s="2"/>
      <c r="G5" s="2"/>
      <c r="H5" s="2"/>
    </row>
    <row r="7" customFormat="false" ht="21.75" hidden="false" customHeight="true" outlineLevel="0" collapsed="false">
      <c r="A7" s="3" t="s">
        <v>2</v>
      </c>
      <c r="B7" s="3"/>
      <c r="C7" s="3"/>
      <c r="D7" s="3"/>
      <c r="E7" s="3"/>
      <c r="F7" s="3"/>
      <c r="G7" s="3"/>
      <c r="H7" s="3"/>
    </row>
    <row r="8" customFormat="false" ht="30" hidden="false" customHeight="true" outlineLevel="0" collapsed="false">
      <c r="B8" s="4" t="s">
        <v>3</v>
      </c>
      <c r="C8" s="4"/>
      <c r="D8" s="5" t="s">
        <v>4</v>
      </c>
      <c r="E8" s="5"/>
      <c r="F8" s="5"/>
      <c r="G8" s="5"/>
      <c r="H8" s="5"/>
    </row>
    <row r="9" customFormat="false" ht="30" hidden="false" customHeight="true" outlineLevel="0" collapsed="false">
      <c r="B9" s="4" t="s">
        <v>5</v>
      </c>
      <c r="C9" s="4"/>
      <c r="D9" s="5" t="s">
        <v>6</v>
      </c>
      <c r="E9" s="5"/>
      <c r="F9" s="5"/>
      <c r="G9" s="5"/>
      <c r="H9" s="5"/>
    </row>
    <row r="10" customFormat="false" ht="30" hidden="false" customHeight="true" outlineLevel="0" collapsed="false">
      <c r="B10" s="4" t="s">
        <v>7</v>
      </c>
      <c r="C10" s="4"/>
      <c r="D10" s="5" t="s">
        <v>8</v>
      </c>
      <c r="E10" s="5"/>
      <c r="F10" s="5"/>
      <c r="G10" s="5"/>
      <c r="H10" s="5"/>
    </row>
    <row r="12" customFormat="false" ht="21.75" hidden="false" customHeight="true" outlineLevel="0" collapsed="false">
      <c r="A12" s="3" t="s">
        <v>9</v>
      </c>
      <c r="B12" s="3"/>
      <c r="C12" s="3"/>
      <c r="D12" s="3"/>
      <c r="E12" s="3"/>
      <c r="F12" s="3"/>
      <c r="G12" s="3"/>
      <c r="H12" s="3"/>
    </row>
    <row r="13" customFormat="false" ht="25.5" hidden="false" customHeight="true" outlineLevel="0" collapsed="false">
      <c r="B13" s="6" t="s">
        <v>10</v>
      </c>
      <c r="C13" s="6"/>
      <c r="D13" s="5" t="s">
        <v>11</v>
      </c>
      <c r="E13" s="5"/>
      <c r="F13" s="5"/>
      <c r="G13" s="5"/>
      <c r="H13" s="5"/>
    </row>
    <row r="14" customFormat="false" ht="25.5" hidden="false" customHeight="true" outlineLevel="0" collapsed="false">
      <c r="B14" s="6" t="s">
        <v>12</v>
      </c>
      <c r="C14" s="6"/>
      <c r="D14" s="5" t="s">
        <v>13</v>
      </c>
      <c r="E14" s="5"/>
      <c r="F14" s="5"/>
      <c r="G14" s="5"/>
      <c r="H14" s="5"/>
    </row>
    <row r="15" customFormat="false" ht="25.5" hidden="false" customHeight="true" outlineLevel="0" collapsed="false">
      <c r="B15" s="6" t="s">
        <v>14</v>
      </c>
      <c r="C15" s="6"/>
      <c r="D15" s="5" t="s">
        <v>15</v>
      </c>
      <c r="E15" s="5"/>
      <c r="F15" s="5"/>
      <c r="G15" s="5"/>
      <c r="H15" s="5"/>
    </row>
    <row r="16" customFormat="false" ht="25.5" hidden="false" customHeight="true" outlineLevel="0" collapsed="false">
      <c r="B16" s="6" t="s">
        <v>16</v>
      </c>
      <c r="C16" s="6"/>
      <c r="D16" s="5" t="s">
        <v>17</v>
      </c>
      <c r="E16" s="5"/>
      <c r="F16" s="5"/>
      <c r="G16" s="5"/>
      <c r="H16" s="5"/>
    </row>
    <row r="17" customFormat="false" ht="25.5" hidden="false" customHeight="true" outlineLevel="0" collapsed="false">
      <c r="B17" s="6" t="s">
        <v>18</v>
      </c>
      <c r="C17" s="6"/>
      <c r="D17" s="5" t="s">
        <v>19</v>
      </c>
      <c r="E17" s="5"/>
      <c r="F17" s="5"/>
      <c r="G17" s="5"/>
      <c r="H17" s="5"/>
    </row>
    <row r="19" customFormat="false" ht="21.75" hidden="false" customHeight="true" outlineLevel="0" collapsed="false">
      <c r="A19" s="3" t="s">
        <v>20</v>
      </c>
      <c r="B19" s="3"/>
      <c r="C19" s="3"/>
      <c r="D19" s="3"/>
      <c r="E19" s="3"/>
      <c r="F19" s="3"/>
      <c r="G19" s="3"/>
      <c r="H19" s="3"/>
    </row>
    <row r="20" customFormat="false" ht="25.5" hidden="false" customHeight="true" outlineLevel="0" collapsed="false">
      <c r="B20" s="7" t="s">
        <v>21</v>
      </c>
      <c r="C20" s="7"/>
      <c r="D20" s="5" t="s">
        <v>22</v>
      </c>
      <c r="E20" s="5"/>
      <c r="F20" s="5"/>
      <c r="G20" s="5"/>
      <c r="H20" s="5"/>
    </row>
    <row r="21" customFormat="false" ht="25.5" hidden="false" customHeight="true" outlineLevel="0" collapsed="false">
      <c r="B21" s="7" t="s">
        <v>23</v>
      </c>
      <c r="C21" s="7"/>
      <c r="D21" s="5" t="s">
        <v>24</v>
      </c>
      <c r="E21" s="5"/>
      <c r="F21" s="5"/>
      <c r="G21" s="5"/>
      <c r="H21" s="5"/>
    </row>
    <row r="22" customFormat="false" ht="25.5" hidden="false" customHeight="true" outlineLevel="0" collapsed="false">
      <c r="B22" s="7" t="s">
        <v>25</v>
      </c>
      <c r="C22" s="7"/>
      <c r="D22" s="5" t="s">
        <v>26</v>
      </c>
      <c r="E22" s="5"/>
      <c r="F22" s="5"/>
      <c r="G22" s="5"/>
      <c r="H22" s="5"/>
    </row>
    <row r="23" customFormat="false" ht="25.5" hidden="false" customHeight="true" outlineLevel="0" collapsed="false">
      <c r="B23" s="7" t="s">
        <v>27</v>
      </c>
      <c r="C23" s="7"/>
      <c r="D23" s="5" t="s">
        <v>28</v>
      </c>
      <c r="E23" s="5"/>
      <c r="F23" s="5"/>
      <c r="G23" s="5"/>
      <c r="H23" s="5"/>
    </row>
    <row r="25" customFormat="false" ht="21.75" hidden="false" customHeight="true" outlineLevel="0" collapsed="false">
      <c r="A25" s="3" t="s">
        <v>29</v>
      </c>
      <c r="B25" s="3"/>
      <c r="C25" s="3"/>
      <c r="D25" s="3"/>
      <c r="E25" s="3"/>
      <c r="F25" s="3"/>
      <c r="G25" s="3"/>
      <c r="H25" s="3"/>
    </row>
    <row r="26" customFormat="false" ht="19.5" hidden="false" customHeight="true" outlineLevel="0" collapsed="false">
      <c r="B26" s="8" t="s">
        <v>30</v>
      </c>
      <c r="C26" s="8"/>
      <c r="D26" s="8"/>
      <c r="E26" s="9" t="str">
        <f aca="false">CENARIO</f>
        <v>Base</v>
      </c>
      <c r="F26" s="9"/>
      <c r="G26" s="10" t="str">
        <f aca="false">IF(E29&gt;0,"⚠ Há produtos com taxa de exemplo. Confira antes de usar com cliente.","Todos os produtos da base estão marcados como conferidos.")</f>
        <v>⚠ Há produtos com taxa de exemplo. Confira antes de usar com cliente.</v>
      </c>
      <c r="H26" s="10"/>
    </row>
    <row r="27" customFormat="false" ht="19.5" hidden="false" customHeight="true" outlineLevel="0" collapsed="false">
      <c r="B27" s="8" t="s">
        <v>31</v>
      </c>
      <c r="C27" s="8"/>
      <c r="D27" s="8"/>
      <c r="E27" s="9" t="str">
        <f aca="false">DATA_DADOS</f>
        <v>2026-08-23</v>
      </c>
      <c r="F27" s="9"/>
      <c r="G27" s="10"/>
      <c r="H27" s="10"/>
    </row>
    <row r="28" customFormat="false" ht="19.5" hidden="false" customHeight="true" outlineLevel="0" collapsed="false">
      <c r="B28" s="8" t="s">
        <v>32</v>
      </c>
      <c r="C28" s="8"/>
      <c r="D28" s="8"/>
      <c r="E28" s="11" t="n">
        <f aca="false">COUNTIF(Produtos!$AD$9:$AD$78,"SIM")</f>
        <v>24</v>
      </c>
      <c r="F28" s="11"/>
      <c r="G28" s="10"/>
      <c r="H28" s="10"/>
    </row>
    <row r="29" customFormat="false" ht="19.5" hidden="false" customHeight="true" outlineLevel="0" collapsed="false">
      <c r="B29" s="8" t="s">
        <v>33</v>
      </c>
      <c r="C29" s="8"/>
      <c r="D29" s="8"/>
      <c r="E29" s="11" t="n">
        <f aca="false">COUNTIF(Produtos!$AB$9:$AB$78,"EXEMPLO*")</f>
        <v>24</v>
      </c>
      <c r="F29" s="11"/>
      <c r="G29" s="10"/>
      <c r="H29" s="10"/>
    </row>
    <row r="31" customFormat="false" ht="25.5" hidden="false" customHeight="true" outlineLevel="0" collapsed="false">
      <c r="A31" s="12" t="s">
        <v>34</v>
      </c>
      <c r="B31" s="12"/>
      <c r="C31" s="12"/>
      <c r="D31" s="12"/>
      <c r="E31" s="12"/>
      <c r="F31" s="12"/>
      <c r="G31" s="12"/>
      <c r="H31" s="12"/>
    </row>
    <row r="32" customFormat="false" ht="25.5" hidden="false" customHeight="true" outlineLevel="0" collapsed="false">
      <c r="A32" s="12" t="s">
        <v>35</v>
      </c>
      <c r="B32" s="12"/>
      <c r="C32" s="12"/>
      <c r="D32" s="12"/>
      <c r="E32" s="12"/>
      <c r="F32" s="12"/>
      <c r="G32" s="12"/>
      <c r="H32" s="12"/>
    </row>
  </sheetData>
  <mergeCells count="41">
    <mergeCell ref="A1:H3"/>
    <mergeCell ref="A5:H5"/>
    <mergeCell ref="A7:H7"/>
    <mergeCell ref="B8:C8"/>
    <mergeCell ref="D8:H8"/>
    <mergeCell ref="B9:C9"/>
    <mergeCell ref="D9:H9"/>
    <mergeCell ref="B10:C10"/>
    <mergeCell ref="D10:H10"/>
    <mergeCell ref="A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A19:H19"/>
    <mergeCell ref="B20:C20"/>
    <mergeCell ref="D20:H20"/>
    <mergeCell ref="B21:C21"/>
    <mergeCell ref="D21:H21"/>
    <mergeCell ref="B22:C22"/>
    <mergeCell ref="D22:H22"/>
    <mergeCell ref="B23:C23"/>
    <mergeCell ref="D23:H23"/>
    <mergeCell ref="A25:H25"/>
    <mergeCell ref="B26:D26"/>
    <mergeCell ref="E26:F26"/>
    <mergeCell ref="G26:H29"/>
    <mergeCell ref="B27:D27"/>
    <mergeCell ref="E27:F27"/>
    <mergeCell ref="B28:D28"/>
    <mergeCell ref="E28:F28"/>
    <mergeCell ref="B29:D29"/>
    <mergeCell ref="E29:F29"/>
    <mergeCell ref="A31:H31"/>
    <mergeCell ref="A32:H32"/>
  </mergeCells>
  <hyperlinks>
    <hyperlink ref="B8" location="Cliente!A1" display="1 · CLIENTE"/>
    <hyperlink ref="B9" location="Comparar!A1" display="2 · COMPARAR"/>
    <hyperlink ref="B10" location="Relatorio!A1" display="3 · RELATÓRIO"/>
    <hyperlink ref="B13" location="Consultor!A1" display="CONSULTOR"/>
    <hyperlink ref="B14" location="MesAMes!A1" display="MÊS A MÊS"/>
    <hyperlink ref="B15" location="Imovel!A1" display="IMÓVEL"/>
    <hyperlink ref="B16" location="Previdencia!A1" display="PREVIDÊNCIA"/>
    <hyperlink ref="B17" location="Adequacao!A1" display="ADERÊNCIA"/>
    <hyperlink ref="B20" location="Produtos!A1" display="PRODUTOS"/>
    <hyperlink ref="B21" location="Premissas!A1" display="PREMISSAS"/>
    <hyperlink ref="B22" location="Fontes!A1" display="FONTES"/>
    <hyperlink ref="B23" location="Glossario!A1" display="GLOSSÁ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CA9"/>
    <pageSetUpPr fitToPage="fals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1" min="10" style="0" width="32"/>
    <col collapsed="false" customWidth="true" hidden="false" outlineLevel="0" max="12" min="12" style="0" width="2"/>
  </cols>
  <sheetData>
    <row r="1" customFormat="false" ht="33.75" hidden="false" customHeight="true" outlineLevel="0" collapsed="false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8" hidden="false" customHeight="true" outlineLevel="0" collapsed="false">
      <c r="A2" s="14" t="s">
        <v>37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21.75" hidden="false" customHeight="true" outlineLevel="0" collapsed="false">
      <c r="A4" s="3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5.5" hidden="false" customHeight="true" outlineLevel="0" collapsed="false">
      <c r="B5" s="15" t="s">
        <v>39</v>
      </c>
      <c r="C5" s="15"/>
      <c r="D5" s="15"/>
      <c r="E5" s="15"/>
      <c r="F5" s="16" t="s">
        <v>40</v>
      </c>
      <c r="G5" s="16"/>
    </row>
    <row r="6" customFormat="false" ht="25.5" hidden="false" customHeight="true" outlineLevel="0" collapsed="false">
      <c r="B6" s="15" t="s">
        <v>41</v>
      </c>
      <c r="C6" s="15"/>
      <c r="D6" s="15"/>
      <c r="E6" s="15"/>
      <c r="F6" s="17" t="n">
        <f aca="true">TODAY()</f>
        <v>46257</v>
      </c>
      <c r="G6" s="17"/>
    </row>
    <row r="8" customFormat="false" ht="21.75" hidden="false" customHeight="true" outlineLevel="0" collapsed="false">
      <c r="A8" s="3" t="s">
        <v>42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18" t="s">
        <v>43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customFormat="false" ht="25.5" hidden="false" customHeight="true" outlineLevel="0" collapsed="false">
      <c r="B10" s="15" t="s">
        <v>44</v>
      </c>
      <c r="C10" s="15"/>
      <c r="D10" s="15"/>
      <c r="E10" s="15"/>
      <c r="F10" s="19" t="n">
        <v>150000</v>
      </c>
      <c r="G10" s="19"/>
    </row>
    <row r="11" customFormat="false" ht="13.5" hidden="false" customHeight="true" outlineLevel="0" collapsed="false">
      <c r="B11" s="20" t="s">
        <v>45</v>
      </c>
      <c r="C11" s="20"/>
      <c r="D11" s="20"/>
      <c r="E11" s="20"/>
      <c r="F11" s="20"/>
      <c r="G11" s="20"/>
    </row>
    <row r="12" customFormat="false" ht="25.5" hidden="false" customHeight="true" outlineLevel="0" collapsed="false">
      <c r="B12" s="15" t="s">
        <v>46</v>
      </c>
      <c r="C12" s="15"/>
      <c r="D12" s="15"/>
      <c r="E12" s="15"/>
      <c r="F12" s="19" t="n">
        <v>0</v>
      </c>
      <c r="G12" s="19"/>
    </row>
    <row r="13" customFormat="false" ht="13.5" hidden="false" customHeight="true" outlineLevel="0" collapsed="false">
      <c r="B13" s="20" t="s">
        <v>47</v>
      </c>
      <c r="C13" s="20"/>
      <c r="D13" s="20"/>
      <c r="E13" s="20"/>
      <c r="F13" s="20"/>
      <c r="G13" s="20"/>
    </row>
    <row r="14" customFormat="false" ht="25.5" hidden="false" customHeight="true" outlineLevel="0" collapsed="false">
      <c r="B14" s="15" t="s">
        <v>48</v>
      </c>
      <c r="C14" s="15"/>
      <c r="D14" s="15"/>
      <c r="E14" s="15"/>
      <c r="F14" s="16" t="s">
        <v>49</v>
      </c>
      <c r="G14" s="16"/>
    </row>
    <row r="15" customFormat="false" ht="19.5" hidden="false" customHeight="true" outlineLevel="0" collapsed="false">
      <c r="B15" s="15" t="s">
        <v>50</v>
      </c>
      <c r="C15" s="15"/>
      <c r="D15" s="15"/>
      <c r="E15" s="15"/>
      <c r="F15" s="21" t="n">
        <v>120</v>
      </c>
      <c r="G15" s="21"/>
    </row>
    <row r="16" customFormat="false" ht="21.75" hidden="false" customHeight="true" outlineLevel="0" collapsed="false">
      <c r="B16" s="22" t="s">
        <v>51</v>
      </c>
      <c r="C16" s="22"/>
      <c r="D16" s="22"/>
      <c r="E16" s="22"/>
      <c r="F16" s="23" t="n">
        <f aca="false">IF(IN_HORIZONTE="Prazo personalizado",MAX(1,MIN(240,IN_PRAZO_CUSTOM)),IFERROR(INDEX(Premissas!$B$85:$B$90,MATCH(IN_HORIZONTE,Premissas!$A$85:$A$90,0)),120))</f>
        <v>120</v>
      </c>
      <c r="G16" s="23"/>
      <c r="H16" s="24" t="str">
        <f aca="false">"Isso equivale a cerca de "&amp;ROUND(IN_PRAZO/12,1)&amp;" anos."</f>
        <v>Isso equivale a cerca de 10 anos.</v>
      </c>
      <c r="I16" s="24"/>
      <c r="J16" s="24"/>
      <c r="K16" s="24"/>
    </row>
    <row r="18" customFormat="false" ht="25.5" hidden="false" customHeight="true" outlineLevel="0" collapsed="false">
      <c r="B18" s="15" t="s">
        <v>52</v>
      </c>
      <c r="C18" s="15"/>
      <c r="D18" s="15"/>
      <c r="E18" s="15"/>
      <c r="F18" s="16" t="s">
        <v>53</v>
      </c>
      <c r="G18" s="16"/>
    </row>
    <row r="19" customFormat="false" ht="13.5" hidden="false" customHeight="true" outlineLevel="0" collapsed="false">
      <c r="B19" s="20" t="s">
        <v>54</v>
      </c>
      <c r="C19" s="20"/>
      <c r="D19" s="20"/>
      <c r="E19" s="20"/>
      <c r="F19" s="20"/>
      <c r="G19" s="20"/>
    </row>
    <row r="20" customFormat="false" ht="25.5" hidden="false" customHeight="true" outlineLevel="0" collapsed="false">
      <c r="B20" s="15" t="s">
        <v>55</v>
      </c>
      <c r="C20" s="15"/>
      <c r="D20" s="15"/>
      <c r="E20" s="15"/>
      <c r="F20" s="16" t="s">
        <v>56</v>
      </c>
      <c r="G20" s="16"/>
    </row>
    <row r="21" customFormat="false" ht="13.5" hidden="false" customHeight="true" outlineLevel="0" collapsed="false">
      <c r="B21" s="20" t="s">
        <v>57</v>
      </c>
      <c r="C21" s="20"/>
      <c r="D21" s="20"/>
      <c r="E21" s="20"/>
      <c r="F21" s="20"/>
      <c r="G21" s="20"/>
    </row>
    <row r="22" customFormat="false" ht="25.5" hidden="false" customHeight="true" outlineLevel="0" collapsed="false">
      <c r="B22" s="15" t="s">
        <v>58</v>
      </c>
      <c r="C22" s="15"/>
      <c r="D22" s="15"/>
      <c r="E22" s="15"/>
      <c r="F22" s="16" t="s">
        <v>59</v>
      </c>
      <c r="G22" s="16"/>
    </row>
    <row r="23" customFormat="false" ht="13.5" hidden="false" customHeight="true" outlineLevel="0" collapsed="false">
      <c r="B23" s="20" t="s">
        <v>60</v>
      </c>
      <c r="C23" s="20"/>
      <c r="D23" s="20"/>
      <c r="E23" s="20"/>
      <c r="F23" s="20"/>
      <c r="G23" s="20"/>
    </row>
    <row r="24" customFormat="false" ht="24" hidden="false" customHeight="true" outlineLevel="0" collapsed="false">
      <c r="B24" s="25" t="str">
        <f aca="false">IF(IN_CAPITAL&lt;=0,"⚠ Informe quanto o cliente pretende investir para a simulação começar.",IF(COUNTIF(Motor!$B$9:$G$9,1)=0,"⚠ Nenhuma alternativa escolhida ainda. Vá até a aba Consultor ou ligue a sugestão automática.","Tudo certo. Os resultados abaixo já refletem estas respostas."))</f>
        <v>Tudo certo. Os resultados abaixo já refletem estas respostas.</v>
      </c>
      <c r="C24" s="25"/>
      <c r="D24" s="25"/>
      <c r="E24" s="25"/>
      <c r="F24" s="25"/>
      <c r="G24" s="25"/>
      <c r="H24" s="25"/>
      <c r="I24" s="25"/>
      <c r="J24" s="25"/>
      <c r="K24" s="25"/>
    </row>
    <row r="26" customFormat="false" ht="21.75" hidden="false" customHeight="true" outlineLevel="0" collapsed="false">
      <c r="A26" s="3" t="s">
        <v>61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18" t="s">
        <v>62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customFormat="false" ht="21.75" hidden="false" customHeight="true" outlineLevel="0" collapsed="false">
      <c r="B28" s="15" t="s">
        <v>63</v>
      </c>
      <c r="C28" s="15"/>
      <c r="D28" s="15"/>
      <c r="E28" s="15"/>
      <c r="F28" s="16" t="s">
        <v>64</v>
      </c>
      <c r="G28" s="16"/>
      <c r="H28" s="26" t="str">
        <f aca="false">IF(IN_DESTAQUE="Imóvel","Imóvel para aluguel",IFERROR(INDEX(Motor!$B$6:$G$6,MATCH("ALTERNATIVA "&amp;IN_DESTAQUE,Motor!$B$5:$G$5,0)),"(não escolhida)"))</f>
        <v>Tesouro Prefixado 2031</v>
      </c>
      <c r="I28" s="26"/>
      <c r="J28" s="26"/>
      <c r="K28" s="26"/>
    </row>
    <row r="30" customFormat="false" ht="18" hidden="false" customHeight="true" outlineLevel="0" collapsed="false">
      <c r="B30" s="27" t="s">
        <v>65</v>
      </c>
      <c r="C30" s="27"/>
      <c r="D30" s="27" t="str">
        <f aca="false">"EM "&amp;ROUND(INT(IN_PRAZO/2)/12,0)&amp;" ANOS"</f>
        <v>EM 5 ANOS</v>
      </c>
      <c r="E30" s="27"/>
      <c r="F30" s="27" t="str">
        <f aca="false">"EM "&amp;ROUND(IN_PRAZO/12,0)&amp;" ANOS"</f>
        <v>EM 10 ANOS</v>
      </c>
      <c r="G30" s="27"/>
      <c r="H30" s="27" t="s">
        <v>66</v>
      </c>
      <c r="I30" s="27"/>
    </row>
    <row r="31" customFormat="false" ht="33.75" hidden="false" customHeight="true" outlineLevel="0" collapsed="false">
      <c r="B31" s="28" t="n">
        <f aca="false">IN_CAPITAL</f>
        <v>150000</v>
      </c>
      <c r="C31" s="28"/>
      <c r="D31" s="28" t="n">
        <f aca="false">IF(IN_DESTAQUE="Imóvel",MotorImovel!$B$35,IFERROR(INDEX(Motor!$B$41:$G$41,MATCH("ALTERNATIVA "&amp;IN_DESTAQUE,Motor!$B$5:$G$5,0)),0))</f>
        <v>244983.506178358</v>
      </c>
      <c r="E31" s="28"/>
      <c r="F31" s="28" t="n">
        <f aca="false">IF(IN_DESTAQUE="Imóvel",MotorImovel!$B$34,IFERROR(INDEX(Motor!$B$40:$G$40,MATCH("ALTERNATIVA "&amp;IN_DESTAQUE,Motor!$B$5:$G$5,0)),0))</f>
        <v>410726.749187574</v>
      </c>
      <c r="G31" s="28"/>
      <c r="H31" s="28" t="n">
        <f aca="false">IF(IN_DESTAQUE="Imóvel",MotorImovel!$B$38,IFERROR(INDEX(Motor!$B$44:$G$44,MATCH("ALTERNATIVA "&amp;IN_DESTAQUE,Motor!$B$5:$G$5,0)),0))</f>
        <v>260726.749187574</v>
      </c>
      <c r="I31" s="28"/>
    </row>
    <row r="32" customFormat="false" ht="21.75" hidden="false" customHeight="true" outlineLevel="0" collapsed="false">
      <c r="B32" s="29" t="str">
        <f aca="false">"Mais "&amp;TEXT(IN_APORTE,"R$ #,##0")&amp;" por mês"</f>
        <v>Mais R$ 0 por mês</v>
      </c>
      <c r="C32" s="29"/>
      <c r="D32" s="29" t="str">
        <f aca="false">"Metade do caminho"</f>
        <v>Metade do caminho</v>
      </c>
      <c r="E32" s="29"/>
      <c r="F32" s="29" t="str">
        <f aca="false">"Já com imposto e custos descontados"</f>
        <v>Já com imposto e custos descontados</v>
      </c>
      <c r="G32" s="29"/>
      <c r="H32" s="29" t="str">
        <f aca="false">"Equivale a "&amp;TEXT(IF(IN_DESTAQUE="Imóvel",MotorImovel!$B$41,IFERROR(INDEX(Motor!$B$47:$G$47,MATCH("ALTERNATIVA "&amp;IN_DESTAQUE,Motor!$B$5:$G$5,0)),0)),"0.0%")&amp;" sobre o investido"</f>
        <v>Equivale a 173.8% sobre o investido</v>
      </c>
      <c r="I32" s="29"/>
    </row>
    <row r="34" customFormat="false" ht="21.75" hidden="false" customHeight="true" outlineLevel="0" collapsed="false">
      <c r="A34" s="3" t="s">
        <v>67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.75" hidden="false" customHeight="true" outlineLevel="0" collapsed="false">
      <c r="B35" s="30" t="s">
        <v>68</v>
      </c>
      <c r="C35" s="30"/>
      <c r="D35" s="30" t="s">
        <v>69</v>
      </c>
      <c r="E35" s="30"/>
      <c r="F35" s="30" t="s">
        <v>70</v>
      </c>
      <c r="G35" s="30"/>
      <c r="H35" s="30" t="s">
        <v>71</v>
      </c>
      <c r="I35" s="30"/>
      <c r="J35" s="31" t="str">
        <f aca="false">"O valor acima já está descontado de imposto e de custos. Em poder de compra de hoje, equivale a "&amp;TEXT(IF(IN_DESTAQUE="Imóvel",MotorImovel!$B$36,IFERROR(INDEX(Motor!$B$42:$G$42,MATCH("ALTERNATIVA "&amp;IN_DESTAQUE,Motor!$B$5:$G$5,0)),0)),"R$ #,##0")&amp;"."</f>
        <v>O valor acima já está descontado de imposto e de custos. Em poder de compra de hoje, equivale a R$ 277,472.</v>
      </c>
      <c r="K35" s="31"/>
    </row>
    <row r="36" customFormat="false" ht="27.75" hidden="false" customHeight="true" outlineLevel="0" collapsed="false">
      <c r="B36" s="32" t="str">
        <f aca="false">IF(IN_DESTAQUE="Imóvel",MotorImovel!$B$50,IFERROR(INDEX(Motor!$B$56:$G$56,MATCH("ALTERNATIVA "&amp;IN_DESTAQUE,Motor!$B$5:$G$5,0)),0))</f>
        <v>Em 1 dia útil</v>
      </c>
      <c r="C36" s="32"/>
      <c r="D36" s="32" t="str">
        <f aca="false">IF(IN_DESTAQUE="Imóvel",MotorImovel!$B$51,IFERROR(INDEX(Motor!$B$57:$G$57,MATCH("ALTERNATIVA "&amp;IN_DESTAQUE,Motor!$B$5:$G$5,0)),0))</f>
        <v>Baixa</v>
      </c>
      <c r="E36" s="32"/>
      <c r="F36" s="33" t="n">
        <f aca="false">IF(IN_DESTAQUE="Imóvel",MotorImovel!$B$45,IFERROR(INDEX(Motor!$B$51:$G$51,MATCH("ALTERNATIVA "&amp;IN_DESTAQUE,Motor!$B$5:$G$5,0)),0))</f>
        <v>3254.51962490677</v>
      </c>
      <c r="G36" s="33"/>
      <c r="H36" s="33" t="n">
        <f aca="false">IF(IN_DESTAQUE="Imóvel",MotorImovel!$B$39,IFERROR(INDEX(Motor!$B$45:$G$45,MATCH("ALTERNATIVA "&amp;IN_DESTAQUE,Motor!$B$5:$G$5,0)),0))</f>
        <v>46010.6027978071</v>
      </c>
      <c r="I36" s="33"/>
      <c r="J36" s="31"/>
      <c r="K36" s="31"/>
    </row>
    <row r="38" customFormat="false" ht="21.75" hidden="false" customHeight="true" outlineLevel="0" collapsed="false">
      <c r="A38" s="3" t="s">
        <v>72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24" hidden="false" customHeight="true" outlineLevel="0" collapsed="false">
      <c r="A39" s="18" t="s">
        <v>73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customFormat="false" ht="30" hidden="false" customHeight="true" outlineLevel="0" collapsed="false">
      <c r="B40" s="34" t="s">
        <v>74</v>
      </c>
      <c r="C40" s="34" t="s">
        <v>75</v>
      </c>
      <c r="D40" s="34" t="s">
        <v>76</v>
      </c>
      <c r="E40" s="34" t="s">
        <v>77</v>
      </c>
      <c r="F40" s="34" t="s">
        <v>78</v>
      </c>
      <c r="G40" s="34" t="s">
        <v>79</v>
      </c>
      <c r="H40" s="34" t="s">
        <v>80</v>
      </c>
      <c r="I40" s="34" t="s">
        <v>81</v>
      </c>
      <c r="J40" s="34" t="s">
        <v>82</v>
      </c>
      <c r="K40" s="34" t="s">
        <v>83</v>
      </c>
    </row>
    <row r="41" customFormat="false" ht="30" hidden="false" customHeight="true" outlineLevel="0" collapsed="false">
      <c r="B41" s="35" t="str">
        <f aca="false">IF(Motor!$B$9=0,"—",Motor!$B$6)</f>
        <v>Tesouro Prefixado 2031</v>
      </c>
      <c r="C41" s="36" t="n">
        <f aca="false">IF(Motor!$B$9=0,"",Motor!$B$40)</f>
        <v>410726.749187574</v>
      </c>
      <c r="D41" s="37" t="n">
        <f aca="false">IF(Motor!$B$9=0,"",Motor!$B$44)</f>
        <v>260726.749187574</v>
      </c>
      <c r="E41" s="37" t="n">
        <f aca="false">IF(Motor!$B$9=0,"",Motor!$B$51)</f>
        <v>3254.51962490677</v>
      </c>
      <c r="F41" s="38" t="str">
        <f aca="false">IF(Motor!$B$9=0,"",Motor!$B$56)</f>
        <v>Em 1 dia útil</v>
      </c>
      <c r="G41" s="39" t="str">
        <f aca="false">IF(Motor!$B$9=0,"",Motor!$B$57)</f>
        <v>Baixa</v>
      </c>
      <c r="H41" s="37" t="n">
        <f aca="false">IF(Motor!$B$9=0,"",Motor!$B$42)</f>
        <v>277472.274929425</v>
      </c>
      <c r="I41" s="38" t="str">
        <f aca="false">IF(Motor!$B$9=0,"",IFERROR(INDEX(Adequacao!$S$9:$S$78,MATCH(Motor!$B$6,Adequacao!$B$9:$B$78,0)),"—"))</f>
        <v>Pode fazer sentido</v>
      </c>
      <c r="J41" s="40" t="str">
        <f aca="false">IF(Motor!$B$9=0,"",IFERROR(INDEX(Adequacao!$T$9:$T$78,MATCH(Motor!$B$6,Adequacao!$B$9:$B$78,0)),""))</f>
        <v>A taxa fica travada na contratação: não cai se os juros da economia caírem.</v>
      </c>
      <c r="K41" s="40" t="str">
        <f aca="false">IF(Motor!$B$9=0,"",IFERROR(INDEX(Adequacao!$U$9:$U$78,MATCH(Motor!$B$6,Adequacao!$B$9:$B$78,0)),""))</f>
        <v>Se vender antes do vencimento, o preço pode estar abaixo do que você pagou.</v>
      </c>
    </row>
    <row r="42" customFormat="false" ht="30" hidden="false" customHeight="true" outlineLevel="0" collapsed="false">
      <c r="B42" s="41" t="str">
        <f aca="false">IF(Motor!$C$9=0,"—",Motor!$C$6)</f>
        <v>Tesouro IPCA+ 2035</v>
      </c>
      <c r="C42" s="42" t="n">
        <f aca="false">IF(Motor!$C$9=0,"",Motor!$C$40)</f>
        <v>353849.18598047</v>
      </c>
      <c r="D42" s="43" t="n">
        <f aca="false">IF(Motor!$C$9=0,"",Motor!$C$44)</f>
        <v>203849.18598047</v>
      </c>
      <c r="E42" s="43" t="n">
        <f aca="false">IF(Motor!$C$9=0,"",Motor!$C$51)</f>
        <v>2403.33481029411</v>
      </c>
      <c r="F42" s="44" t="str">
        <f aca="false">IF(Motor!$C$9=0,"",Motor!$C$56)</f>
        <v>Em 1 dia útil</v>
      </c>
      <c r="G42" s="45" t="str">
        <f aca="false">IF(Motor!$C$9=0,"",Motor!$C$57)</f>
        <v>Baixa</v>
      </c>
      <c r="H42" s="43" t="n">
        <f aca="false">IF(Motor!$C$9=0,"",Motor!$C$42)</f>
        <v>239047.831216581</v>
      </c>
      <c r="I42" s="44" t="str">
        <f aca="false">IF(Motor!$C$9=0,"",IFERROR(INDEX(Adequacao!$S$9:$S$78,MATCH(Motor!$C$6,Adequacao!$B$9:$B$78,0)),"—"))</f>
        <v>Pode fazer sentido</v>
      </c>
      <c r="J42" s="46" t="str">
        <f aca="false">IF(Motor!$C$9=0,"",IFERROR(INDEX(Adequacao!$T$9:$T$78,MATCH(Motor!$C$6,Adequacao!$B$9:$B$78,0)),""))</f>
        <v>Protege o poder de compra: rende a inflação mais uma taxa fixa por cima.</v>
      </c>
      <c r="K42" s="46" t="str">
        <f aca="false">IF(Motor!$C$9=0,"",IFERROR(INDEX(Adequacao!$U$9:$U$78,MATCH(Motor!$C$6,Adequacao!$B$9:$B$78,0)),""))</f>
        <v>Se vender antes do vencimento, o preço pode estar abaixo do que você pagou.</v>
      </c>
    </row>
    <row r="43" customFormat="false" ht="30" hidden="false" customHeight="true" outlineLevel="0" collapsed="false">
      <c r="B43" s="35" t="str">
        <f aca="false">IF(Motor!$D$9=0,"—",Motor!$D$6)</f>
        <v>Fundo CAIXA RF Crédito Privado LP</v>
      </c>
      <c r="C43" s="36" t="n">
        <f aca="false">IF(Motor!$D$9=0,"",Motor!$D$40)</f>
        <v>344477.26800885</v>
      </c>
      <c r="D43" s="37" t="n">
        <f aca="false">IF(Motor!$D$9=0,"",Motor!$D$44)</f>
        <v>194477.26800885</v>
      </c>
      <c r="E43" s="37" t="n">
        <f aca="false">IF(Motor!$D$9=0,"",Motor!$D$51)</f>
        <v>2387.93680069255</v>
      </c>
      <c r="F43" s="38" t="str">
        <f aca="false">IF(Motor!$D$9=0,"",Motor!$D$56)</f>
        <v>Em até 30 dias</v>
      </c>
      <c r="G43" s="39" t="str">
        <f aca="false">IF(Motor!$D$9=0,"",Motor!$D$57)</f>
        <v>Baixa</v>
      </c>
      <c r="H43" s="37" t="n">
        <f aca="false">IF(Motor!$D$9=0,"",Motor!$D$42)</f>
        <v>232716.499241781</v>
      </c>
      <c r="I43" s="38" t="str">
        <f aca="false">IF(Motor!$D$9=0,"",IFERROR(INDEX(Adequacao!$S$9:$S$78,MATCH(Motor!$D$6,Adequacao!$B$9:$B$78,0)),"—"))</f>
        <v>Pode fazer sentido</v>
      </c>
      <c r="J43" s="40" t="str">
        <f aca="false">IF(Motor!$D$9=0,"",IFERROR(INDEX(Adequacao!$T$9:$T$78,MATCH(Motor!$D$6,Adequacao!$B$9:$B$78,0)),""))</f>
        <v>Combina com o prazo, a liquidez e a prioridade informados.</v>
      </c>
      <c r="K43" s="40" t="str">
        <f aca="false">IF(Motor!$D$9=0,"",IFERROR(INDEX(Adequacao!$U$9:$U$78,MATCH(Motor!$D$6,Adequacao!$B$9:$B$78,0)),""))</f>
        <v>Tem come-cotas em maio e novembro, que antecipam parte do imposto.</v>
      </c>
    </row>
    <row r="44" customFormat="false" ht="30" hidden="false" customHeight="true" outlineLevel="0" collapsed="false">
      <c r="B44" s="41" t="str">
        <f aca="false">IF(Motor!$E$9=0,"—",Motor!$E$6)</f>
        <v>VGBL CAIXA Composto 30 — Regressivo</v>
      </c>
      <c r="C44" s="42" t="n">
        <f aca="false">IF(Motor!$E$9=0,"",Motor!$E$40)</f>
        <v>376188.272968797</v>
      </c>
      <c r="D44" s="43" t="n">
        <f aca="false">IF(Motor!$E$9=0,"",Motor!$E$44)</f>
        <v>226188.272968797</v>
      </c>
      <c r="E44" s="43" t="n">
        <f aca="false">IF(Motor!$E$9=0,"",Motor!$E$51)</f>
        <v>2730.34948662969</v>
      </c>
      <c r="F44" s="44" t="str">
        <f aca="false">IF(Motor!$E$9=0,"",Motor!$E$56)</f>
        <v>Em até 5 dias</v>
      </c>
      <c r="G44" s="45" t="str">
        <f aca="false">IF(Motor!$E$9=0,"",Motor!$E$57)</f>
        <v>Média</v>
      </c>
      <c r="H44" s="43" t="n">
        <f aca="false">IF(Motor!$E$9=0,"",Motor!$E$42)</f>
        <v>254139.317950178</v>
      </c>
      <c r="I44" s="44" t="str">
        <f aca="false">IF(Motor!$E$9=0,"",IFERROR(INDEX(Adequacao!$S$9:$S$78,MATCH(Motor!$E$6,Adequacao!$B$9:$B$78,0)),"—"))</f>
        <v>Pode fazer sentido</v>
      </c>
      <c r="J44" s="46" t="str">
        <f aca="false">IF(Motor!$E$9=0,"",IFERROR(INDEX(Adequacao!$T$9:$T$78,MATCH(Motor!$E$6,Adequacao!$B$9:$B$78,0)),""))</f>
        <v>No prazo escolhido a previdência alcança a menor alíquota de imposto (10%).</v>
      </c>
      <c r="K44" s="46" t="str">
        <f aca="false">IF(Motor!$E$9=0,"",IFERROR(INDEX(Adequacao!$U$9:$U$78,MATCH(Motor!$E$6,Adequacao!$B$9:$B$78,0)),""))</f>
        <v>Não tem cobertura do FGC: quem responde pelo dinheiro é a seguradora.</v>
      </c>
    </row>
    <row r="45" customFormat="false" ht="30" hidden="false" customHeight="true" outlineLevel="0" collapsed="false">
      <c r="B45" s="35" t="str">
        <f aca="false">IF(Motor!$F$9=0,"—",Motor!$F$6)</f>
        <v>PGBL CAIXA Composto 30 — Regressivo</v>
      </c>
      <c r="C45" s="36" t="n">
        <f aca="false">IF(Motor!$F$9=0,"",Motor!$F$40)</f>
        <v>353688.272968797</v>
      </c>
      <c r="D45" s="37" t="n">
        <f aca="false">IF(Motor!$F$9=0,"",Motor!$F$44)</f>
        <v>203688.272968797</v>
      </c>
      <c r="E45" s="37" t="n">
        <f aca="false">IF(Motor!$F$9=0,"",Motor!$F$51)</f>
        <v>2567.04598180655</v>
      </c>
      <c r="F45" s="38" t="str">
        <f aca="false">IF(Motor!$F$9=0,"",Motor!$F$56)</f>
        <v>Em até 5 dias</v>
      </c>
      <c r="G45" s="39" t="str">
        <f aca="false">IF(Motor!$F$9=0,"",Motor!$F$57)</f>
        <v>Média</v>
      </c>
      <c r="H45" s="37" t="n">
        <f aca="false">IF(Motor!$F$9=0,"",Motor!$F$42)</f>
        <v>238939.124151598</v>
      </c>
      <c r="I45" s="38" t="str">
        <f aca="false">IF(Motor!$F$9=0,"",IFERROR(INDEX(Adequacao!$S$9:$S$78,MATCH(Motor!$F$6,Adequacao!$B$9:$B$78,0)),"—"))</f>
        <v>Pode fazer sentido</v>
      </c>
      <c r="J45" s="40" t="str">
        <f aca="false">IF(Motor!$F$9=0,"",IFERROR(INDEX(Adequacao!$T$9:$T$78,MATCH(Motor!$F$6,Adequacao!$B$9:$B$78,0)),""))</f>
        <v>No prazo escolhido a previdência alcança a menor alíquota de imposto (10%).</v>
      </c>
      <c r="K45" s="40" t="str">
        <f aca="false">IF(Motor!$F$9=0,"",IFERROR(INDEX(Adequacao!$U$9:$U$78,MATCH(Motor!$F$6,Adequacao!$B$9:$B$78,0)),""))</f>
        <v>Não tem cobertura do FGC: quem responde pelo dinheiro é a seguradora.</v>
      </c>
    </row>
    <row r="46" customFormat="false" ht="30" hidden="false" customHeight="true" outlineLevel="0" collapsed="false">
      <c r="B46" s="41" t="str">
        <f aca="false">IF(Motor!$G$9=0,"—",Motor!$G$6)</f>
        <v>Fundo CAIXA RF IPCA Longo Prazo</v>
      </c>
      <c r="C46" s="42" t="n">
        <f aca="false">IF(Motor!$G$9=0,"",Motor!$G$40)</f>
        <v>316495.509338824</v>
      </c>
      <c r="D46" s="43" t="n">
        <f aca="false">IF(Motor!$G$9=0,"",Motor!$G$44)</f>
        <v>166495.509338824</v>
      </c>
      <c r="E46" s="43" t="n">
        <f aca="false">IF(Motor!$G$9=0,"",Motor!$G$51)</f>
        <v>1970.28211864106</v>
      </c>
      <c r="F46" s="44" t="str">
        <f aca="false">IF(Motor!$G$9=0,"",Motor!$G$56)</f>
        <v>Em até 5 dias</v>
      </c>
      <c r="G46" s="45" t="str">
        <f aca="false">IF(Motor!$G$9=0,"",Motor!$G$57)</f>
        <v>Média</v>
      </c>
      <c r="H46" s="43" t="n">
        <f aca="false">IF(Motor!$G$9=0,"",Motor!$G$42)</f>
        <v>213813.02570358</v>
      </c>
      <c r="I46" s="44" t="str">
        <f aca="false">IF(Motor!$G$9=0,"",IFERROR(INDEX(Adequacao!$S$9:$S$78,MATCH(Motor!$G$6,Adequacao!$B$9:$B$78,0)),"—"))</f>
        <v>Pode fazer sentido</v>
      </c>
      <c r="J46" s="46" t="str">
        <f aca="false">IF(Motor!$G$9=0,"",IFERROR(INDEX(Adequacao!$T$9:$T$78,MATCH(Motor!$G$6,Adequacao!$B$9:$B$78,0)),""))</f>
        <v>Protege o poder de compra: rende a inflação mais uma taxa fixa por cima.</v>
      </c>
      <c r="K46" s="46" t="str">
        <f aca="false">IF(Motor!$G$9=0,"",IFERROR(INDEX(Adequacao!$U$9:$U$78,MATCH(Motor!$G$6,Adequacao!$B$9:$B$78,0)),""))</f>
        <v>O valor oscila mês a mês: em prazo curto pode estar abaixo do que você aplicou.</v>
      </c>
    </row>
    <row r="47" customFormat="false" ht="30" hidden="false" customHeight="true" outlineLevel="0" collapsed="false">
      <c r="B47" s="35" t="str">
        <f aca="false">IF(MotorImovel!$B$5=0,"—","Imóvel para aluguel")</f>
        <v>Imóvel para aluguel</v>
      </c>
      <c r="C47" s="36" t="n">
        <f aca="false">IF(MotorImovel!$B$5=0,"",MotorImovel!$B$34)</f>
        <v>329895.572514463</v>
      </c>
      <c r="D47" s="37" t="n">
        <f aca="false">IF(MotorImovel!$B$5=0,"",MotorImovel!$B$38)</f>
        <v>174645.572514463</v>
      </c>
      <c r="E47" s="37" t="n">
        <f aca="false">IF(MotorImovel!$B$5=0,"",MotorImovel!$B$45)</f>
        <v>827.862635730365</v>
      </c>
      <c r="F47" s="38" t="str">
        <f aca="false">IF(MotorImovel!$B$5=0,"",MotorImovel!$B$50)</f>
        <v>Depende de encontrar comprador — normalmente meses</v>
      </c>
      <c r="G47" s="39" t="str">
        <f aca="false">IF(MotorImovel!$B$5=0,"",MotorImovel!$B$51)</f>
        <v>Média</v>
      </c>
      <c r="H47" s="37" t="n">
        <f aca="false">IF(MotorImovel!$B$5=0,"",MotorImovel!$B$36)</f>
        <v>222865.628245043</v>
      </c>
      <c r="I47" s="38" t="str">
        <f aca="false">IF(MotorImovel!$B$5=0,"",IFERROR(INDEX(Adequacao!$S$9:$S$78,MATCH("Imóvel para aluguel",Adequacao!$B$9:$B$78,0)),"—"))</f>
        <v>Pode fazer sentido</v>
      </c>
      <c r="J47" s="40" t="str">
        <f aca="false">IF(MotorImovel!$B$5=0,"",IFERROR(INDEX(Adequacao!$T$9:$T$78,MATCH("Imóvel para aluguel",Adequacao!$B$9:$B$78,0)),""))</f>
        <v>Combina com o prazo, a liquidez e a prioridade informados.</v>
      </c>
      <c r="K47" s="40" t="str">
        <f aca="false">IF(MotorImovel!$B$5=0,"",IFERROR(INDEX(Adequacao!$U$9:$U$78,MATCH("Imóvel para aluguel",Adequacao!$B$9:$B$78,0)),""))</f>
        <v>Não é dinheiro rápido: leva meses para virar caixa.</v>
      </c>
    </row>
    <row r="49" customFormat="false" ht="25.5" hidden="false" customHeight="true" outlineLevel="0" collapsed="false">
      <c r="A49" s="12" t="s">
        <v>35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1" customFormat="false" ht="25.5" hidden="false" customHeight="true" outlineLevel="0" collapsed="false">
      <c r="B51" s="47" t="s">
        <v>84</v>
      </c>
      <c r="C51" s="47"/>
      <c r="D51" s="47" t="s">
        <v>85</v>
      </c>
      <c r="E51" s="47"/>
      <c r="F51" s="47" t="s">
        <v>86</v>
      </c>
      <c r="G51" s="47"/>
      <c r="H51" s="47" t="s">
        <v>87</v>
      </c>
      <c r="I51" s="47"/>
      <c r="J51" s="47" t="s">
        <v>88</v>
      </c>
      <c r="K51" s="47"/>
      <c r="L51" s="47" t="s">
        <v>89</v>
      </c>
      <c r="M51" s="47"/>
    </row>
  </sheetData>
  <mergeCells count="68">
    <mergeCell ref="A1:K1"/>
    <mergeCell ref="A2:K2"/>
    <mergeCell ref="A4:K4"/>
    <mergeCell ref="B5:E5"/>
    <mergeCell ref="F5:G5"/>
    <mergeCell ref="B6:E6"/>
    <mergeCell ref="F6:G6"/>
    <mergeCell ref="A8:K8"/>
    <mergeCell ref="A9:K9"/>
    <mergeCell ref="B10:E10"/>
    <mergeCell ref="F10:G10"/>
    <mergeCell ref="B11:G11"/>
    <mergeCell ref="B12:E12"/>
    <mergeCell ref="F12:G12"/>
    <mergeCell ref="B13:G13"/>
    <mergeCell ref="B14:E14"/>
    <mergeCell ref="F14:G14"/>
    <mergeCell ref="B15:E15"/>
    <mergeCell ref="F15:G15"/>
    <mergeCell ref="B16:E16"/>
    <mergeCell ref="F16:G16"/>
    <mergeCell ref="H16:K16"/>
    <mergeCell ref="B18:E18"/>
    <mergeCell ref="F18:G18"/>
    <mergeCell ref="B19:G19"/>
    <mergeCell ref="B20:E20"/>
    <mergeCell ref="F20:G20"/>
    <mergeCell ref="B21:G21"/>
    <mergeCell ref="B22:E22"/>
    <mergeCell ref="F22:G22"/>
    <mergeCell ref="B23:G23"/>
    <mergeCell ref="B24:K24"/>
    <mergeCell ref="A26:K26"/>
    <mergeCell ref="A27:K27"/>
    <mergeCell ref="B28:E28"/>
    <mergeCell ref="F28:G28"/>
    <mergeCell ref="H28:K28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A34:K34"/>
    <mergeCell ref="B35:C35"/>
    <mergeCell ref="D35:E35"/>
    <mergeCell ref="F35:G35"/>
    <mergeCell ref="H35:I35"/>
    <mergeCell ref="J35:K36"/>
    <mergeCell ref="B36:C36"/>
    <mergeCell ref="D36:E36"/>
    <mergeCell ref="F36:G36"/>
    <mergeCell ref="H36:I36"/>
    <mergeCell ref="A38:K38"/>
    <mergeCell ref="A39:K39"/>
    <mergeCell ref="A49:K49"/>
    <mergeCell ref="B51:C51"/>
    <mergeCell ref="D51:E51"/>
    <mergeCell ref="F51:G51"/>
    <mergeCell ref="H51:I51"/>
    <mergeCell ref="J51:K51"/>
    <mergeCell ref="L51:M51"/>
  </mergeCells>
  <dataValidations count="5">
    <dataValidation allowBlank="true" errorStyle="stop" operator="between" showDropDown="false" showErrorMessage="false" showInputMessage="false" sqref="F14" type="list">
      <formula1>"Até 1 ano,1 a 3 anos,3 a 5 anos,5 a 10 anos,Mais de 10 anos,Prazo personalizado"</formula1>
      <formula2>0</formula2>
    </dataValidation>
    <dataValidation allowBlank="true" errorStyle="stop" operator="between" showDropDown="false" showErrorMessage="false" showInputMessage="false" sqref="F18" type="list">
      <formula1>"Sim,Talvez,Não"</formula1>
      <formula2>0</formula2>
    </dataValidation>
    <dataValidation allowBlank="true" errorStyle="stop" operator="between" showDropDown="false" showErrorMessage="false" showInputMessage="false" sqref="F20" type="list">
      <formula1>"Segurança acima de tudo,Equilíbrio entre segurança e rentabilidade,Rentabilidade,aceitando oscilação,Poder retirar a qualquer momento"</formula1>
      <formula2>0</formula2>
    </dataValidation>
    <dataValidation allowBlank="true" errorStyle="stop" operator="between" showDropDown="false" showErrorMessage="false" showInputMessage="false" sqref="F22" type="list">
      <formula1>"Conservador,Moderado,Arrojado"</formula1>
      <formula2>0</formula2>
    </dataValidation>
    <dataValidation allowBlank="true" errorStyle="stop" operator="between" showDropDown="false" showErrorMessage="false" showInputMessage="false" sqref="F28" type="list">
      <formula1>"A,B,C,D,E,F,Imóvel"</formula1>
      <formula2>0</formula2>
    </dataValidation>
  </dataValidations>
  <hyperlinks>
    <hyperlink ref="B51" location="Inicio!A1" display="◀ INÍCIO"/>
    <hyperlink ref="D51" location="Comparar!A1" display="VER GRÁFICOS ▶"/>
    <hyperlink ref="F51" location="MesAMes!A1" display="VER MÊS A MÊS"/>
    <hyperlink ref="H51" location="Glossario!A1" display="O QUE SIGNIFICA?"/>
    <hyperlink ref="J51" location="Relatorio!A1" display="GERAR RELATÓRIO"/>
    <hyperlink ref="L51" location="Consultor!A1" display="MODO CONSULT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CA9"/>
    <pageSetUpPr fitToPage="false"/>
  </sheetPr>
  <dimension ref="A1:Q9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1" min="9" style="0" width="13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3"/>
    <col collapsed="false" customWidth="true" hidden="false" outlineLevel="0" max="15" min="15" style="0" width="22"/>
    <col collapsed="false" customWidth="true" hidden="false" outlineLevel="0" max="17" min="17" style="0" width="16"/>
  </cols>
  <sheetData>
    <row r="1" customFormat="false" ht="33.75" hidden="false" customHeight="true" outlineLevel="0" collapsed="false">
      <c r="A1" s="13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customFormat="false" ht="18" hidden="false" customHeight="true" outlineLevel="0" collapsed="false">
      <c r="A2" s="14" t="s">
        <v>91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customFormat="false" ht="21.75" hidden="false" customHeight="true" outlineLevel="0" collapsed="false">
      <c r="A4" s="3" t="s">
        <v>92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48" t="str">
        <f aca="false">"  Cliente: "&amp;IN_NOME&amp;"   ·   Valor: "&amp;TEXT(IN_CAPITAL,"R$ #,##0")&amp;"   ·   Aporte mensal: "&amp;TEXT(IN_APORTE,"R$ #,##0")&amp;"   ·   Prazo: "&amp;IN_PRAZO&amp;" meses   ·   Cenário: "&amp;CENARIO&amp;"   ·   Dados de "&amp;DATA_DADOS</f>
        <v>  Cliente: (preencher)   ·   Valor: R$ 150,000   ·   Aporte mensal: R$ 0   ·   Prazo: 120 meses   ·   Cenário: Base   ·   Dados de 2026-08-23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customFormat="false" ht="33.75" hidden="false" customHeight="true" outlineLevel="0" collapsed="false">
      <c r="B6" s="34" t="s">
        <v>74</v>
      </c>
      <c r="C6" s="34" t="s">
        <v>93</v>
      </c>
      <c r="D6" s="34" t="s">
        <v>94</v>
      </c>
      <c r="E6" s="34" t="s">
        <v>95</v>
      </c>
      <c r="F6" s="34" t="s">
        <v>96</v>
      </c>
      <c r="G6" s="34" t="s">
        <v>97</v>
      </c>
      <c r="H6" s="34" t="s">
        <v>80</v>
      </c>
      <c r="I6" s="34" t="s">
        <v>98</v>
      </c>
      <c r="J6" s="34" t="s">
        <v>99</v>
      </c>
      <c r="K6" s="34" t="s">
        <v>100</v>
      </c>
      <c r="L6" s="34" t="s">
        <v>101</v>
      </c>
      <c r="M6" s="34" t="s">
        <v>78</v>
      </c>
      <c r="N6" s="34" t="s">
        <v>79</v>
      </c>
      <c r="O6" s="34" t="s">
        <v>102</v>
      </c>
      <c r="Q6" s="49" t="s">
        <v>103</v>
      </c>
    </row>
    <row r="7" customFormat="false" ht="25.5" hidden="false" customHeight="true" outlineLevel="0" collapsed="false">
      <c r="B7" s="35" t="str">
        <f aca="false">IF(Motor!$B$9=0,"— alternativa A não usada",Motor!$B$6)</f>
        <v>Tesouro Prefixado 2031</v>
      </c>
      <c r="C7" s="36" t="n">
        <f aca="false">IF(Motor!$B$9=0,0,Motor!$B$40)</f>
        <v>410726.749187574</v>
      </c>
      <c r="D7" s="37" t="n">
        <f aca="false">IF(Motor!$B$9=0,0,Motor!$B$43)</f>
        <v>150000</v>
      </c>
      <c r="E7" s="37" t="n">
        <f aca="false">IF(Motor!$B$9=0,0,Motor!$B$44)</f>
        <v>260726.749187574</v>
      </c>
      <c r="F7" s="37" t="n">
        <f aca="false">IF(Motor!$B$9=0,0,Motor!$B$45)</f>
        <v>46010.6027978071</v>
      </c>
      <c r="G7" s="37" t="n">
        <f aca="false">IF(Motor!$B$9=0,0,Motor!$B$46)</f>
        <v>5484.03771074322</v>
      </c>
      <c r="H7" s="37" t="n">
        <f aca="false">IF(Motor!$B$9=0,0,Motor!$B$42)</f>
        <v>277472.274929425</v>
      </c>
      <c r="I7" s="50" t="n">
        <f aca="false">IF(Motor!$B$9=0,0,Motor!$B$47)</f>
        <v>1.73817832791716</v>
      </c>
      <c r="J7" s="50" t="n">
        <f aca="false">IF(Motor!$B$9=0,0,Motor!$B$48)</f>
        <v>0.105977197221012</v>
      </c>
      <c r="K7" s="50" t="n">
        <f aca="false">IF(Motor!$B$9=0,0,Motor!$B$49)</f>
        <v>0.0634396127125114</v>
      </c>
      <c r="L7" s="37" t="n">
        <f aca="false">IF(Motor!$B$9=0,0,Motor!$B$51)</f>
        <v>3254.51962490677</v>
      </c>
      <c r="M7" s="38" t="str">
        <f aca="false">IF(Motor!$B$9=0,"",Motor!$B$56)</f>
        <v>Em 1 dia útil</v>
      </c>
      <c r="N7" s="39" t="str">
        <f aca="false">IF(Motor!$B$9=0,"",Motor!$B$57)</f>
        <v>Baixa</v>
      </c>
      <c r="O7" s="38" t="str">
        <f aca="false">IF(Motor!$B$9=0,"",IFERROR(INDEX(Adequacao!$S$9:$S$78,MATCH(Motor!$B$6,Adequacao!$B$9:$B$78,0)),"—"))</f>
        <v>Pode fazer sentido</v>
      </c>
      <c r="Q7" s="51" t="n">
        <f aca="false">IF(Motor!$B$9=0,"",$C7)</f>
        <v>410726.749187574</v>
      </c>
    </row>
    <row r="8" customFormat="false" ht="25.5" hidden="false" customHeight="true" outlineLevel="0" collapsed="false">
      <c r="B8" s="41" t="str">
        <f aca="false">IF(Motor!$C$9=0,"— alternativa B não usada",Motor!$C$6)</f>
        <v>Tesouro IPCA+ 2035</v>
      </c>
      <c r="C8" s="42" t="n">
        <f aca="false">IF(Motor!$C$9=0,0,Motor!$C$40)</f>
        <v>353849.18598047</v>
      </c>
      <c r="D8" s="43" t="n">
        <f aca="false">IF(Motor!$C$9=0,0,Motor!$C$43)</f>
        <v>150000</v>
      </c>
      <c r="E8" s="43" t="n">
        <f aca="false">IF(Motor!$C$9=0,0,Motor!$C$44)</f>
        <v>203849.18598047</v>
      </c>
      <c r="F8" s="43" t="n">
        <f aca="false">IF(Motor!$C$9=0,0,Motor!$C$45)</f>
        <v>35973.3857612593</v>
      </c>
      <c r="G8" s="43" t="n">
        <f aca="false">IF(Motor!$C$9=0,0,Motor!$C$46)</f>
        <v>5002.20694823784</v>
      </c>
      <c r="H8" s="43" t="n">
        <f aca="false">IF(Motor!$C$9=0,0,Motor!$C$42)</f>
        <v>239047.831216581</v>
      </c>
      <c r="I8" s="52" t="n">
        <f aca="false">IF(Motor!$C$9=0,0,Motor!$C$47)</f>
        <v>1.35899457320313</v>
      </c>
      <c r="J8" s="52" t="n">
        <f aca="false">IF(Motor!$C$9=0,0,Motor!$C$48)</f>
        <v>0.0896140489382591</v>
      </c>
      <c r="K8" s="52" t="n">
        <f aca="false">IF(Motor!$C$9=0,0,Motor!$C$49)</f>
        <v>0.0477058162867876</v>
      </c>
      <c r="L8" s="43" t="n">
        <f aca="false">IF(Motor!$C$9=0,0,Motor!$C$51)</f>
        <v>2403.33481029411</v>
      </c>
      <c r="M8" s="44" t="str">
        <f aca="false">IF(Motor!$C$9=0,"",Motor!$C$56)</f>
        <v>Em 1 dia útil</v>
      </c>
      <c r="N8" s="45" t="str">
        <f aca="false">IF(Motor!$C$9=0,"",Motor!$C$57)</f>
        <v>Baixa</v>
      </c>
      <c r="O8" s="44" t="str">
        <f aca="false">IF(Motor!$C$9=0,"",IFERROR(INDEX(Adequacao!$S$9:$S$78,MATCH(Motor!$C$6,Adequacao!$B$9:$B$78,0)),"—"))</f>
        <v>Pode fazer sentido</v>
      </c>
      <c r="Q8" s="51" t="n">
        <f aca="false">IF(Motor!$C$9=0,"",$C8)</f>
        <v>353849.18598047</v>
      </c>
    </row>
    <row r="9" customFormat="false" ht="25.5" hidden="false" customHeight="true" outlineLevel="0" collapsed="false">
      <c r="B9" s="35" t="str">
        <f aca="false">IF(Motor!$D$9=0,"— alternativa C não usada",Motor!$D$6)</f>
        <v>Fundo CAIXA RF Crédito Privado LP</v>
      </c>
      <c r="C9" s="36" t="n">
        <f aca="false">IF(Motor!$D$9=0,0,Motor!$D$40)</f>
        <v>344477.26800885</v>
      </c>
      <c r="D9" s="37" t="n">
        <f aca="false">IF(Motor!$D$9=0,0,Motor!$D$43)</f>
        <v>150000</v>
      </c>
      <c r="E9" s="37" t="n">
        <f aca="false">IF(Motor!$D$9=0,0,Motor!$D$44)</f>
        <v>194477.26800885</v>
      </c>
      <c r="F9" s="37" t="n">
        <f aca="false">IF(Motor!$D$9=0,0,Motor!$D$45)</f>
        <v>34319.5178839147</v>
      </c>
      <c r="G9" s="37" t="n">
        <f aca="false">IF(Motor!$D$9=0,0,Motor!$D$46)</f>
        <v>23378.9681096544</v>
      </c>
      <c r="H9" s="37" t="n">
        <f aca="false">IF(Motor!$D$9=0,0,Motor!$D$42)</f>
        <v>232716.499241781</v>
      </c>
      <c r="I9" s="50" t="n">
        <f aca="false">IF(Motor!$D$9=0,0,Motor!$D$47)</f>
        <v>1.296515120059</v>
      </c>
      <c r="J9" s="50" t="n">
        <f aca="false">IF(Motor!$D$9=0,0,Motor!$D$48)</f>
        <v>0.0866931535782689</v>
      </c>
      <c r="K9" s="50" t="n">
        <f aca="false">IF(Motor!$D$9=0,0,Motor!$D$49)</f>
        <v>0.0448972630560278</v>
      </c>
      <c r="L9" s="37" t="n">
        <f aca="false">IF(Motor!$D$9=0,0,Motor!$D$51)</f>
        <v>2387.93680069255</v>
      </c>
      <c r="M9" s="38" t="str">
        <f aca="false">IF(Motor!$D$9=0,"",Motor!$D$56)</f>
        <v>Em até 30 dias</v>
      </c>
      <c r="N9" s="39" t="str">
        <f aca="false">IF(Motor!$D$9=0,"",Motor!$D$57)</f>
        <v>Baixa</v>
      </c>
      <c r="O9" s="38" t="str">
        <f aca="false">IF(Motor!$D$9=0,"",IFERROR(INDEX(Adequacao!$S$9:$S$78,MATCH(Motor!$D$6,Adequacao!$B$9:$B$78,0)),"—"))</f>
        <v>Pode fazer sentido</v>
      </c>
      <c r="Q9" s="51" t="n">
        <f aca="false">IF(Motor!$D$9=0,"",$C9)</f>
        <v>344477.26800885</v>
      </c>
    </row>
    <row r="10" customFormat="false" ht="25.5" hidden="false" customHeight="true" outlineLevel="0" collapsed="false">
      <c r="B10" s="41" t="str">
        <f aca="false">IF(Motor!$E$9=0,"— alternativa D não usada",Motor!$E$6)</f>
        <v>VGBL CAIXA Composto 30 — Regressivo</v>
      </c>
      <c r="C10" s="42" t="n">
        <f aca="false">IF(Motor!$E$9=0,0,Motor!$E$40)</f>
        <v>376188.272968797</v>
      </c>
      <c r="D10" s="43" t="n">
        <f aca="false">IF(Motor!$E$9=0,0,Motor!$E$43)</f>
        <v>150000</v>
      </c>
      <c r="E10" s="43" t="n">
        <f aca="false">IF(Motor!$E$9=0,0,Motor!$E$44)</f>
        <v>226188.272968797</v>
      </c>
      <c r="F10" s="43" t="n">
        <f aca="false">IF(Motor!$E$9=0,0,Motor!$E$45)</f>
        <v>39915.577582729</v>
      </c>
      <c r="G10" s="43" t="n">
        <f aca="false">IF(Motor!$E$9=0,0,Motor!$E$46)</f>
        <v>38955.3499426552</v>
      </c>
      <c r="H10" s="43" t="n">
        <f aca="false">IF(Motor!$E$9=0,0,Motor!$E$42)</f>
        <v>254139.317950178</v>
      </c>
      <c r="I10" s="52" t="n">
        <f aca="false">IF(Motor!$E$9=0,0,Motor!$E$47)</f>
        <v>1.50792181979198</v>
      </c>
      <c r="J10" s="52" t="n">
        <f aca="false">IF(Motor!$E$9=0,0,Motor!$E$48)</f>
        <v>0.0963050115243007</v>
      </c>
      <c r="K10" s="52" t="n">
        <f aca="false">IF(Motor!$E$9=0,0,Motor!$E$49)</f>
        <v>0.0541394341579815</v>
      </c>
      <c r="L10" s="43" t="n">
        <f aca="false">IF(Motor!$E$9=0,0,Motor!$E$51)</f>
        <v>2730.34948662969</v>
      </c>
      <c r="M10" s="44" t="str">
        <f aca="false">IF(Motor!$E$9=0,"",Motor!$E$56)</f>
        <v>Em até 5 dias</v>
      </c>
      <c r="N10" s="45" t="str">
        <f aca="false">IF(Motor!$E$9=0,"",Motor!$E$57)</f>
        <v>Média</v>
      </c>
      <c r="O10" s="44" t="str">
        <f aca="false">IF(Motor!$E$9=0,"",IFERROR(INDEX(Adequacao!$S$9:$S$78,MATCH(Motor!$E$6,Adequacao!$B$9:$B$78,0)),"—"))</f>
        <v>Pode fazer sentido</v>
      </c>
      <c r="Q10" s="51" t="n">
        <f aca="false">IF(Motor!$E$9=0,"",$C10)</f>
        <v>376188.272968797</v>
      </c>
    </row>
    <row r="11" customFormat="false" ht="25.5" hidden="false" customHeight="true" outlineLevel="0" collapsed="false">
      <c r="B11" s="35" t="str">
        <f aca="false">IF(Motor!$F$9=0,"— alternativa E não usada",Motor!$F$6)</f>
        <v>PGBL CAIXA Composto 30 — Regressivo</v>
      </c>
      <c r="C11" s="36" t="n">
        <f aca="false">IF(Motor!$F$9=0,0,Motor!$F$40)</f>
        <v>353688.272968797</v>
      </c>
      <c r="D11" s="37" t="n">
        <f aca="false">IF(Motor!$F$9=0,0,Motor!$F$43)</f>
        <v>150000</v>
      </c>
      <c r="E11" s="37" t="n">
        <f aca="false">IF(Motor!$F$9=0,0,Motor!$F$44)</f>
        <v>203688.272968797</v>
      </c>
      <c r="F11" s="37" t="n">
        <f aca="false">IF(Motor!$F$9=0,0,Motor!$F$45)</f>
        <v>62415.577582729</v>
      </c>
      <c r="G11" s="37" t="n">
        <f aca="false">IF(Motor!$F$9=0,0,Motor!$F$46)</f>
        <v>38955.3499426552</v>
      </c>
      <c r="H11" s="37" t="n">
        <f aca="false">IF(Motor!$F$9=0,0,Motor!$F$42)</f>
        <v>238939.124151598</v>
      </c>
      <c r="I11" s="50" t="n">
        <f aca="false">IF(Motor!$F$9=0,0,Motor!$F$47)</f>
        <v>1.35792181979198</v>
      </c>
      <c r="J11" s="50" t="n">
        <f aca="false">IF(Motor!$F$9=0,0,Motor!$F$48)</f>
        <v>0.0895644885675699</v>
      </c>
      <c r="K11" s="50" t="n">
        <f aca="false">IF(Motor!$F$9=0,0,Motor!$F$49)</f>
        <v>0.0476581620842018</v>
      </c>
      <c r="L11" s="37" t="n">
        <f aca="false">IF(Motor!$F$9=0,0,Motor!$F$51)</f>
        <v>2567.04598180655</v>
      </c>
      <c r="M11" s="38" t="str">
        <f aca="false">IF(Motor!$F$9=0,"",Motor!$F$56)</f>
        <v>Em até 5 dias</v>
      </c>
      <c r="N11" s="39" t="str">
        <f aca="false">IF(Motor!$F$9=0,"",Motor!$F$57)</f>
        <v>Média</v>
      </c>
      <c r="O11" s="38" t="str">
        <f aca="false">IF(Motor!$F$9=0,"",IFERROR(INDEX(Adequacao!$S$9:$S$78,MATCH(Motor!$F$6,Adequacao!$B$9:$B$78,0)),"—"))</f>
        <v>Pode fazer sentido</v>
      </c>
      <c r="Q11" s="51" t="n">
        <f aca="false">IF(Motor!$F$9=0,"",$C11)</f>
        <v>353688.272968797</v>
      </c>
    </row>
    <row r="12" customFormat="false" ht="25.5" hidden="false" customHeight="true" outlineLevel="0" collapsed="false">
      <c r="B12" s="41" t="str">
        <f aca="false">IF(Motor!$G$9=0,"— alternativa F não usada",Motor!$G$6)</f>
        <v>Fundo CAIXA RF IPCA Longo Prazo</v>
      </c>
      <c r="C12" s="42" t="n">
        <f aca="false">IF(Motor!$G$9=0,0,Motor!$G$40)</f>
        <v>316495.509338824</v>
      </c>
      <c r="D12" s="43" t="n">
        <f aca="false">IF(Motor!$G$9=0,0,Motor!$G$43)</f>
        <v>150000</v>
      </c>
      <c r="E12" s="43" t="n">
        <f aca="false">IF(Motor!$G$9=0,0,Motor!$G$44)</f>
        <v>166495.509338824</v>
      </c>
      <c r="F12" s="43" t="n">
        <f aca="false">IF(Motor!$G$9=0,0,Motor!$G$45)</f>
        <v>29381.5604715571</v>
      </c>
      <c r="G12" s="43" t="n">
        <f aca="false">IF(Motor!$G$9=0,0,Motor!$G$46)</f>
        <v>22287.4516853296</v>
      </c>
      <c r="H12" s="43" t="n">
        <f aca="false">IF(Motor!$G$9=0,0,Motor!$G$42)</f>
        <v>213813.02570358</v>
      </c>
      <c r="I12" s="52" t="n">
        <f aca="false">IF(Motor!$G$9=0,0,Motor!$G$47)</f>
        <v>1.10997006225882</v>
      </c>
      <c r="J12" s="52" t="n">
        <f aca="false">IF(Motor!$G$9=0,0,Motor!$G$48)</f>
        <v>0.0775256802478885</v>
      </c>
      <c r="K12" s="52" t="n">
        <f aca="false">IF(Motor!$G$9=0,0,Motor!$G$49)</f>
        <v>0.0360823848537388</v>
      </c>
      <c r="L12" s="43" t="n">
        <f aca="false">IF(Motor!$G$9=0,0,Motor!$G$51)</f>
        <v>1970.28211864106</v>
      </c>
      <c r="M12" s="44" t="str">
        <f aca="false">IF(Motor!$G$9=0,"",Motor!$G$56)</f>
        <v>Em até 5 dias</v>
      </c>
      <c r="N12" s="45" t="str">
        <f aca="false">IF(Motor!$G$9=0,"",Motor!$G$57)</f>
        <v>Média</v>
      </c>
      <c r="O12" s="44" t="str">
        <f aca="false">IF(Motor!$G$9=0,"",IFERROR(INDEX(Adequacao!$S$9:$S$78,MATCH(Motor!$G$6,Adequacao!$B$9:$B$78,0)),"—"))</f>
        <v>Pode fazer sentido</v>
      </c>
      <c r="Q12" s="51" t="n">
        <f aca="false">IF(Motor!$G$9=0,"",$C12)</f>
        <v>316495.509338824</v>
      </c>
    </row>
    <row r="13" customFormat="false" ht="25.5" hidden="false" customHeight="true" outlineLevel="0" collapsed="false">
      <c r="B13" s="35" t="str">
        <f aca="false">IF(MotorImovel!$B$5=0,"— alternativa imóvel não usada","Imóvel para aluguel")</f>
        <v>Imóvel para aluguel</v>
      </c>
      <c r="C13" s="36" t="n">
        <f aca="false">IF(MotorImovel!$B$5=0,0,MotorImovel!$B$34)</f>
        <v>329895.572514463</v>
      </c>
      <c r="D13" s="37" t="n">
        <f aca="false">IF(MotorImovel!$B$5=0,0,MotorImovel!$B$37)</f>
        <v>155250</v>
      </c>
      <c r="E13" s="37" t="n">
        <f aca="false">IF(MotorImovel!$B$5=0,0,MotorImovel!$B$38)</f>
        <v>174645.572514463</v>
      </c>
      <c r="F13" s="37" t="n">
        <f aca="false">IF(MotorImovel!$B$5=0,0,MotorImovel!$B$39)</f>
        <v>16294.185644713</v>
      </c>
      <c r="G13" s="37" t="n">
        <f aca="false">IF(MotorImovel!$B$5=0,0,MotorImovel!$B$40)</f>
        <v>68286.677027061</v>
      </c>
      <c r="H13" s="37" t="n">
        <f aca="false">IF(MotorImovel!$B$5=0,0,MotorImovel!$B$36)</f>
        <v>222865.628245043</v>
      </c>
      <c r="I13" s="50" t="n">
        <f aca="false">IF(MotorImovel!$B$5=0,0,MotorImovel!$B$41)</f>
        <v>1.12493122392569</v>
      </c>
      <c r="J13" s="50" t="n">
        <f aca="false">IF(MotorImovel!$B$5=0,0,MotorImovel!$B$42)</f>
        <v>0.0782872942052704</v>
      </c>
      <c r="K13" s="50" t="n">
        <f aca="false">IF(MotorImovel!$B$5=0,0,MotorImovel!$B$43)</f>
        <v>0.0368147059666062</v>
      </c>
      <c r="L13" s="37" t="n">
        <f aca="false">IF(MotorImovel!$B$5=0,0,MotorImovel!$B$45)</f>
        <v>827.862635730365</v>
      </c>
      <c r="M13" s="38" t="str">
        <f aca="false">IF(MotorImovel!$B$5=0,"",MotorImovel!$B$50)</f>
        <v>Depende de encontrar comprador — normalmente meses</v>
      </c>
      <c r="N13" s="39" t="str">
        <f aca="false">IF(MotorImovel!$B$5=0,"",MotorImovel!$B$51)</f>
        <v>Média</v>
      </c>
      <c r="O13" s="38" t="str">
        <f aca="false">IF(MotorImovel!$B$5=0,"",IFERROR(INDEX(Adequacao!$S$9:$S$78,MATCH("Imóvel para aluguel",Adequacao!$B$9:$B$78,0)),"—"))</f>
        <v>Pode fazer sentido</v>
      </c>
      <c r="Q13" s="51" t="n">
        <f aca="false">IF(MotorImovel!$B$5=0,"",$C13)</f>
        <v>329895.572514463</v>
      </c>
    </row>
    <row r="14" customFormat="false" ht="18" hidden="false" customHeight="true" outlineLevel="0" collapsed="false">
      <c r="A14" s="18" t="s">
        <v>104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customFormat="false" ht="21.75" hidden="false" customHeight="true" outlineLevel="0" collapsed="false">
      <c r="A15" s="3" t="s">
        <v>105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30" hidden="false" customHeight="true" outlineLevel="0" collapsed="false">
      <c r="A16" s="53" t="s">
        <v>106</v>
      </c>
      <c r="B16" s="54" t="str">
        <f aca="false">IF(Motor!$B$9=0,"(não usada A)",Motor!$B$6)</f>
        <v>Tesouro Prefixado 2031</v>
      </c>
      <c r="C16" s="54" t="str">
        <f aca="false">IF(Motor!$C$9=0,"(não usada B)",Motor!$C$6)</f>
        <v>Tesouro IPCA+ 2035</v>
      </c>
      <c r="D16" s="54" t="str">
        <f aca="false">IF(Motor!$D$9=0,"(não usada C)",Motor!$D$6)</f>
        <v>Fundo CAIXA RF Crédito Privado LP</v>
      </c>
      <c r="E16" s="54" t="str">
        <f aca="false">IF(Motor!$E$9=0,"(não usada D)",Motor!$E$6)</f>
        <v>VGBL CAIXA Composto 30 — Regressivo</v>
      </c>
      <c r="F16" s="54" t="str">
        <f aca="false">IF(Motor!$F$9=0,"(não usada E)",Motor!$F$6)</f>
        <v>PGBL CAIXA Composto 30 — Regressivo</v>
      </c>
      <c r="G16" s="54" t="str">
        <f aca="false">IF(Motor!$G$9=0,"(não usada F)",Motor!$G$6)</f>
        <v>Fundo CAIXA RF IPCA Longo Prazo</v>
      </c>
      <c r="H16" s="54" t="str">
        <f aca="false">IF(MotorImovel!$B$5=0,"(não usada imóvel)","Imóvel para aluguel")</f>
        <v>Imóvel para aluguel</v>
      </c>
    </row>
    <row r="17" customFormat="false" ht="12" hidden="false" customHeight="true" outlineLevel="0" collapsed="false">
      <c r="A17" s="55" t="n">
        <v>0</v>
      </c>
      <c r="B17" s="56" t="n">
        <f aca="false">IF(OR(0&gt;IN_PRAZO,Motor!$B$9=0),"",INDEX(Motor!$R$61:$R$301,0+1))</f>
        <v>150000</v>
      </c>
      <c r="C17" s="56" t="n">
        <f aca="false">IF(OR(0&gt;IN_PRAZO,Motor!$C$9=0),"",INDEX(Motor!$AG$61:$AG$301,0+1))</f>
        <v>150000</v>
      </c>
      <c r="D17" s="56" t="n">
        <f aca="false">IF(OR(0&gt;IN_PRAZO,Motor!$D$9=0),"",INDEX(Motor!$AV$61:$AV$301,0+1))</f>
        <v>150000</v>
      </c>
      <c r="E17" s="56" t="n">
        <f aca="false">IF(OR(0&gt;IN_PRAZO,Motor!$E$9=0),"",INDEX(Motor!$BK$61:$BK$301,0+1))</f>
        <v>150000</v>
      </c>
      <c r="F17" s="56" t="n">
        <f aca="false">IF(OR(0&gt;IN_PRAZO,Motor!$F$9=0),"",INDEX(Motor!$BZ$61:$BZ$301,0+1))</f>
        <v>97500</v>
      </c>
      <c r="G17" s="56" t="n">
        <f aca="false">IF(OR(0&gt;IN_PRAZO,Motor!$G$9=0),"",INDEX(Motor!$CO$61:$CO$301,0+1))</f>
        <v>150000</v>
      </c>
      <c r="H17" s="56" t="n">
        <f aca="false">IF(OR(0&gt;IN_PRAZO,MotorImovel!$B$5=0),"",INDEX(MotorImovel!$W$55:$W$295,0+1))</f>
        <v>141000</v>
      </c>
    </row>
    <row r="18" customFormat="false" ht="12" hidden="false" customHeight="true" outlineLevel="0" collapsed="false">
      <c r="A18" s="55" t="n">
        <v>1</v>
      </c>
      <c r="B18" s="56" t="n">
        <f aca="false">IF(OR(12&gt;IN_PRAZO,Motor!$B$9=0),"",INDEX(Motor!$R$61:$R$301,12+1))</f>
        <v>164133.968269664</v>
      </c>
      <c r="C18" s="56" t="n">
        <f aca="false">IF(OR(12&gt;IN_PRAZO,Motor!$C$9=0),"",INDEX(Motor!$AG$61:$AG$301,12+1))</f>
        <v>162025.803231287</v>
      </c>
      <c r="D18" s="56" t="n">
        <f aca="false">IF(OR(12&gt;IN_PRAZO,Motor!$D$9=0),"",INDEX(Motor!$AV$61:$AV$301,12+1))</f>
        <v>162228.758686269</v>
      </c>
      <c r="E18" s="56" t="n">
        <f aca="false">IF(OR(12&gt;IN_PRAZO,Motor!$E$9=0),"",INDEX(Motor!$BK$61:$BK$301,12+1))</f>
        <v>160473.12305805</v>
      </c>
      <c r="F18" s="56" t="n">
        <f aca="false">IF(OR(12&gt;IN_PRAZO,Motor!$F$9=0),"",INDEX(Motor!$BZ$61:$BZ$301,12+1))</f>
        <v>107973.12305805</v>
      </c>
      <c r="G18" s="56" t="n">
        <f aca="false">IF(OR(12&gt;IN_PRAZO,Motor!$G$9=0),"",INDEX(Motor!$CO$61:$CO$301,12+1))</f>
        <v>160936.564161781</v>
      </c>
      <c r="H18" s="56" t="n">
        <f aca="false">IF(OR(12&gt;IN_PRAZO,MotorImovel!$B$5=0),"",INDEX(MotorImovel!$W$55:$W$295,12+1))</f>
        <v>153757.543859983</v>
      </c>
    </row>
    <row r="19" customFormat="false" ht="12" hidden="false" customHeight="true" outlineLevel="0" collapsed="false">
      <c r="A19" s="55" t="n">
        <v>2</v>
      </c>
      <c r="B19" s="56" t="n">
        <f aca="false">IF(OR(24&gt;IN_PRAZO,Motor!$B$9=0),"",INDEX(Motor!$R$61:$R$301,24+1))</f>
        <v>180868.074907374</v>
      </c>
      <c r="C19" s="56" t="n">
        <f aca="false">IF(OR(24&gt;IN_PRAZO,Motor!$C$9=0),"",INDEX(Motor!$AG$61:$AG$301,24+1))</f>
        <v>176046.046802759</v>
      </c>
      <c r="D19" s="56" t="n">
        <f aca="false">IF(OR(24&gt;IN_PRAZO,Motor!$D$9=0),"",INDEX(Motor!$AV$61:$AV$301,24+1))</f>
        <v>176326.969311766</v>
      </c>
      <c r="E19" s="56" t="n">
        <f aca="false">IF(OR(24&gt;IN_PRAZO,Motor!$E$9=0),"",INDEX(Motor!$BK$61:$BK$301,24+1))</f>
        <v>172071.233875989</v>
      </c>
      <c r="F19" s="56" t="n">
        <f aca="false">IF(OR(24&gt;IN_PRAZO,Motor!$F$9=0),"",INDEX(Motor!$BZ$61:$BZ$301,24+1))</f>
        <v>119571.233875989</v>
      </c>
      <c r="G19" s="56" t="n">
        <f aca="false">IF(OR(24&gt;IN_PRAZO,Motor!$G$9=0),"",INDEX(Motor!$CO$61:$CO$301,24+1))</f>
        <v>173440.536175562</v>
      </c>
      <c r="H19" s="56" t="n">
        <f aca="false">IF(OR(24&gt;IN_PRAZO,MotorImovel!$B$5=0),"",INDEX(MotorImovel!$W$55:$W$295,24+1))</f>
        <v>167675.083768743</v>
      </c>
    </row>
    <row r="20" customFormat="false" ht="12" hidden="false" customHeight="true" outlineLevel="0" collapsed="false">
      <c r="A20" s="55" t="n">
        <v>3</v>
      </c>
      <c r="B20" s="56" t="n">
        <f aca="false">IF(OR(36&gt;IN_PRAZO,Motor!$B$9=0),"",INDEX(Motor!$R$61:$R$301,36+1))</f>
        <v>200566.722833443</v>
      </c>
      <c r="C20" s="56" t="n">
        <f aca="false">IF(OR(36&gt;IN_PRAZO,Motor!$C$9=0),"",INDEX(Motor!$AG$61:$AG$301,36+1))</f>
        <v>192302.039292979</v>
      </c>
      <c r="D20" s="56" t="n">
        <f aca="false">IF(OR(36&gt;IN_PRAZO,Motor!$D$9=0),"",INDEX(Motor!$AV$61:$AV$301,36+1))</f>
        <v>192481.692350934</v>
      </c>
      <c r="E20" s="56" t="n">
        <f aca="false">IF(OR(36&gt;IN_PRAZO,Motor!$E$9=0),"",INDEX(Motor!$BK$61:$BK$301,36+1))</f>
        <v>187600.957548663</v>
      </c>
      <c r="F20" s="56" t="n">
        <f aca="false">IF(OR(36&gt;IN_PRAZO,Motor!$F$9=0),"",INDEX(Motor!$BZ$61:$BZ$301,36+1))</f>
        <v>142600.957548663</v>
      </c>
      <c r="G20" s="56" t="n">
        <f aca="false">IF(OR(36&gt;IN_PRAZO,Motor!$G$9=0),"",INDEX(Motor!$CO$61:$CO$301,36+1))</f>
        <v>187653.148115287</v>
      </c>
      <c r="H20" s="56" t="n">
        <f aca="false">IF(OR(36&gt;IN_PRAZO,MotorImovel!$B$5=0),"",INDEX(MotorImovel!$W$55:$W$295,36+1))</f>
        <v>182423.967037976</v>
      </c>
    </row>
    <row r="21" customFormat="false" ht="12" hidden="false" customHeight="true" outlineLevel="0" collapsed="false">
      <c r="A21" s="55" t="n">
        <v>4</v>
      </c>
      <c r="B21" s="56" t="n">
        <f aca="false">IF(OR(48&gt;IN_PRAZO,Motor!$B$9=0),"",INDEX(Motor!$R$61:$R$301,48+1))</f>
        <v>221539.9679202</v>
      </c>
      <c r="C21" s="56" t="n">
        <f aca="false">IF(OR(48&gt;IN_PRAZO,Motor!$C$9=0),"",INDEX(Motor!$AG$61:$AG$301,48+1))</f>
        <v>209318.755233051</v>
      </c>
      <c r="D21" s="56" t="n">
        <f aca="false">IF(OR(48&gt;IN_PRAZO,Motor!$D$9=0),"",INDEX(Motor!$AV$61:$AV$301,48+1))</f>
        <v>209170.093850507</v>
      </c>
      <c r="E21" s="56" t="n">
        <f aca="false">IF(OR(48&gt;IN_PRAZO,Motor!$E$9=0),"",INDEX(Motor!$BK$61:$BK$301,48+1))</f>
        <v>202918.674231771</v>
      </c>
      <c r="F21" s="56" t="n">
        <f aca="false">IF(OR(48&gt;IN_PRAZO,Motor!$F$9=0),"",INDEX(Motor!$BZ$61:$BZ$301,48+1))</f>
        <v>157918.674231771</v>
      </c>
      <c r="G21" s="56" t="n">
        <f aca="false">IF(OR(48&gt;IN_PRAZO,Motor!$G$9=0),"",INDEX(Motor!$CO$61:$CO$301,48+1))</f>
        <v>202202.302744119</v>
      </c>
      <c r="H21" s="56" t="n">
        <f aca="false">IF(OR(48&gt;IN_PRAZO,MotorImovel!$B$5=0),"",INDEX(MotorImovel!$W$55:$W$295,48+1))</f>
        <v>198096.346834296</v>
      </c>
    </row>
    <row r="22" customFormat="false" ht="12" hidden="false" customHeight="true" outlineLevel="0" collapsed="false">
      <c r="A22" s="55" t="n">
        <v>5</v>
      </c>
      <c r="B22" s="56" t="n">
        <f aca="false">IF(OR(60&gt;IN_PRAZO,Motor!$B$9=0),"",INDEX(Motor!$R$61:$R$301,60+1))</f>
        <v>244983.506178358</v>
      </c>
      <c r="C22" s="56" t="n">
        <f aca="false">IF(OR(60&gt;IN_PRAZO,Motor!$C$9=0),"",INDEX(Motor!$AG$61:$AG$301,60+1))</f>
        <v>228040.801819273</v>
      </c>
      <c r="D22" s="56" t="n">
        <f aca="false">IF(OR(60&gt;IN_PRAZO,Motor!$D$9=0),"",INDEX(Motor!$AV$61:$AV$301,60+1))</f>
        <v>227305.400461987</v>
      </c>
      <c r="E22" s="56" t="n">
        <f aca="false">IF(OR(60&gt;IN_PRAZO,Motor!$E$9=0),"",INDEX(Motor!$BK$61:$BK$301,60+1))</f>
        <v>224873.323582321</v>
      </c>
      <c r="F22" s="56" t="n">
        <f aca="false">IF(OR(60&gt;IN_PRAZO,Motor!$F$9=0),"",INDEX(Motor!$BZ$61:$BZ$301,60+1))</f>
        <v>187373.323582321</v>
      </c>
      <c r="G22" s="56" t="n">
        <f aca="false">IF(OR(60&gt;IN_PRAZO,Motor!$G$9=0),"",INDEX(Motor!$CO$61:$CO$301,60+1))</f>
        <v>217879.484813681</v>
      </c>
      <c r="H22" s="56" t="n">
        <f aca="false">IF(OR(60&gt;IN_PRAZO,MotorImovel!$B$5=0),"",INDEX(MotorImovel!$W$55:$W$295,60+1))</f>
        <v>215279.936139212</v>
      </c>
    </row>
    <row r="23" customFormat="false" ht="12" hidden="false" customHeight="true" outlineLevel="0" collapsed="false">
      <c r="A23" s="55" t="n">
        <v>6</v>
      </c>
      <c r="B23" s="56" t="n">
        <f aca="false">IF(OR(72&gt;IN_PRAZO,Motor!$B$9=0),"",INDEX(Motor!$R$61:$R$301,72+1))</f>
        <v>271188.296318762</v>
      </c>
      <c r="C23" s="56" t="n">
        <f aca="false">IF(OR(72&gt;IN_PRAZO,Motor!$C$9=0),"",INDEX(Motor!$AG$61:$AG$301,72+1))</f>
        <v>248639.07880827</v>
      </c>
      <c r="D23" s="56" t="n">
        <f aca="false">IF(OR(72&gt;IN_PRAZO,Motor!$D$9=0),"",INDEX(Motor!$AV$61:$AV$301,72+1))</f>
        <v>247013.060653455</v>
      </c>
      <c r="E23" s="56" t="n">
        <f aca="false">IF(OR(72&gt;IN_PRAZO,Motor!$E$9=0),"",INDEX(Motor!$BK$61:$BK$301,72+1))</f>
        <v>245000.337691793</v>
      </c>
      <c r="F23" s="56" t="n">
        <f aca="false">IF(OR(72&gt;IN_PRAZO,Motor!$F$9=0),"",INDEX(Motor!$BZ$61:$BZ$301,72+1))</f>
        <v>207500.337691793</v>
      </c>
      <c r="G23" s="56" t="n">
        <f aca="false">IF(OR(72&gt;IN_PRAZO,Motor!$G$9=0),"",INDEX(Motor!$CO$61:$CO$301,72+1))</f>
        <v>234772.15273235</v>
      </c>
      <c r="H23" s="56" t="n">
        <f aca="false">IF(OR(72&gt;IN_PRAZO,MotorImovel!$B$5=0),"",INDEX(MotorImovel!$W$55:$W$295,72+1))</f>
        <v>234129.645788384</v>
      </c>
    </row>
    <row r="24" customFormat="false" ht="12" hidden="false" customHeight="true" outlineLevel="0" collapsed="false">
      <c r="A24" s="55" t="n">
        <v>7</v>
      </c>
      <c r="B24" s="56" t="n">
        <f aca="false">IF(OR(84&gt;IN_PRAZO,Motor!$B$9=0),"",INDEX(Motor!$R$61:$R$301,84+1))</f>
        <v>300479.567062146</v>
      </c>
      <c r="C24" s="56" t="n">
        <f aca="false">IF(OR(84&gt;IN_PRAZO,Motor!$C$9=0),"",INDEX(Motor!$AG$61:$AG$301,84+1))</f>
        <v>271301.612680376</v>
      </c>
      <c r="D24" s="56" t="n">
        <f aca="false">IF(OR(84&gt;IN_PRAZO,Motor!$D$9=0),"",INDEX(Motor!$AV$61:$AV$301,84+1))</f>
        <v>268429.399430795</v>
      </c>
      <c r="E24" s="56" t="n">
        <f aca="false">IF(OR(84&gt;IN_PRAZO,Motor!$E$9=0),"",INDEX(Motor!$BK$61:$BK$301,84+1))</f>
        <v>275108.616710378</v>
      </c>
      <c r="F24" s="56" t="n">
        <f aca="false">IF(OR(84&gt;IN_PRAZO,Motor!$F$9=0),"",INDEX(Motor!$BZ$61:$BZ$301,84+1))</f>
        <v>245108.616710378</v>
      </c>
      <c r="G24" s="56" t="n">
        <f aca="false">IF(OR(84&gt;IN_PRAZO,Motor!$G$9=0),"",INDEX(Motor!$CO$61:$CO$301,84+1))</f>
        <v>252974.54574815</v>
      </c>
      <c r="H24" s="56" t="n">
        <f aca="false">IF(OR(84&gt;IN_PRAZO,MotorImovel!$B$5=0),"",INDEX(MotorImovel!$W$55:$W$295,84+1))</f>
        <v>254816.673530372</v>
      </c>
    </row>
    <row r="25" customFormat="false" ht="12" hidden="false" customHeight="true" outlineLevel="0" collapsed="false">
      <c r="A25" s="55" t="n">
        <v>8</v>
      </c>
      <c r="B25" s="56" t="n">
        <f aca="false">IF(OR(96&gt;IN_PRAZO,Motor!$B$9=0),"",INDEX(Motor!$R$61:$R$301,96+1))</f>
        <v>333220.853566073</v>
      </c>
      <c r="C25" s="56" t="n">
        <f aca="false">IF(OR(96&gt;IN_PRAZO,Motor!$C$9=0),"",INDEX(Motor!$AG$61:$AG$301,96+1))</f>
        <v>296235.272994719</v>
      </c>
      <c r="D25" s="56" t="n">
        <f aca="false">IF(OR(96&gt;IN_PRAZO,Motor!$D$9=0),"",INDEX(Motor!$AV$61:$AV$301,96+1))</f>
        <v>291702.561347011</v>
      </c>
      <c r="E25" s="56" t="n">
        <f aca="false">IF(OR(96&gt;IN_PRAZO,Motor!$E$9=0),"",INDEX(Motor!$BK$61:$BK$301,96+1))</f>
        <v>301437.36240675</v>
      </c>
      <c r="F25" s="56" t="n">
        <f aca="false">IF(OR(96&gt;IN_PRAZO,Motor!$F$9=0),"",INDEX(Motor!$BZ$61:$BZ$301,96+1))</f>
        <v>271437.36240675</v>
      </c>
      <c r="G25" s="56" t="n">
        <f aca="false">IF(OR(96&gt;IN_PRAZO,Motor!$G$9=0),"",INDEX(Motor!$CO$61:$CO$301,96+1))</f>
        <v>272588.209681925</v>
      </c>
      <c r="H25" s="56" t="n">
        <f aca="false">IF(OR(96&gt;IN_PRAZO,MotorImovel!$B$5=0),"",INDEX(MotorImovel!$W$55:$W$295,96+1))</f>
        <v>277530.233368175</v>
      </c>
    </row>
    <row r="26" customFormat="false" ht="12" hidden="false" customHeight="true" outlineLevel="0" collapsed="false">
      <c r="A26" s="55" t="n">
        <v>9</v>
      </c>
      <c r="B26" s="56" t="n">
        <f aca="false">IF(OR(108&gt;IN_PRAZO,Motor!$B$9=0),"",INDEX(Motor!$R$61:$R$301,108+1))</f>
        <v>369818.509274621</v>
      </c>
      <c r="C26" s="56" t="n">
        <f aca="false">IF(OR(108&gt;IN_PRAZO,Motor!$C$9=0),"",INDEX(Motor!$AG$61:$AG$301,108+1))</f>
        <v>323667.660748862</v>
      </c>
      <c r="D26" s="56" t="n">
        <f aca="false">IF(OR(108&gt;IN_PRAZO,Motor!$D$9=0),"",INDEX(Motor!$AV$61:$AV$301,108+1))</f>
        <v>316993.535271624</v>
      </c>
      <c r="E26" s="56" t="n">
        <f aca="false">IF(OR(108&gt;IN_PRAZO,Motor!$E$9=0),"",INDEX(Motor!$BK$61:$BK$301,108+1))</f>
        <v>341881.394533874</v>
      </c>
      <c r="F26" s="56" t="n">
        <f aca="false">IF(OR(108&gt;IN_PRAZO,Motor!$F$9=0),"",INDEX(Motor!$BZ$61:$BZ$301,108+1))</f>
        <v>319381.394533874</v>
      </c>
      <c r="G26" s="56" t="n">
        <f aca="false">IF(OR(108&gt;IN_PRAZO,Motor!$G$9=0),"",INDEX(Motor!$CO$61:$CO$301,108+1))</f>
        <v>293722.563421742</v>
      </c>
      <c r="H26" s="56" t="n">
        <f aca="false">IF(OR(108&gt;IN_PRAZO,MotorImovel!$B$5=0),"",INDEX(MotorImovel!$W$55:$W$295,108+1))</f>
        <v>302479.469211964</v>
      </c>
    </row>
    <row r="27" customFormat="false" ht="12" hidden="false" customHeight="true" outlineLevel="0" collapsed="false">
      <c r="A27" s="55" t="n">
        <v>10</v>
      </c>
      <c r="B27" s="56" t="n">
        <f aca="false">IF(OR(120&gt;IN_PRAZO,Motor!$B$9=0),"",INDEX(Motor!$R$61:$R$301,120+1))</f>
        <v>410726.749187574</v>
      </c>
      <c r="C27" s="56" t="n">
        <f aca="false">IF(OR(120&gt;IN_PRAZO,Motor!$C$9=0),"",INDEX(Motor!$AG$61:$AG$301,120+1))</f>
        <v>353849.18598047</v>
      </c>
      <c r="D27" s="56" t="n">
        <f aca="false">IF(OR(120&gt;IN_PRAZO,Motor!$D$9=0),"",INDEX(Motor!$AV$61:$AV$301,120+1))</f>
        <v>344477.26800885</v>
      </c>
      <c r="E27" s="56" t="n">
        <f aca="false">IF(OR(120&gt;IN_PRAZO,Motor!$E$9=0),"",INDEX(Motor!$BK$61:$BK$301,120+1))</f>
        <v>376188.272968797</v>
      </c>
      <c r="F27" s="56" t="n">
        <f aca="false">IF(OR(120&gt;IN_PRAZO,Motor!$F$9=0),"",INDEX(Motor!$BZ$61:$BZ$301,120+1))</f>
        <v>353688.272968797</v>
      </c>
      <c r="G27" s="56" t="n">
        <f aca="false">IF(OR(120&gt;IN_PRAZO,Motor!$G$9=0),"",INDEX(Motor!$CO$61:$CO$301,120+1))</f>
        <v>316495.509338824</v>
      </c>
      <c r="H27" s="56" t="n">
        <f aca="false">IF(OR(120&gt;IN_PRAZO,MotorImovel!$B$5=0),"",INDEX(MotorImovel!$W$55:$W$295,120+1))</f>
        <v>329895.572514463</v>
      </c>
    </row>
    <row r="28" customFormat="false" ht="12" hidden="false" customHeight="true" outlineLevel="0" collapsed="false">
      <c r="A28" s="55" t="n">
        <v>11</v>
      </c>
      <c r="B28" s="56" t="str">
        <f aca="false">IF(OR(132&gt;IN_PRAZO,Motor!$B$9=0),"",INDEX(Motor!$R$61:$R$301,132+1))</f>
        <v/>
      </c>
      <c r="C28" s="56" t="str">
        <f aca="false">IF(OR(132&gt;IN_PRAZO,Motor!$C$9=0),"",INDEX(Motor!$AG$61:$AG$301,132+1))</f>
        <v/>
      </c>
      <c r="D28" s="56" t="str">
        <f aca="false">IF(OR(132&gt;IN_PRAZO,Motor!$D$9=0),"",INDEX(Motor!$AV$61:$AV$301,132+1))</f>
        <v/>
      </c>
      <c r="E28" s="56" t="str">
        <f aca="false">IF(OR(132&gt;IN_PRAZO,Motor!$E$9=0),"",INDEX(Motor!$BK$61:$BK$301,132+1))</f>
        <v/>
      </c>
      <c r="F28" s="56" t="str">
        <f aca="false">IF(OR(132&gt;IN_PRAZO,Motor!$F$9=0),"",INDEX(Motor!$BZ$61:$BZ$301,132+1))</f>
        <v/>
      </c>
      <c r="G28" s="56" t="str">
        <f aca="false">IF(OR(132&gt;IN_PRAZO,Motor!$G$9=0),"",INDEX(Motor!$CO$61:$CO$301,132+1))</f>
        <v/>
      </c>
      <c r="H28" s="56" t="str">
        <f aca="false">IF(OR(132&gt;IN_PRAZO,MotorImovel!$B$5=0),"",INDEX(MotorImovel!$W$55:$W$295,132+1))</f>
        <v/>
      </c>
    </row>
    <row r="29" customFormat="false" ht="12" hidden="false" customHeight="true" outlineLevel="0" collapsed="false">
      <c r="A29" s="55" t="n">
        <v>12</v>
      </c>
      <c r="B29" s="56" t="str">
        <f aca="false">IF(OR(144&gt;IN_PRAZO,Motor!$B$9=0),"",INDEX(Motor!$R$61:$R$301,144+1))</f>
        <v/>
      </c>
      <c r="C29" s="56" t="str">
        <f aca="false">IF(OR(144&gt;IN_PRAZO,Motor!$C$9=0),"",INDEX(Motor!$AG$61:$AG$301,144+1))</f>
        <v/>
      </c>
      <c r="D29" s="56" t="str">
        <f aca="false">IF(OR(144&gt;IN_PRAZO,Motor!$D$9=0),"",INDEX(Motor!$AV$61:$AV$301,144+1))</f>
        <v/>
      </c>
      <c r="E29" s="56" t="str">
        <f aca="false">IF(OR(144&gt;IN_PRAZO,Motor!$E$9=0),"",INDEX(Motor!$BK$61:$BK$301,144+1))</f>
        <v/>
      </c>
      <c r="F29" s="56" t="str">
        <f aca="false">IF(OR(144&gt;IN_PRAZO,Motor!$F$9=0),"",INDEX(Motor!$BZ$61:$BZ$301,144+1))</f>
        <v/>
      </c>
      <c r="G29" s="56" t="str">
        <f aca="false">IF(OR(144&gt;IN_PRAZO,Motor!$G$9=0),"",INDEX(Motor!$CO$61:$CO$301,144+1))</f>
        <v/>
      </c>
      <c r="H29" s="56" t="str">
        <f aca="false">IF(OR(144&gt;IN_PRAZO,MotorImovel!$B$5=0),"",INDEX(MotorImovel!$W$55:$W$295,144+1))</f>
        <v/>
      </c>
    </row>
    <row r="30" customFormat="false" ht="12" hidden="false" customHeight="true" outlineLevel="0" collapsed="false">
      <c r="A30" s="55" t="n">
        <v>13</v>
      </c>
      <c r="B30" s="56" t="str">
        <f aca="false">IF(OR(156&gt;IN_PRAZO,Motor!$B$9=0),"",INDEX(Motor!$R$61:$R$301,156+1))</f>
        <v/>
      </c>
      <c r="C30" s="56" t="str">
        <f aca="false">IF(OR(156&gt;IN_PRAZO,Motor!$C$9=0),"",INDEX(Motor!$AG$61:$AG$301,156+1))</f>
        <v/>
      </c>
      <c r="D30" s="56" t="str">
        <f aca="false">IF(OR(156&gt;IN_PRAZO,Motor!$D$9=0),"",INDEX(Motor!$AV$61:$AV$301,156+1))</f>
        <v/>
      </c>
      <c r="E30" s="56" t="str">
        <f aca="false">IF(OR(156&gt;IN_PRAZO,Motor!$E$9=0),"",INDEX(Motor!$BK$61:$BK$301,156+1))</f>
        <v/>
      </c>
      <c r="F30" s="56" t="str">
        <f aca="false">IF(OR(156&gt;IN_PRAZO,Motor!$F$9=0),"",INDEX(Motor!$BZ$61:$BZ$301,156+1))</f>
        <v/>
      </c>
      <c r="G30" s="56" t="str">
        <f aca="false">IF(OR(156&gt;IN_PRAZO,Motor!$G$9=0),"",INDEX(Motor!$CO$61:$CO$301,156+1))</f>
        <v/>
      </c>
      <c r="H30" s="56" t="str">
        <f aca="false">IF(OR(156&gt;IN_PRAZO,MotorImovel!$B$5=0),"",INDEX(MotorImovel!$W$55:$W$295,156+1))</f>
        <v/>
      </c>
    </row>
    <row r="31" customFormat="false" ht="12" hidden="false" customHeight="true" outlineLevel="0" collapsed="false">
      <c r="A31" s="55" t="n">
        <v>14</v>
      </c>
      <c r="B31" s="56" t="str">
        <f aca="false">IF(OR(168&gt;IN_PRAZO,Motor!$B$9=0),"",INDEX(Motor!$R$61:$R$301,168+1))</f>
        <v/>
      </c>
      <c r="C31" s="56" t="str">
        <f aca="false">IF(OR(168&gt;IN_PRAZO,Motor!$C$9=0),"",INDEX(Motor!$AG$61:$AG$301,168+1))</f>
        <v/>
      </c>
      <c r="D31" s="56" t="str">
        <f aca="false">IF(OR(168&gt;IN_PRAZO,Motor!$D$9=0),"",INDEX(Motor!$AV$61:$AV$301,168+1))</f>
        <v/>
      </c>
      <c r="E31" s="56" t="str">
        <f aca="false">IF(OR(168&gt;IN_PRAZO,Motor!$E$9=0),"",INDEX(Motor!$BK$61:$BK$301,168+1))</f>
        <v/>
      </c>
      <c r="F31" s="56" t="str">
        <f aca="false">IF(OR(168&gt;IN_PRAZO,Motor!$F$9=0),"",INDEX(Motor!$BZ$61:$BZ$301,168+1))</f>
        <v/>
      </c>
      <c r="G31" s="56" t="str">
        <f aca="false">IF(OR(168&gt;IN_PRAZO,Motor!$G$9=0),"",INDEX(Motor!$CO$61:$CO$301,168+1))</f>
        <v/>
      </c>
      <c r="H31" s="56" t="str">
        <f aca="false">IF(OR(168&gt;IN_PRAZO,MotorImovel!$B$5=0),"",INDEX(MotorImovel!$W$55:$W$295,168+1))</f>
        <v/>
      </c>
    </row>
    <row r="32" customFormat="false" ht="12" hidden="false" customHeight="true" outlineLevel="0" collapsed="false">
      <c r="A32" s="55" t="n">
        <v>15</v>
      </c>
      <c r="B32" s="56" t="str">
        <f aca="false">IF(OR(180&gt;IN_PRAZO,Motor!$B$9=0),"",INDEX(Motor!$R$61:$R$301,180+1))</f>
        <v/>
      </c>
      <c r="C32" s="56" t="str">
        <f aca="false">IF(OR(180&gt;IN_PRAZO,Motor!$C$9=0),"",INDEX(Motor!$AG$61:$AG$301,180+1))</f>
        <v/>
      </c>
      <c r="D32" s="56" t="str">
        <f aca="false">IF(OR(180&gt;IN_PRAZO,Motor!$D$9=0),"",INDEX(Motor!$AV$61:$AV$301,180+1))</f>
        <v/>
      </c>
      <c r="E32" s="56" t="str">
        <f aca="false">IF(OR(180&gt;IN_PRAZO,Motor!$E$9=0),"",INDEX(Motor!$BK$61:$BK$301,180+1))</f>
        <v/>
      </c>
      <c r="F32" s="56" t="str">
        <f aca="false">IF(OR(180&gt;IN_PRAZO,Motor!$F$9=0),"",INDEX(Motor!$BZ$61:$BZ$301,180+1))</f>
        <v/>
      </c>
      <c r="G32" s="56" t="str">
        <f aca="false">IF(OR(180&gt;IN_PRAZO,Motor!$G$9=0),"",INDEX(Motor!$CO$61:$CO$301,180+1))</f>
        <v/>
      </c>
      <c r="H32" s="56" t="str">
        <f aca="false">IF(OR(180&gt;IN_PRAZO,MotorImovel!$B$5=0),"",INDEX(MotorImovel!$W$55:$W$295,180+1))</f>
        <v/>
      </c>
    </row>
    <row r="33" customFormat="false" ht="12" hidden="false" customHeight="true" outlineLevel="0" collapsed="false">
      <c r="A33" s="55" t="n">
        <v>16</v>
      </c>
      <c r="B33" s="56" t="str">
        <f aca="false">IF(OR(192&gt;IN_PRAZO,Motor!$B$9=0),"",INDEX(Motor!$R$61:$R$301,192+1))</f>
        <v/>
      </c>
      <c r="C33" s="56" t="str">
        <f aca="false">IF(OR(192&gt;IN_PRAZO,Motor!$C$9=0),"",INDEX(Motor!$AG$61:$AG$301,192+1))</f>
        <v/>
      </c>
      <c r="D33" s="56" t="str">
        <f aca="false">IF(OR(192&gt;IN_PRAZO,Motor!$D$9=0),"",INDEX(Motor!$AV$61:$AV$301,192+1))</f>
        <v/>
      </c>
      <c r="E33" s="56" t="str">
        <f aca="false">IF(OR(192&gt;IN_PRAZO,Motor!$E$9=0),"",INDEX(Motor!$BK$61:$BK$301,192+1))</f>
        <v/>
      </c>
      <c r="F33" s="56" t="str">
        <f aca="false">IF(OR(192&gt;IN_PRAZO,Motor!$F$9=0),"",INDEX(Motor!$BZ$61:$BZ$301,192+1))</f>
        <v/>
      </c>
      <c r="G33" s="56" t="str">
        <f aca="false">IF(OR(192&gt;IN_PRAZO,Motor!$G$9=0),"",INDEX(Motor!$CO$61:$CO$301,192+1))</f>
        <v/>
      </c>
      <c r="H33" s="56" t="str">
        <f aca="false">IF(OR(192&gt;IN_PRAZO,MotorImovel!$B$5=0),"",INDEX(MotorImovel!$W$55:$W$295,192+1))</f>
        <v/>
      </c>
    </row>
    <row r="34" customFormat="false" ht="12" hidden="false" customHeight="true" outlineLevel="0" collapsed="false">
      <c r="A34" s="55" t="n">
        <v>17</v>
      </c>
      <c r="B34" s="56" t="str">
        <f aca="false">IF(OR(204&gt;IN_PRAZO,Motor!$B$9=0),"",INDEX(Motor!$R$61:$R$301,204+1))</f>
        <v/>
      </c>
      <c r="C34" s="56" t="str">
        <f aca="false">IF(OR(204&gt;IN_PRAZO,Motor!$C$9=0),"",INDEX(Motor!$AG$61:$AG$301,204+1))</f>
        <v/>
      </c>
      <c r="D34" s="56" t="str">
        <f aca="false">IF(OR(204&gt;IN_PRAZO,Motor!$D$9=0),"",INDEX(Motor!$AV$61:$AV$301,204+1))</f>
        <v/>
      </c>
      <c r="E34" s="56" t="str">
        <f aca="false">IF(OR(204&gt;IN_PRAZO,Motor!$E$9=0),"",INDEX(Motor!$BK$61:$BK$301,204+1))</f>
        <v/>
      </c>
      <c r="F34" s="56" t="str">
        <f aca="false">IF(OR(204&gt;IN_PRAZO,Motor!$F$9=0),"",INDEX(Motor!$BZ$61:$BZ$301,204+1))</f>
        <v/>
      </c>
      <c r="G34" s="56" t="str">
        <f aca="false">IF(OR(204&gt;IN_PRAZO,Motor!$G$9=0),"",INDEX(Motor!$CO$61:$CO$301,204+1))</f>
        <v/>
      </c>
      <c r="H34" s="56" t="str">
        <f aca="false">IF(OR(204&gt;IN_PRAZO,MotorImovel!$B$5=0),"",INDEX(MotorImovel!$W$55:$W$295,204+1))</f>
        <v/>
      </c>
    </row>
    <row r="35" customFormat="false" ht="12" hidden="false" customHeight="true" outlineLevel="0" collapsed="false">
      <c r="A35" s="55" t="n">
        <v>18</v>
      </c>
      <c r="B35" s="56" t="str">
        <f aca="false">IF(OR(216&gt;IN_PRAZO,Motor!$B$9=0),"",INDEX(Motor!$R$61:$R$301,216+1))</f>
        <v/>
      </c>
      <c r="C35" s="56" t="str">
        <f aca="false">IF(OR(216&gt;IN_PRAZO,Motor!$C$9=0),"",INDEX(Motor!$AG$61:$AG$301,216+1))</f>
        <v/>
      </c>
      <c r="D35" s="56" t="str">
        <f aca="false">IF(OR(216&gt;IN_PRAZO,Motor!$D$9=0),"",INDEX(Motor!$AV$61:$AV$301,216+1))</f>
        <v/>
      </c>
      <c r="E35" s="56" t="str">
        <f aca="false">IF(OR(216&gt;IN_PRAZO,Motor!$E$9=0),"",INDEX(Motor!$BK$61:$BK$301,216+1))</f>
        <v/>
      </c>
      <c r="F35" s="56" t="str">
        <f aca="false">IF(OR(216&gt;IN_PRAZO,Motor!$F$9=0),"",INDEX(Motor!$BZ$61:$BZ$301,216+1))</f>
        <v/>
      </c>
      <c r="G35" s="56" t="str">
        <f aca="false">IF(OR(216&gt;IN_PRAZO,Motor!$G$9=0),"",INDEX(Motor!$CO$61:$CO$301,216+1))</f>
        <v/>
      </c>
      <c r="H35" s="56" t="str">
        <f aca="false">IF(OR(216&gt;IN_PRAZO,MotorImovel!$B$5=0),"",INDEX(MotorImovel!$W$55:$W$295,216+1))</f>
        <v/>
      </c>
    </row>
    <row r="36" customFormat="false" ht="12" hidden="false" customHeight="true" outlineLevel="0" collapsed="false">
      <c r="A36" s="55" t="n">
        <v>19</v>
      </c>
      <c r="B36" s="56" t="str">
        <f aca="false">IF(OR(228&gt;IN_PRAZO,Motor!$B$9=0),"",INDEX(Motor!$R$61:$R$301,228+1))</f>
        <v/>
      </c>
      <c r="C36" s="56" t="str">
        <f aca="false">IF(OR(228&gt;IN_PRAZO,Motor!$C$9=0),"",INDEX(Motor!$AG$61:$AG$301,228+1))</f>
        <v/>
      </c>
      <c r="D36" s="56" t="str">
        <f aca="false">IF(OR(228&gt;IN_PRAZO,Motor!$D$9=0),"",INDEX(Motor!$AV$61:$AV$301,228+1))</f>
        <v/>
      </c>
      <c r="E36" s="56" t="str">
        <f aca="false">IF(OR(228&gt;IN_PRAZO,Motor!$E$9=0),"",INDEX(Motor!$BK$61:$BK$301,228+1))</f>
        <v/>
      </c>
      <c r="F36" s="56" t="str">
        <f aca="false">IF(OR(228&gt;IN_PRAZO,Motor!$F$9=0),"",INDEX(Motor!$BZ$61:$BZ$301,228+1))</f>
        <v/>
      </c>
      <c r="G36" s="56" t="str">
        <f aca="false">IF(OR(228&gt;IN_PRAZO,Motor!$G$9=0),"",INDEX(Motor!$CO$61:$CO$301,228+1))</f>
        <v/>
      </c>
      <c r="H36" s="56" t="str">
        <f aca="false">IF(OR(228&gt;IN_PRAZO,MotorImovel!$B$5=0),"",INDEX(MotorImovel!$W$55:$W$295,228+1))</f>
        <v/>
      </c>
    </row>
    <row r="37" customFormat="false" ht="12" hidden="false" customHeight="true" outlineLevel="0" collapsed="false">
      <c r="A37" s="55" t="n">
        <v>20</v>
      </c>
      <c r="B37" s="56" t="str">
        <f aca="false">IF(OR(240&gt;IN_PRAZO,Motor!$B$9=0),"",INDEX(Motor!$R$61:$R$301,240+1))</f>
        <v/>
      </c>
      <c r="C37" s="56" t="str">
        <f aca="false">IF(OR(240&gt;IN_PRAZO,Motor!$C$9=0),"",INDEX(Motor!$AG$61:$AG$301,240+1))</f>
        <v/>
      </c>
      <c r="D37" s="56" t="str">
        <f aca="false">IF(OR(240&gt;IN_PRAZO,Motor!$D$9=0),"",INDEX(Motor!$AV$61:$AV$301,240+1))</f>
        <v/>
      </c>
      <c r="E37" s="56" t="str">
        <f aca="false">IF(OR(240&gt;IN_PRAZO,Motor!$E$9=0),"",INDEX(Motor!$BK$61:$BK$301,240+1))</f>
        <v/>
      </c>
      <c r="F37" s="56" t="str">
        <f aca="false">IF(OR(240&gt;IN_PRAZO,Motor!$F$9=0),"",INDEX(Motor!$BZ$61:$BZ$301,240+1))</f>
        <v/>
      </c>
      <c r="G37" s="56" t="str">
        <f aca="false">IF(OR(240&gt;IN_PRAZO,Motor!$G$9=0),"",INDEX(Motor!$CO$61:$CO$301,240+1))</f>
        <v/>
      </c>
      <c r="H37" s="56" t="str">
        <f aca="false">IF(OR(240&gt;IN_PRAZO,MotorImovel!$B$5=0),"",INDEX(MotorImovel!$W$55:$W$295,240+1))</f>
        <v/>
      </c>
    </row>
    <row r="92" customFormat="false" ht="25.5" hidden="false" customHeight="true" outlineLevel="0" collapsed="false">
      <c r="A92" s="12" t="s">
        <v>35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4" customFormat="false" ht="25.5" hidden="false" customHeight="true" outlineLevel="0" collapsed="false">
      <c r="B94" s="47" t="s">
        <v>84</v>
      </c>
      <c r="C94" s="47"/>
      <c r="D94" s="47" t="s">
        <v>107</v>
      </c>
      <c r="E94" s="47"/>
      <c r="F94" s="47" t="s">
        <v>12</v>
      </c>
      <c r="G94" s="47"/>
      <c r="H94" s="47" t="s">
        <v>108</v>
      </c>
      <c r="I94" s="47"/>
      <c r="J94" s="47" t="s">
        <v>88</v>
      </c>
      <c r="K94" s="47"/>
    </row>
  </sheetData>
  <mergeCells count="12">
    <mergeCell ref="A1:O1"/>
    <mergeCell ref="A2:O2"/>
    <mergeCell ref="A4:O4"/>
    <mergeCell ref="A5:O5"/>
    <mergeCell ref="A14:O14"/>
    <mergeCell ref="A15:O15"/>
    <mergeCell ref="A92:O92"/>
    <mergeCell ref="B94:C94"/>
    <mergeCell ref="D94:E94"/>
    <mergeCell ref="F94:G94"/>
    <mergeCell ref="H94:I94"/>
    <mergeCell ref="J94:K94"/>
  </mergeCells>
  <conditionalFormatting sqref="C7:C13">
    <cfRule type="expression" priority="2" aboveAverage="0" equalAverage="0" bottom="0" percent="0" rank="0" text="" dxfId="0">
      <formula>AND($C7&gt;0,$C7=MAX($Q$7:$Q$13))</formula>
    </cfRule>
  </conditionalFormatting>
  <hyperlinks>
    <hyperlink ref="B94" location="Inicio!A1" display="◀ INÍCIO"/>
    <hyperlink ref="D94" location="Cliente!A1" display="◀ CLIENTE"/>
    <hyperlink ref="F94" location="MesAMes!A1" display="MÊS A MÊS"/>
    <hyperlink ref="H94" location="Consultor!A1" display="VER DETALHES"/>
    <hyperlink ref="J94" location="Relatorio!A1" display="GERAR RELATÓ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EBB"/>
    <pageSetUpPr fitToPage="false"/>
  </sheetPr>
  <dimension ref="A1:M7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11" min="8" style="0" width="22"/>
    <col collapsed="false" customWidth="true" hidden="false" outlineLevel="0" max="12" min="12" style="0" width="2"/>
  </cols>
  <sheetData>
    <row r="1" customFormat="false" ht="33.75" hidden="false" customHeight="true" outlineLevel="0" collapsed="false">
      <c r="A1" s="13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8" hidden="false" customHeight="true" outlineLevel="0" collapsed="false">
      <c r="A2" s="14" t="s">
        <v>110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21.75" hidden="false" customHeight="true" outlineLevel="0" collapsed="false">
      <c r="A4" s="3" t="s">
        <v>111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9.5" hidden="false" customHeight="true" outlineLevel="0" collapsed="false">
      <c r="B5" s="57" t="s">
        <v>112</v>
      </c>
      <c r="C5" s="57"/>
      <c r="D5" s="58" t="s">
        <v>113</v>
      </c>
      <c r="E5" s="20" t="s">
        <v>114</v>
      </c>
      <c r="F5" s="20"/>
      <c r="G5" s="20"/>
      <c r="H5" s="20"/>
      <c r="I5" s="20"/>
      <c r="J5" s="20"/>
      <c r="K5" s="20"/>
    </row>
    <row r="6" customFormat="false" ht="19.5" hidden="false" customHeight="true" outlineLevel="0" collapsed="false">
      <c r="B6" s="57" t="s">
        <v>115</v>
      </c>
      <c r="C6" s="57"/>
      <c r="D6" s="59" t="n">
        <f aca="true">TODAY()</f>
        <v>46257</v>
      </c>
      <c r="E6" s="20" t="s">
        <v>116</v>
      </c>
      <c r="F6" s="20"/>
      <c r="G6" s="20"/>
      <c r="H6" s="20"/>
      <c r="I6" s="20"/>
      <c r="J6" s="20"/>
      <c r="K6" s="20"/>
    </row>
    <row r="7" customFormat="false" ht="19.5" hidden="false" customHeight="true" outlineLevel="0" collapsed="false">
      <c r="B7" s="57" t="s">
        <v>117</v>
      </c>
      <c r="C7" s="57"/>
      <c r="D7" s="58" t="s">
        <v>118</v>
      </c>
      <c r="E7" s="20" t="s">
        <v>119</v>
      </c>
      <c r="F7" s="20"/>
      <c r="G7" s="20"/>
      <c r="H7" s="20"/>
      <c r="I7" s="20"/>
      <c r="J7" s="20"/>
      <c r="K7" s="20"/>
    </row>
    <row r="8" customFormat="false" ht="19.5" hidden="false" customHeight="true" outlineLevel="0" collapsed="false">
      <c r="B8" s="57" t="s">
        <v>120</v>
      </c>
      <c r="C8" s="57"/>
      <c r="D8" s="58" t="s">
        <v>121</v>
      </c>
      <c r="E8" s="20" t="s">
        <v>122</v>
      </c>
      <c r="F8" s="20"/>
      <c r="G8" s="20"/>
      <c r="H8" s="20"/>
      <c r="I8" s="20"/>
      <c r="J8" s="20"/>
      <c r="K8" s="20"/>
    </row>
    <row r="9" customFormat="false" ht="19.5" hidden="false" customHeight="true" outlineLevel="0" collapsed="false">
      <c r="B9" s="57" t="s">
        <v>123</v>
      </c>
      <c r="C9" s="57"/>
      <c r="D9" s="58" t="s">
        <v>121</v>
      </c>
      <c r="E9" s="20" t="s">
        <v>124</v>
      </c>
      <c r="F9" s="20"/>
      <c r="G9" s="20"/>
      <c r="H9" s="20"/>
      <c r="I9" s="20"/>
      <c r="J9" s="20"/>
      <c r="K9" s="20"/>
    </row>
    <row r="10" customFormat="false" ht="19.5" hidden="false" customHeight="true" outlineLevel="0" collapsed="false">
      <c r="B10" s="57" t="s">
        <v>125</v>
      </c>
      <c r="C10" s="57"/>
      <c r="D10" s="60" t="n">
        <v>0</v>
      </c>
      <c r="E10" s="20" t="s">
        <v>126</v>
      </c>
      <c r="F10" s="20"/>
      <c r="G10" s="20"/>
      <c r="H10" s="20"/>
      <c r="I10" s="20"/>
      <c r="J10" s="20"/>
      <c r="K10" s="20"/>
    </row>
    <row r="11" customFormat="false" ht="19.5" hidden="false" customHeight="true" outlineLevel="0" collapsed="false">
      <c r="B11" s="57" t="s">
        <v>127</v>
      </c>
      <c r="C11" s="57"/>
      <c r="D11" s="61" t="n">
        <v>0.275</v>
      </c>
      <c r="E11" s="20" t="s">
        <v>128</v>
      </c>
      <c r="F11" s="20"/>
      <c r="G11" s="20"/>
      <c r="H11" s="20"/>
      <c r="I11" s="20"/>
      <c r="J11" s="20"/>
      <c r="K11" s="20"/>
    </row>
    <row r="12" customFormat="false" ht="19.5" hidden="false" customHeight="true" outlineLevel="0" collapsed="false">
      <c r="B12" s="57" t="s">
        <v>129</v>
      </c>
      <c r="C12" s="57"/>
      <c r="D12" s="58" t="s">
        <v>118</v>
      </c>
      <c r="E12" s="20" t="s">
        <v>130</v>
      </c>
      <c r="F12" s="20"/>
      <c r="G12" s="20"/>
      <c r="H12" s="20"/>
      <c r="I12" s="20"/>
      <c r="J12" s="20"/>
      <c r="K12" s="20"/>
    </row>
    <row r="13" customFormat="false" ht="21.75" hidden="false" customHeight="true" outlineLevel="0" collapsed="false">
      <c r="B13" s="62" t="s">
        <v>131</v>
      </c>
      <c r="C13" s="62"/>
      <c r="D13" s="63" t="n">
        <f aca="false">IF(PGBL_COMPLETA&lt;&gt;"Sim",0,MIN(IN_APORTE*12,PGBL_RENDA*LIMITE_PGBL)*PGBL_ALIQ)</f>
        <v>0</v>
      </c>
      <c r="E13" s="64" t="str">
        <f aca="false">IF(PGBL_COMPLETA&lt;&gt;"Sim","O cliente não declara no modelo completo: o PGBL não gera benefício e o VGBL tende a ser o caminho.","Valor recorrente por ano. No primeiro ano o aporte inicial também é dedutível, gerando um benefício adicional de "&amp;TEXT(MIN(IN_CAPITAL,MAX(0,PGBL_RENDA*LIMITE_PGBL-IN_APORTE*12))*PGBL_ALIQ,"R$ #,##0")&amp;".")</f>
        <v>O cliente não declara no modelo completo: o PGBL não gera benefício e o VGBL tende a ser o caminho.</v>
      </c>
      <c r="F13" s="64"/>
      <c r="G13" s="64"/>
      <c r="H13" s="64"/>
      <c r="I13" s="64"/>
      <c r="J13" s="64"/>
      <c r="K13" s="64"/>
    </row>
    <row r="15" customFormat="false" ht="21.75" hidden="false" customHeight="true" outlineLevel="0" collapsed="false">
      <c r="A15" s="3" t="s">
        <v>132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25.5" hidden="false" customHeight="true" outlineLevel="0" collapsed="false">
      <c r="B16" s="34" t="s">
        <v>133</v>
      </c>
      <c r="C16" s="34" t="s">
        <v>134</v>
      </c>
      <c r="D16" s="34" t="s">
        <v>135</v>
      </c>
      <c r="E16" s="34" t="s">
        <v>136</v>
      </c>
      <c r="F16" s="34"/>
      <c r="G16" s="34" t="s">
        <v>137</v>
      </c>
      <c r="H16" s="34" t="s">
        <v>138</v>
      </c>
      <c r="I16" s="34"/>
    </row>
    <row r="17" customFormat="false" ht="24" hidden="false" customHeight="true" outlineLevel="0" collapsed="false">
      <c r="B17" s="65" t="s">
        <v>64</v>
      </c>
      <c r="C17" s="66"/>
      <c r="D17" s="67" t="str">
        <f aca="false">IFERROR(IF($C17="","",INDEX(Adequacao!$S$9:$S$78,MATCH($C17,Adequacao!$B$9:$B$78,0))),"")</f>
        <v/>
      </c>
      <c r="E17" s="68" t="str">
        <f aca="false">Adequacao!$B$82</f>
        <v>Tesouro Prefixado 2031</v>
      </c>
      <c r="F17" s="68"/>
      <c r="G17" s="69" t="n">
        <f aca="false">Adequacao!$C$82</f>
        <v>96.3</v>
      </c>
      <c r="H17" s="70" t="str">
        <f aca="false">IF(AUTO_SUGESTAO="Sim",Adequacao!$B$82,$C17)</f>
        <v>Tesouro Prefixado 2031</v>
      </c>
      <c r="I17" s="70"/>
      <c r="J17" s="31" t="str">
        <f aca="false">IF(AUTO_SUGESTAO="Sim","A sugestão automática está LIGADA: a coluna EM USO segue a ordem de aderência. Para escolher à mão, mude o parâmetro para Não e preencha a coluna Escolha manual.","A sugestão automática está DESLIGADA: vale o que você escolher na coluna Escolha manual. A coluna Sugestão automática continua visível só para comparação.")</f>
        <v>A sugestão automática está LIGADA: a coluna EM USO segue a ordem de aderência. Para escolher à mão, mude o parâmetro para Não e preencha a coluna Escolha manual.</v>
      </c>
      <c r="K17" s="31"/>
    </row>
    <row r="18" customFormat="false" ht="24" hidden="false" customHeight="true" outlineLevel="0" collapsed="false">
      <c r="B18" s="65" t="s">
        <v>139</v>
      </c>
      <c r="C18" s="66"/>
      <c r="D18" s="67" t="str">
        <f aca="false">IFERROR(IF($C18="","",INDEX(Adequacao!$S$9:$S$78,MATCH($C18,Adequacao!$B$9:$B$78,0))),"")</f>
        <v/>
      </c>
      <c r="E18" s="68" t="str">
        <f aca="false">Adequacao!$B$83</f>
        <v>Tesouro IPCA+ 2035</v>
      </c>
      <c r="F18" s="68"/>
      <c r="G18" s="69" t="n">
        <f aca="false">Adequacao!$C$83</f>
        <v>96.3</v>
      </c>
      <c r="H18" s="70" t="str">
        <f aca="false">IF(AUTO_SUGESTAO="Sim",Adequacao!$B$83,$C18)</f>
        <v>Tesouro IPCA+ 2035</v>
      </c>
      <c r="I18" s="70"/>
      <c r="J18" s="31"/>
      <c r="K18" s="31"/>
    </row>
    <row r="19" customFormat="false" ht="24" hidden="false" customHeight="true" outlineLevel="0" collapsed="false">
      <c r="B19" s="65" t="s">
        <v>140</v>
      </c>
      <c r="C19" s="66"/>
      <c r="D19" s="67" t="str">
        <f aca="false">IFERROR(IF($C19="","",INDEX(Adequacao!$S$9:$S$78,MATCH($C19,Adequacao!$B$9:$B$78,0))),"")</f>
        <v/>
      </c>
      <c r="E19" s="68" t="str">
        <f aca="false">Adequacao!$B$84</f>
        <v>Fundo CAIXA RF Crédito Privado LP</v>
      </c>
      <c r="F19" s="68"/>
      <c r="G19" s="69" t="n">
        <f aca="false">Adequacao!$C$84</f>
        <v>94</v>
      </c>
      <c r="H19" s="70" t="str">
        <f aca="false">IF(AUTO_SUGESTAO="Sim",Adequacao!$B$84,$C19)</f>
        <v>Fundo CAIXA RF Crédito Privado LP</v>
      </c>
      <c r="I19" s="70"/>
      <c r="J19" s="31"/>
      <c r="K19" s="31"/>
    </row>
    <row r="20" customFormat="false" ht="24" hidden="false" customHeight="true" outlineLevel="0" collapsed="false">
      <c r="B20" s="65" t="s">
        <v>141</v>
      </c>
      <c r="C20" s="66"/>
      <c r="D20" s="67" t="str">
        <f aca="false">IFERROR(IF($C20="","",INDEX(Adequacao!$S$9:$S$78,MATCH($C20,Adequacao!$B$9:$B$78,0))),"")</f>
        <v/>
      </c>
      <c r="E20" s="68" t="str">
        <f aca="false">Adequacao!$B$85</f>
        <v>VGBL CAIXA Composto 30 — Regressivo</v>
      </c>
      <c r="F20" s="68"/>
      <c r="G20" s="69" t="n">
        <f aca="false">Adequacao!$C$85</f>
        <v>91.3</v>
      </c>
      <c r="H20" s="70" t="str">
        <f aca="false">IF(AUTO_SUGESTAO="Sim",Adequacao!$B$85,$C20)</f>
        <v>VGBL CAIXA Composto 30 — Regressivo</v>
      </c>
      <c r="I20" s="70"/>
      <c r="J20" s="31"/>
      <c r="K20" s="31"/>
    </row>
    <row r="21" customFormat="false" ht="24" hidden="false" customHeight="true" outlineLevel="0" collapsed="false">
      <c r="B21" s="65" t="s">
        <v>142</v>
      </c>
      <c r="C21" s="66"/>
      <c r="D21" s="67" t="str">
        <f aca="false">IFERROR(IF($C21="","",INDEX(Adequacao!$S$9:$S$78,MATCH($C21,Adequacao!$B$9:$B$78,0))),"")</f>
        <v/>
      </c>
      <c r="E21" s="68" t="str">
        <f aca="false">Adequacao!$B$86</f>
        <v>PGBL CAIXA Composto 30 — Regressivo</v>
      </c>
      <c r="F21" s="68"/>
      <c r="G21" s="69" t="n">
        <f aca="false">Adequacao!$C$86</f>
        <v>91.3</v>
      </c>
      <c r="H21" s="70" t="str">
        <f aca="false">IF(AUTO_SUGESTAO="Sim",Adequacao!$B$86,$C21)</f>
        <v>PGBL CAIXA Composto 30 — Regressivo</v>
      </c>
      <c r="I21" s="70"/>
      <c r="J21" s="31"/>
      <c r="K21" s="31"/>
    </row>
    <row r="22" customFormat="false" ht="24" hidden="false" customHeight="true" outlineLevel="0" collapsed="false">
      <c r="B22" s="65" t="s">
        <v>143</v>
      </c>
      <c r="C22" s="66"/>
      <c r="D22" s="67" t="str">
        <f aca="false">IFERROR(IF($C22="","",INDEX(Adequacao!$S$9:$S$78,MATCH($C22,Adequacao!$B$9:$B$78,0))),"")</f>
        <v/>
      </c>
      <c r="E22" s="68" t="str">
        <f aca="false">Adequacao!$B$87</f>
        <v>Fundo CAIXA RF IPCA Longo Prazo</v>
      </c>
      <c r="F22" s="68"/>
      <c r="G22" s="69" t="n">
        <f aca="false">Adequacao!$C$87</f>
        <v>90.5</v>
      </c>
      <c r="H22" s="70" t="str">
        <f aca="false">IF(AUTO_SUGESTAO="Sim",Adequacao!$B$87,$C22)</f>
        <v>Fundo CAIXA RF IPCA Longo Prazo</v>
      </c>
      <c r="I22" s="70"/>
      <c r="J22" s="31"/>
      <c r="K22" s="31"/>
    </row>
    <row r="24" customFormat="false" ht="21.75" hidden="false" customHeight="true" outlineLevel="0" collapsed="false">
      <c r="A24" s="3" t="s">
        <v>144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31.5" hidden="false" customHeight="true" outlineLevel="0" collapsed="false">
      <c r="B25" s="71" t="s">
        <v>145</v>
      </c>
      <c r="C25" s="71"/>
      <c r="D25" s="72" t="str">
        <f aca="false">IF(Motor!$B$9=0,"(A) não usada",Motor!$B$6)</f>
        <v>Tesouro Prefixado 2031</v>
      </c>
      <c r="E25" s="72" t="str">
        <f aca="false">IF(Motor!$C$9=0,"(B) não usada",Motor!$C$6)</f>
        <v>Tesouro IPCA+ 2035</v>
      </c>
      <c r="F25" s="72" t="str">
        <f aca="false">IF(Motor!$D$9=0,"(C) não usada",Motor!$D$6)</f>
        <v>Fundo CAIXA RF Crédito Privado LP</v>
      </c>
      <c r="G25" s="72" t="str">
        <f aca="false">IF(Motor!$E$9=0,"(D) não usada",Motor!$E$6)</f>
        <v>VGBL CAIXA Composto 30 — Regressivo</v>
      </c>
      <c r="H25" s="72" t="str">
        <f aca="false">IF(Motor!$F$9=0,"(E) não usada",Motor!$F$6)</f>
        <v>PGBL CAIXA Composto 30 — Regressivo</v>
      </c>
      <c r="I25" s="72" t="str">
        <f aca="false">IF(Motor!$G$9=0,"(F) não usada",Motor!$G$6)</f>
        <v>Fundo CAIXA RF IPCA Longo Prazo</v>
      </c>
      <c r="J25" s="72" t="str">
        <f aca="false">IF(MotorImovel!$B$5=0,"(imóvel fora)","Imóvel para aluguel")</f>
        <v>Imóvel para aluguel</v>
      </c>
    </row>
    <row r="26" customFormat="false" ht="13.5" hidden="false" customHeight="true" outlineLevel="0" collapsed="false">
      <c r="B26" s="73" t="s">
        <v>146</v>
      </c>
      <c r="C26" s="73"/>
      <c r="D26" s="74" t="str">
        <f aca="false">Motor!$B$6</f>
        <v>Tesouro Prefixado 2031</v>
      </c>
      <c r="E26" s="74" t="str">
        <f aca="false">Motor!$C$6</f>
        <v>Tesouro IPCA+ 2035</v>
      </c>
      <c r="F26" s="74" t="str">
        <f aca="false">Motor!$D$6</f>
        <v>Fundo CAIXA RF Crédito Privado LP</v>
      </c>
      <c r="G26" s="74" t="str">
        <f aca="false">Motor!$E$6</f>
        <v>VGBL CAIXA Composto 30 — Regressivo</v>
      </c>
      <c r="H26" s="74" t="str">
        <f aca="false">Motor!$F$6</f>
        <v>PGBL CAIXA Composto 30 — Regressivo</v>
      </c>
      <c r="I26" s="74" t="str">
        <f aca="false">Motor!$G$6</f>
        <v>Fundo CAIXA RF IPCA Longo Prazo</v>
      </c>
      <c r="J26" s="74" t="str">
        <f aca="false">"Imóvel para aluguel"</f>
        <v>Imóvel para aluguel</v>
      </c>
    </row>
    <row r="27" customFormat="false" ht="13.5" hidden="false" customHeight="true" outlineLevel="0" collapsed="false">
      <c r="B27" s="73" t="s">
        <v>147</v>
      </c>
      <c r="C27" s="73"/>
      <c r="D27" s="74" t="str">
        <f aca="false">Motor!$B$10</f>
        <v>Renda Fixa</v>
      </c>
      <c r="E27" s="74" t="str">
        <f aca="false">Motor!$C$10</f>
        <v>Renda Fixa</v>
      </c>
      <c r="F27" s="74" t="str">
        <f aca="false">Motor!$D$10</f>
        <v>Fundo</v>
      </c>
      <c r="G27" s="74" t="str">
        <f aca="false">Motor!$E$10</f>
        <v>Previdência</v>
      </c>
      <c r="H27" s="74" t="str">
        <f aca="false">Motor!$F$10</f>
        <v>Previdência</v>
      </c>
      <c r="I27" s="74" t="str">
        <f aca="false">Motor!$G$10</f>
        <v>Fundo</v>
      </c>
      <c r="J27" s="74" t="str">
        <f aca="false">"Imobiliário"</f>
        <v>Imobiliário</v>
      </c>
    </row>
    <row r="28" customFormat="false" ht="13.5" hidden="false" customHeight="true" outlineLevel="0" collapsed="false">
      <c r="B28" s="73" t="s">
        <v>148</v>
      </c>
      <c r="C28" s="73"/>
      <c r="D28" s="74" t="str">
        <f aca="false">Motor!$B$11</f>
        <v>Tesouro Nacional</v>
      </c>
      <c r="E28" s="74" t="str">
        <f aca="false">Motor!$C$11</f>
        <v>Tesouro Nacional</v>
      </c>
      <c r="F28" s="74" t="str">
        <f aca="false">Motor!$D$11</f>
        <v>CAIXA Asset</v>
      </c>
      <c r="G28" s="74" t="str">
        <f aca="false">Motor!$E$11</f>
        <v>CAIXA Vida e Previdência</v>
      </c>
      <c r="H28" s="74" t="str">
        <f aca="false">Motor!$F$11</f>
        <v>CAIXA Vida e Previdência</v>
      </c>
      <c r="I28" s="74" t="str">
        <f aca="false">Motor!$G$11</f>
        <v>CAIXA Asset</v>
      </c>
      <c r="J28" s="74" t="str">
        <f aca="false">"Mercado"</f>
        <v>Mercado</v>
      </c>
    </row>
    <row r="29" customFormat="false" ht="13.5" hidden="false" customHeight="true" outlineLevel="0" collapsed="false">
      <c r="B29" s="73" t="s">
        <v>149</v>
      </c>
      <c r="C29" s="73"/>
      <c r="D29" s="74" t="str">
        <f aca="false">Motor!$B$12</f>
        <v>PRE</v>
      </c>
      <c r="E29" s="74" t="str">
        <f aca="false">Motor!$C$12</f>
        <v>IPCA</v>
      </c>
      <c r="F29" s="74" t="str">
        <f aca="false">Motor!$D$12</f>
        <v>CDI</v>
      </c>
      <c r="G29" s="74" t="str">
        <f aca="false">Motor!$E$12</f>
        <v>CDI</v>
      </c>
      <c r="H29" s="74" t="str">
        <f aca="false">Motor!$F$12</f>
        <v>CDI</v>
      </c>
      <c r="I29" s="74" t="str">
        <f aca="false">Motor!$G$12</f>
        <v>IPCA</v>
      </c>
      <c r="J29" s="74" t="str">
        <f aca="false">"Valorização + aluguel"</f>
        <v>Valorização + aluguel</v>
      </c>
    </row>
    <row r="30" customFormat="false" ht="13.5" hidden="false" customHeight="true" outlineLevel="0" collapsed="false">
      <c r="B30" s="73" t="s">
        <v>150</v>
      </c>
      <c r="C30" s="73"/>
      <c r="D30" s="75" t="n">
        <f aca="false">Motor!$B$13</f>
        <v>1</v>
      </c>
      <c r="E30" s="75" t="n">
        <f aca="false">Motor!$C$13</f>
        <v>1</v>
      </c>
      <c r="F30" s="75" t="n">
        <f aca="false">Motor!$D$13</f>
        <v>1.04</v>
      </c>
      <c r="G30" s="75" t="n">
        <f aca="false">Motor!$E$13</f>
        <v>1</v>
      </c>
      <c r="H30" s="75" t="n">
        <f aca="false">Motor!$F$13</f>
        <v>1</v>
      </c>
      <c r="I30" s="75" t="n">
        <f aca="false">Motor!$G$13</f>
        <v>1</v>
      </c>
      <c r="J30" s="75" t="n">
        <f aca="false">1</f>
        <v>1</v>
      </c>
    </row>
    <row r="31" customFormat="false" ht="13.5" hidden="false" customHeight="true" outlineLevel="0" collapsed="false">
      <c r="B31" s="73" t="s">
        <v>151</v>
      </c>
      <c r="C31" s="73"/>
      <c r="D31" s="76" t="n">
        <f aca="false">Motor!$B$14</f>
        <v>0.12</v>
      </c>
      <c r="E31" s="76" t="n">
        <f aca="false">Motor!$C$14</f>
        <v>0.06</v>
      </c>
      <c r="F31" s="76" t="n">
        <f aca="false">Motor!$D$14</f>
        <v>0</v>
      </c>
      <c r="G31" s="76" t="n">
        <f aca="false">Motor!$E$14</f>
        <v>0.015</v>
      </c>
      <c r="H31" s="76" t="n">
        <f aca="false">Motor!$F$14</f>
        <v>0.015</v>
      </c>
      <c r="I31" s="76" t="n">
        <f aca="false">Motor!$G$14</f>
        <v>0.06</v>
      </c>
      <c r="J31" s="76" t="n">
        <f aca="false">MotorImovel!$B$20</f>
        <v>0.04</v>
      </c>
    </row>
    <row r="32" customFormat="false" ht="13.5" hidden="false" customHeight="true" outlineLevel="0" collapsed="false">
      <c r="B32" s="73" t="s">
        <v>152</v>
      </c>
      <c r="C32" s="73"/>
      <c r="D32" s="76" t="n">
        <f aca="false">Motor!$B$17</f>
        <v>0.12</v>
      </c>
      <c r="E32" s="76" t="n">
        <f aca="false">Motor!$C$17</f>
        <v>0.1024</v>
      </c>
      <c r="F32" s="76" t="n">
        <f aca="false">Motor!$D$17</f>
        <v>0.11336</v>
      </c>
      <c r="G32" s="76" t="n">
        <f aca="false">Motor!$E$17</f>
        <v>0.124</v>
      </c>
      <c r="H32" s="76" t="n">
        <f aca="false">Motor!$F$17</f>
        <v>0.124</v>
      </c>
      <c r="I32" s="76" t="n">
        <f aca="false">Motor!$G$17</f>
        <v>0.1024</v>
      </c>
      <c r="J32" s="76" t="n">
        <f aca="false">MotorImovel!$B$20</f>
        <v>0.04</v>
      </c>
    </row>
    <row r="33" customFormat="false" ht="13.5" hidden="false" customHeight="true" outlineLevel="0" collapsed="false">
      <c r="B33" s="73" t="s">
        <v>153</v>
      </c>
      <c r="C33" s="73"/>
      <c r="D33" s="76" t="n">
        <f aca="false">Motor!$B$20</f>
        <v>0</v>
      </c>
      <c r="E33" s="76" t="n">
        <f aca="false">Motor!$C$20</f>
        <v>0</v>
      </c>
      <c r="F33" s="76" t="n">
        <f aca="false">Motor!$D$20</f>
        <v>0.01</v>
      </c>
      <c r="G33" s="76" t="n">
        <f aca="false">Motor!$E$20</f>
        <v>0.015</v>
      </c>
      <c r="H33" s="76" t="n">
        <f aca="false">Motor!$F$20</f>
        <v>0.015</v>
      </c>
      <c r="I33" s="76" t="n">
        <f aca="false">Motor!$G$20</f>
        <v>0.01</v>
      </c>
      <c r="J33" s="76" t="n">
        <f aca="false">MotorImovel!$B$19</f>
        <v>0.08</v>
      </c>
    </row>
    <row r="34" customFormat="false" ht="13.5" hidden="false" customHeight="true" outlineLevel="0" collapsed="false">
      <c r="B34" s="73" t="s">
        <v>154</v>
      </c>
      <c r="C34" s="73"/>
      <c r="D34" s="76" t="n">
        <f aca="false">Motor!$B$21</f>
        <v>0.002</v>
      </c>
      <c r="E34" s="76" t="n">
        <f aca="false">Motor!$C$21</f>
        <v>0.002</v>
      </c>
      <c r="F34" s="76" t="n">
        <f aca="false">Motor!$D$21</f>
        <v>0</v>
      </c>
      <c r="G34" s="76" t="n">
        <f aca="false">Motor!$E$21</f>
        <v>0</v>
      </c>
      <c r="H34" s="76" t="n">
        <f aca="false">Motor!$F$21</f>
        <v>0</v>
      </c>
      <c r="I34" s="76" t="n">
        <f aca="false">Motor!$G$21</f>
        <v>0</v>
      </c>
      <c r="J34" s="76" t="n">
        <f aca="false">MotorImovel!$B$17</f>
        <v>0.006</v>
      </c>
    </row>
    <row r="35" customFormat="false" ht="13.5" hidden="false" customHeight="true" outlineLevel="0" collapsed="false">
      <c r="B35" s="73" t="s">
        <v>155</v>
      </c>
      <c r="C35" s="73"/>
      <c r="D35" s="75" t="n">
        <f aca="false">Motor!$B$23</f>
        <v>0</v>
      </c>
      <c r="E35" s="75" t="n">
        <f aca="false">Motor!$C$23</f>
        <v>0</v>
      </c>
      <c r="F35" s="75" t="n">
        <f aca="false">Motor!$D$23</f>
        <v>0</v>
      </c>
      <c r="G35" s="75" t="n">
        <f aca="false">Motor!$E$23</f>
        <v>0</v>
      </c>
      <c r="H35" s="75" t="n">
        <f aca="false">Motor!$F$23</f>
        <v>0</v>
      </c>
      <c r="I35" s="75" t="n">
        <f aca="false">Motor!$G$23</f>
        <v>0</v>
      </c>
      <c r="J35" s="75" t="n">
        <f aca="false">0</f>
        <v>0</v>
      </c>
    </row>
    <row r="36" customFormat="false" ht="13.5" hidden="false" customHeight="true" outlineLevel="0" collapsed="false">
      <c r="B36" s="73" t="s">
        <v>156</v>
      </c>
      <c r="C36" s="73"/>
      <c r="D36" s="74" t="str">
        <f aca="false">TEXT(Motor!$B$24,"0.00%")&amp;" / "&amp;TEXT(Motor!$B$25,"0.00%")</f>
        <v>0.00% / 0.00%</v>
      </c>
      <c r="E36" s="74" t="str">
        <f aca="false">TEXT(Motor!$C$24,"0.00%")&amp;" / "&amp;TEXT(Motor!$C$25,"0.00%")</f>
        <v>0.00% / 0.00%</v>
      </c>
      <c r="F36" s="74" t="str">
        <f aca="false">TEXT(Motor!$D$24,"0.00%")&amp;" / "&amp;TEXT(Motor!$D$25,"0.00%")</f>
        <v>0.00% / 0.00%</v>
      </c>
      <c r="G36" s="74" t="str">
        <f aca="false">TEXT(Motor!$E$24,"0.00%")&amp;" / "&amp;TEXT(Motor!$E$25,"0.00%")</f>
        <v>0.00% / 0.00%</v>
      </c>
      <c r="H36" s="74" t="str">
        <f aca="false">TEXT(Motor!$F$24,"0.00%")&amp;" / "&amp;TEXT(Motor!$F$25,"0.00%")</f>
        <v>0.00% / 0.00%</v>
      </c>
      <c r="I36" s="74" t="str">
        <f aca="false">TEXT(Motor!$G$24,"0.00%")&amp;" / "&amp;TEXT(Motor!$G$25,"0.00%")</f>
        <v>0.00% / 0.00%</v>
      </c>
      <c r="J36" s="76" t="str">
        <f aca="false">"—"</f>
        <v>—</v>
      </c>
    </row>
    <row r="37" customFormat="false" ht="13.5" hidden="false" customHeight="true" outlineLevel="0" collapsed="false">
      <c r="B37" s="73" t="s">
        <v>157</v>
      </c>
      <c r="C37" s="73"/>
      <c r="D37" s="76" t="n">
        <f aca="false">Motor!$B$36</f>
        <v>0.117783068913864</v>
      </c>
      <c r="E37" s="76" t="n">
        <f aca="false">Motor!$C$36</f>
        <v>0.100215026927393</v>
      </c>
      <c r="F37" s="76" t="n">
        <f aca="false">Motor!$D$36</f>
        <v>0.102375571130857</v>
      </c>
      <c r="G37" s="76" t="n">
        <f aca="false">Motor!$E$36</f>
        <v>0.107416646749236</v>
      </c>
      <c r="H37" s="76" t="n">
        <f aca="false">Motor!$F$36</f>
        <v>0.107416646749236</v>
      </c>
      <c r="I37" s="76" t="n">
        <f aca="false">Motor!$G$36</f>
        <v>0.0915147732592994</v>
      </c>
      <c r="J37" s="76" t="n">
        <f aca="false">MotorImovel!$B$42</f>
        <v>0.0782872942052704</v>
      </c>
    </row>
    <row r="38" customFormat="false" ht="13.5" hidden="false" customHeight="true" outlineLevel="0" collapsed="false">
      <c r="B38" s="73" t="s">
        <v>158</v>
      </c>
      <c r="C38" s="73"/>
      <c r="D38" s="74" t="str">
        <f aca="false">Motor!$B$8</f>
        <v>RF_REGR</v>
      </c>
      <c r="E38" s="74" t="str">
        <f aca="false">Motor!$C$8</f>
        <v>RF_REGR</v>
      </c>
      <c r="F38" s="74" t="str">
        <f aca="false">Motor!$D$8</f>
        <v>FUNDO_LP</v>
      </c>
      <c r="G38" s="74" t="str">
        <f aca="false">Motor!$E$8</f>
        <v>PREV_REGR</v>
      </c>
      <c r="H38" s="74" t="str">
        <f aca="false">Motor!$F$8</f>
        <v>PREV_REGR</v>
      </c>
      <c r="I38" s="74" t="str">
        <f aca="false">Motor!$G$8</f>
        <v>FUNDO_LP</v>
      </c>
      <c r="J38" s="74" t="str">
        <f aca="false">"Carnê-leão + ganho de capital"</f>
        <v>Carnê-leão + ganho de capital</v>
      </c>
    </row>
    <row r="39" customFormat="false" ht="13.5" hidden="false" customHeight="true" outlineLevel="0" collapsed="false">
      <c r="B39" s="73" t="s">
        <v>159</v>
      </c>
      <c r="C39" s="73"/>
      <c r="D39" s="77" t="n">
        <f aca="false">Motor!$B$27</f>
        <v>0</v>
      </c>
      <c r="E39" s="77" t="n">
        <f aca="false">Motor!$C$27</f>
        <v>0</v>
      </c>
      <c r="F39" s="77" t="n">
        <f aca="false">Motor!$D$27</f>
        <v>1</v>
      </c>
      <c r="G39" s="77" t="n">
        <f aca="false">Motor!$E$27</f>
        <v>0</v>
      </c>
      <c r="H39" s="77" t="n">
        <f aca="false">Motor!$F$27</f>
        <v>0</v>
      </c>
      <c r="I39" s="77" t="n">
        <f aca="false">Motor!$G$27</f>
        <v>1</v>
      </c>
      <c r="J39" s="77" t="n">
        <f aca="false">0</f>
        <v>0</v>
      </c>
    </row>
    <row r="40" customFormat="false" ht="13.5" hidden="false" customHeight="true" outlineLevel="0" collapsed="false">
      <c r="B40" s="73" t="s">
        <v>160</v>
      </c>
      <c r="C40" s="73"/>
      <c r="D40" s="77" t="n">
        <f aca="false">Motor!$B$29</f>
        <v>0</v>
      </c>
      <c r="E40" s="77" t="n">
        <f aca="false">Motor!$C$29</f>
        <v>0</v>
      </c>
      <c r="F40" s="77" t="n">
        <f aca="false">Motor!$D$29</f>
        <v>0</v>
      </c>
      <c r="G40" s="77" t="n">
        <f aca="false">Motor!$E$29</f>
        <v>0</v>
      </c>
      <c r="H40" s="77" t="n">
        <f aca="false">Motor!$F$29</f>
        <v>0</v>
      </c>
      <c r="I40" s="77" t="n">
        <f aca="false">Motor!$G$29</f>
        <v>0</v>
      </c>
      <c r="J40" s="77" t="str">
        <f aca="false">"—"</f>
        <v>—</v>
      </c>
    </row>
    <row r="41" customFormat="false" ht="13.5" hidden="false" customHeight="true" outlineLevel="0" collapsed="false">
      <c r="B41" s="73" t="s">
        <v>161</v>
      </c>
      <c r="C41" s="73"/>
      <c r="D41" s="77" t="n">
        <f aca="false">Motor!$B$30</f>
        <v>1</v>
      </c>
      <c r="E41" s="77" t="n">
        <f aca="false">Motor!$C$30</f>
        <v>1</v>
      </c>
      <c r="F41" s="77" t="n">
        <f aca="false">Motor!$D$30</f>
        <v>30</v>
      </c>
      <c r="G41" s="77" t="n">
        <f aca="false">Motor!$E$30</f>
        <v>5</v>
      </c>
      <c r="H41" s="77" t="n">
        <f aca="false">Motor!$F$30</f>
        <v>5</v>
      </c>
      <c r="I41" s="77" t="n">
        <f aca="false">Motor!$G$30</f>
        <v>5</v>
      </c>
      <c r="J41" s="77" t="str">
        <f aca="false">"meses"</f>
        <v>meses</v>
      </c>
    </row>
    <row r="42" customFormat="false" ht="13.5" hidden="false" customHeight="true" outlineLevel="0" collapsed="false">
      <c r="B42" s="73" t="s">
        <v>162</v>
      </c>
      <c r="C42" s="73"/>
      <c r="D42" s="78" t="n">
        <f aca="false">Motor!$B$31</f>
        <v>100</v>
      </c>
      <c r="E42" s="78" t="n">
        <f aca="false">Motor!$C$31</f>
        <v>100</v>
      </c>
      <c r="F42" s="78" t="n">
        <f aca="false">Motor!$D$31</f>
        <v>5000</v>
      </c>
      <c r="G42" s="78" t="n">
        <f aca="false">Motor!$E$31</f>
        <v>5000</v>
      </c>
      <c r="H42" s="78" t="n">
        <f aca="false">Motor!$F$31</f>
        <v>5000</v>
      </c>
      <c r="I42" s="78" t="n">
        <f aca="false">Motor!$G$31</f>
        <v>5000</v>
      </c>
      <c r="J42" s="78" t="n">
        <f aca="false">MotorImovel!$B$10</f>
        <v>155250</v>
      </c>
    </row>
    <row r="43" customFormat="false" ht="13.5" hidden="false" customHeight="true" outlineLevel="0" collapsed="false">
      <c r="B43" s="73" t="s">
        <v>163</v>
      </c>
      <c r="C43" s="73"/>
      <c r="D43" s="77" t="n">
        <f aca="false">Motor!$B$32</f>
        <v>2</v>
      </c>
      <c r="E43" s="77" t="n">
        <f aca="false">Motor!$C$32</f>
        <v>2</v>
      </c>
      <c r="F43" s="77" t="n">
        <f aca="false">Motor!$D$32</f>
        <v>2</v>
      </c>
      <c r="G43" s="77" t="n">
        <f aca="false">Motor!$E$32</f>
        <v>3</v>
      </c>
      <c r="H43" s="77" t="n">
        <f aca="false">Motor!$F$32</f>
        <v>3</v>
      </c>
      <c r="I43" s="77" t="n">
        <f aca="false">Motor!$G$32</f>
        <v>3</v>
      </c>
      <c r="J43" s="77" t="n">
        <f aca="false">3</f>
        <v>3</v>
      </c>
    </row>
    <row r="44" customFormat="false" ht="13.5" hidden="false" customHeight="true" outlineLevel="0" collapsed="false">
      <c r="B44" s="73" t="s">
        <v>164</v>
      </c>
      <c r="C44" s="73"/>
      <c r="D44" s="76" t="n">
        <f aca="false">Motor!$B$33</f>
        <v>0.06</v>
      </c>
      <c r="E44" s="76" t="n">
        <f aca="false">Motor!$C$33</f>
        <v>0.08</v>
      </c>
      <c r="F44" s="76" t="n">
        <f aca="false">Motor!$D$33</f>
        <v>0.01</v>
      </c>
      <c r="G44" s="76" t="n">
        <f aca="false">Motor!$E$33</f>
        <v>0.06</v>
      </c>
      <c r="H44" s="76" t="n">
        <f aca="false">Motor!$F$33</f>
        <v>0.06</v>
      </c>
      <c r="I44" s="76" t="n">
        <f aca="false">Motor!$G$33</f>
        <v>0.08</v>
      </c>
      <c r="J44" s="76" t="n">
        <f aca="false">0.07</f>
        <v>0.07</v>
      </c>
    </row>
    <row r="45" customFormat="false" ht="13.5" hidden="false" customHeight="true" outlineLevel="0" collapsed="false">
      <c r="B45" s="73" t="s">
        <v>165</v>
      </c>
      <c r="C45" s="73"/>
      <c r="D45" s="74" t="str">
        <f aca="false">Motor!$B$34</f>
        <v>Tesouro Nacional</v>
      </c>
      <c r="E45" s="74" t="str">
        <f aca="false">Motor!$C$34</f>
        <v>Tesouro Nacional</v>
      </c>
      <c r="F45" s="74" t="str">
        <f aca="false">Motor!$D$34</f>
        <v>Sem garantia do FGC</v>
      </c>
      <c r="G45" s="74" t="str">
        <f aca="false">Motor!$E$34</f>
        <v>Seguradora (sem FGC)</v>
      </c>
      <c r="H45" s="74" t="str">
        <f aca="false">Motor!$F$34</f>
        <v>Seguradora (sem FGC)</v>
      </c>
      <c r="I45" s="74" t="str">
        <f aca="false">Motor!$G$34</f>
        <v>Sem garantia do FGC</v>
      </c>
      <c r="J45" s="74" t="str">
        <f aca="false">"Nenhuma"</f>
        <v>Nenhuma</v>
      </c>
    </row>
    <row r="46" customFormat="false" ht="13.5" hidden="false" customHeight="true" outlineLevel="0" collapsed="false">
      <c r="B46" s="79" t="s">
        <v>166</v>
      </c>
      <c r="C46" s="79"/>
      <c r="D46" s="80" t="n">
        <f aca="false">Motor!$B$50</f>
        <v>0.15</v>
      </c>
      <c r="E46" s="80" t="n">
        <f aca="false">Motor!$C$50</f>
        <v>0.15</v>
      </c>
      <c r="F46" s="80" t="n">
        <f aca="false">Motor!$D$50</f>
        <v>0.15</v>
      </c>
      <c r="G46" s="80" t="n">
        <f aca="false">Motor!$E$50</f>
        <v>0.15</v>
      </c>
      <c r="H46" s="80" t="n">
        <f aca="false">Motor!$F$50</f>
        <v>0.15</v>
      </c>
      <c r="I46" s="80" t="n">
        <f aca="false">Motor!$G$50</f>
        <v>0.15</v>
      </c>
      <c r="J46" s="80" t="n">
        <f aca="false">MotorImovel!$B$44</f>
        <v>0.15</v>
      </c>
    </row>
    <row r="47" customFormat="false" ht="13.5" hidden="false" customHeight="true" outlineLevel="0" collapsed="false">
      <c r="B47" s="79" t="s">
        <v>167</v>
      </c>
      <c r="C47" s="79"/>
      <c r="D47" s="81" t="n">
        <f aca="false">Motor!$B$45</f>
        <v>46010.6027978071</v>
      </c>
      <c r="E47" s="81" t="n">
        <f aca="false">Motor!$C$45</f>
        <v>35973.3857612593</v>
      </c>
      <c r="F47" s="81" t="n">
        <f aca="false">Motor!$D$45</f>
        <v>34319.5178839147</v>
      </c>
      <c r="G47" s="81" t="n">
        <f aca="false">Motor!$E$45</f>
        <v>39915.577582729</v>
      </c>
      <c r="H47" s="81" t="n">
        <f aca="false">Motor!$F$45</f>
        <v>62415.577582729</v>
      </c>
      <c r="I47" s="81" t="n">
        <f aca="false">Motor!$G$45</f>
        <v>29381.5604715571</v>
      </c>
      <c r="J47" s="81" t="n">
        <f aca="false">MotorImovel!$B$39</f>
        <v>16294.185644713</v>
      </c>
    </row>
    <row r="48" customFormat="false" ht="13.5" hidden="false" customHeight="true" outlineLevel="0" collapsed="false">
      <c r="B48" s="79" t="s">
        <v>168</v>
      </c>
      <c r="C48" s="79"/>
      <c r="D48" s="81" t="n">
        <f aca="false">Motor!$B$46</f>
        <v>5484.03771074322</v>
      </c>
      <c r="E48" s="81" t="n">
        <f aca="false">Motor!$C$46</f>
        <v>5002.20694823784</v>
      </c>
      <c r="F48" s="81" t="n">
        <f aca="false">Motor!$D$46</f>
        <v>23378.9681096544</v>
      </c>
      <c r="G48" s="81" t="n">
        <f aca="false">Motor!$E$46</f>
        <v>38955.3499426552</v>
      </c>
      <c r="H48" s="81" t="n">
        <f aca="false">Motor!$F$46</f>
        <v>38955.3499426552</v>
      </c>
      <c r="I48" s="81" t="n">
        <f aca="false">Motor!$G$46</f>
        <v>22287.4516853296</v>
      </c>
      <c r="J48" s="81" t="n">
        <f aca="false">MotorImovel!$B$40</f>
        <v>68286.677027061</v>
      </c>
    </row>
    <row r="49" customFormat="false" ht="13.5" hidden="false" customHeight="true" outlineLevel="0" collapsed="false">
      <c r="B49" s="79" t="s">
        <v>169</v>
      </c>
      <c r="C49" s="79"/>
      <c r="D49" s="81" t="n">
        <f aca="false">Motor!$B$40</f>
        <v>410726.749187574</v>
      </c>
      <c r="E49" s="81" t="n">
        <f aca="false">Motor!$C$40</f>
        <v>353849.18598047</v>
      </c>
      <c r="F49" s="81" t="n">
        <f aca="false">Motor!$D$40</f>
        <v>344477.26800885</v>
      </c>
      <c r="G49" s="81" t="n">
        <f aca="false">Motor!$E$40</f>
        <v>376188.272968797</v>
      </c>
      <c r="H49" s="81" t="n">
        <f aca="false">Motor!$F$40</f>
        <v>353688.272968797</v>
      </c>
      <c r="I49" s="81" t="n">
        <f aca="false">Motor!$G$40</f>
        <v>316495.509338824</v>
      </c>
      <c r="J49" s="81" t="n">
        <f aca="false">MotorImovel!$B$34</f>
        <v>329895.572514463</v>
      </c>
    </row>
    <row r="50" customFormat="false" ht="15.75" hidden="false" customHeight="true" outlineLevel="0" collapsed="false">
      <c r="B50" s="82" t="s">
        <v>170</v>
      </c>
      <c r="C50" s="82"/>
      <c r="D50" s="83" t="str">
        <f aca="false">IFERROR(INDEX(Produtos!$AB$9:$AB$78,Motor!$B$7),"—")</f>
        <v>EXEMPLO — VERIFICAR</v>
      </c>
      <c r="E50" s="83" t="str">
        <f aca="false">IFERROR(INDEX(Produtos!$AB$9:$AB$78,Motor!$C$7),"—")</f>
        <v>EXEMPLO — VERIFICAR</v>
      </c>
      <c r="F50" s="83" t="str">
        <f aca="false">IFERROR(INDEX(Produtos!$AB$9:$AB$78,Motor!$D$7),"—")</f>
        <v>EXEMPLO — VERIFICAR</v>
      </c>
      <c r="G50" s="83" t="str">
        <f aca="false">IFERROR(INDEX(Produtos!$AB$9:$AB$78,Motor!$E$7),"—")</f>
        <v>EXEMPLO — VERIFICAR</v>
      </c>
      <c r="H50" s="83" t="str">
        <f aca="false">IFERROR(INDEX(Produtos!$AB$9:$AB$78,Motor!$F$7),"—")</f>
        <v>EXEMPLO — VERIFICAR</v>
      </c>
      <c r="I50" s="83" t="str">
        <f aca="false">IFERROR(INDEX(Produtos!$AB$9:$AB$78,Motor!$G$7),"—")</f>
        <v>EXEMPLO — VERIFICAR</v>
      </c>
      <c r="J50" s="83" t="str">
        <f aca="false">"ver aba Imóvel"</f>
        <v>ver aba Imóvel</v>
      </c>
    </row>
    <row r="51" customFormat="false" ht="15.75" hidden="false" customHeight="true" outlineLevel="0" collapsed="false">
      <c r="B51" s="82" t="s">
        <v>171</v>
      </c>
      <c r="C51" s="82"/>
      <c r="D51" s="83" t="str">
        <f aca="false">IFERROR(INDEX(Produtos!$Y$9:$Y$78,Motor!$B$7),"—")</f>
        <v>2026-08-23</v>
      </c>
      <c r="E51" s="83" t="str">
        <f aca="false">IFERROR(INDEX(Produtos!$Y$9:$Y$78,Motor!$C$7),"—")</f>
        <v>2026-08-23</v>
      </c>
      <c r="F51" s="83" t="str">
        <f aca="false">IFERROR(INDEX(Produtos!$Y$9:$Y$78,Motor!$D$7),"—")</f>
        <v>2026-08-23</v>
      </c>
      <c r="G51" s="83" t="str">
        <f aca="false">IFERROR(INDEX(Produtos!$Y$9:$Y$78,Motor!$E$7),"—")</f>
        <v>2026-08-23</v>
      </c>
      <c r="H51" s="83" t="str">
        <f aca="false">IFERROR(INDEX(Produtos!$Y$9:$Y$78,Motor!$F$7),"—")</f>
        <v>2026-08-23</v>
      </c>
      <c r="I51" s="83" t="str">
        <f aca="false">IFERROR(INDEX(Produtos!$Y$9:$Y$78,Motor!$G$7),"—")</f>
        <v>2026-08-23</v>
      </c>
      <c r="J51" s="83" t="str">
        <f aca="false">DATA_DADOS</f>
        <v>2026-08-23</v>
      </c>
    </row>
    <row r="52" customFormat="false" ht="15.75" hidden="false" customHeight="true" outlineLevel="0" collapsed="false">
      <c r="B52" s="82" t="s">
        <v>172</v>
      </c>
      <c r="C52" s="82"/>
      <c r="D52" s="83" t="str">
        <f aca="false">IFERROR(INDEX(Produtos!$AA$9:$AA$78,Motor!$B$7),"—")</f>
        <v>Diário (D+1)</v>
      </c>
      <c r="E52" s="83" t="str">
        <f aca="false">IFERROR(INDEX(Produtos!$AA$9:$AA$78,Motor!$C$7),"—")</f>
        <v>Diário (D+1)</v>
      </c>
      <c r="F52" s="83" t="str">
        <f aca="false">IFERROR(INDEX(Produtos!$AA$9:$AA$78,Motor!$D$7),"—")</f>
        <v>Diário (D+1)</v>
      </c>
      <c r="G52" s="83" t="str">
        <f aca="false">IFERROR(INDEX(Produtos!$AA$9:$AA$78,Motor!$E$7),"—")</f>
        <v>Cadastral</v>
      </c>
      <c r="H52" s="83" t="str">
        <f aca="false">IFERROR(INDEX(Produtos!$AA$9:$AA$78,Motor!$F$7),"—")</f>
        <v>Cadastral</v>
      </c>
      <c r="I52" s="83" t="str">
        <f aca="false">IFERROR(INDEX(Produtos!$AA$9:$AA$78,Motor!$G$7),"—")</f>
        <v>Diário (D+1)</v>
      </c>
      <c r="J52" s="83" t="str">
        <f aca="false">"ver aba Imóvel"</f>
        <v>ver aba Imóvel</v>
      </c>
    </row>
    <row r="53" customFormat="false" ht="15.75" hidden="false" customHeight="true" outlineLevel="0" collapsed="false">
      <c r="B53" s="82" t="s">
        <v>173</v>
      </c>
      <c r="C53" s="82"/>
      <c r="D53" s="83" t="str">
        <f aca="false">IFERROR(INDEX(Produtos!$Z$9:$Z$78,Motor!$B$7),"—")</f>
        <v>Tesouro Transparente — taxas dos títulos</v>
      </c>
      <c r="E53" s="83" t="str">
        <f aca="false">IFERROR(INDEX(Produtos!$Z$9:$Z$78,Motor!$C$7),"—")</f>
        <v>Tesouro Transparente — taxas dos títulos</v>
      </c>
      <c r="F53" s="83" t="str">
        <f aca="false">IFERROR(INDEX(Produtos!$Z$9:$Z$78,Motor!$D$7),"—")</f>
        <v>CAIXA Asset — portfólio de fundos (lâmina)</v>
      </c>
      <c r="G53" s="83" t="str">
        <f aca="false">IFERROR(INDEX(Produtos!$Z$9:$Z$78,Motor!$E$7),"—")</f>
        <v>Regulamento do plano + tabela de taxas</v>
      </c>
      <c r="H53" s="83" t="str">
        <f aca="false">IFERROR(INDEX(Produtos!$Z$9:$Z$78,Motor!$F$7),"—")</f>
        <v>Regulamento do plano + tabela de taxas</v>
      </c>
      <c r="I53" s="83" t="str">
        <f aca="false">IFERROR(INDEX(Produtos!$Z$9:$Z$78,Motor!$G$7),"—")</f>
        <v>CAIXA Asset — portfólio de fundos (lâmina)</v>
      </c>
      <c r="J53" s="83" t="str">
        <f aca="false">"ver aba Imóvel"</f>
        <v>ver aba Imóvel</v>
      </c>
    </row>
    <row r="55" customFormat="false" ht="21.75" hidden="false" customHeight="true" outlineLevel="0" collapsed="false">
      <c r="A55" s="3" t="s">
        <v>174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21.75" hidden="false" customHeight="true" outlineLevel="0" collapsed="false">
      <c r="B56" s="84" t="str">
        <f aca="false">IF(SUMIF(Motor!$B$34:$G$34,"FGC*",Motor!$B$40:$G$40)&gt;LIMITE_FGC,"⚠ FGC: a soma projetada em produtos cobertos ultrapassa o limite por CPF e instituição ("&amp;TEXT(LIMITE_FGC,"R$ #,##0")&amp;"). Avalie distribuir entre emissores.","✓ FGC: a soma projetada em produtos cobertos está dentro do limite.")</f>
        <v>✓ FGC: a soma projetada em produtos cobertos está dentro do limite.</v>
      </c>
      <c r="C56" s="84"/>
      <c r="D56" s="84"/>
      <c r="E56" s="84"/>
      <c r="F56" s="84"/>
      <c r="G56" s="84"/>
      <c r="H56" s="84"/>
      <c r="I56" s="84"/>
      <c r="J56" s="84"/>
      <c r="K56" s="84"/>
    </row>
    <row r="57" customFormat="false" ht="21.75" hidden="false" customHeight="true" outlineLevel="0" collapsed="false">
      <c r="B57" s="84" t="str">
        <f aca="false">IF(COUNTIF(Motor!$B$54:$G$54,0)-COUNTIF(Motor!$B$9:$G$9,0)&gt;0,"⚠ Aplicação mínima: alguma alternativa em uso exige mais do que o cliente tem disponível.","✓ Aplicação mínima: todas as alternativas em uso cabem no valor disponível.")</f>
        <v>✓ Aplicação mínima: todas as alternativas em uso cabem no valor disponível.</v>
      </c>
      <c r="C57" s="84"/>
      <c r="D57" s="84"/>
      <c r="E57" s="84"/>
      <c r="F57" s="84"/>
      <c r="G57" s="84"/>
      <c r="H57" s="84"/>
      <c r="I57" s="84"/>
      <c r="J57" s="84"/>
      <c r="K57" s="84"/>
    </row>
    <row r="58" customFormat="false" ht="21.75" hidden="false" customHeight="true" outlineLevel="0" collapsed="false">
      <c r="B58" s="84" t="str">
        <f aca="false">IF(COUNTIF(Motor!$B$55:$G$55,0)-COUNTIF(Motor!$B$9:$G$9,0)&gt;0,"⚠ Perfil: há alternativa em uso com risco acima do perfil declarado. Isso precisa ser tratado no processo oficial de suitability.","✓ Perfil: nenhuma alternativa em uso ultrapassa o perfil declarado.")</f>
        <v>✓ Perfil: nenhuma alternativa em uso ultrapassa o perfil declarado.</v>
      </c>
      <c r="C58" s="84"/>
      <c r="D58" s="84"/>
      <c r="E58" s="84"/>
      <c r="F58" s="84"/>
      <c r="G58" s="84"/>
      <c r="H58" s="84"/>
      <c r="I58" s="84"/>
      <c r="J58" s="84"/>
      <c r="K58" s="84"/>
    </row>
    <row r="59" customFormat="false" ht="21.75" hidden="false" customHeight="true" outlineLevel="0" collapsed="false">
      <c r="B59" s="84" t="str">
        <f aca="false">IF(COUNTIF(Produtos!$AB$9:$AB$78,"EXEMPLO*")&gt;0,"⚠ Dados: há produtos na base com taxa de exemplo, ainda não conferida. Atualize antes de apresentar números ao cliente.","✓ Dados: todos os produtos da base estão marcados como conferidos.")</f>
        <v>⚠ Dados: há produtos na base com taxa de exemplo, ainda não conferida. Atualize antes de apresentar números ao cliente.</v>
      </c>
      <c r="C59" s="84"/>
      <c r="D59" s="84"/>
      <c r="E59" s="84"/>
      <c r="F59" s="84"/>
      <c r="G59" s="84"/>
      <c r="H59" s="84"/>
      <c r="I59" s="84"/>
      <c r="J59" s="84"/>
      <c r="K59" s="84"/>
    </row>
    <row r="60" customFormat="false" ht="21.75" hidden="false" customHeight="true" outlineLevel="0" collapsed="false">
      <c r="B60" s="84" t="str">
        <f aca="false">IF(AND(IMOV_INCLUIR="Sim",MotorImovel!$B$12&lt;0),"⚠ Imóvel: faltam "&amp;TEXT(-MotorImovel!$B$12,"R$ #,##0")&amp;" para fechar a compra com os custos de aquisição. A comparação fica desigual enquanto isso.","✓ Imóvel: o capital disponível cobre o valor do imóvel e os custos de aquisição.")</f>
        <v>⚠ Imóvel: faltam R$ 5,250 para fechar a compra com os custos de aquisição. A comparação fica desigual enquanto isso.</v>
      </c>
      <c r="C60" s="84"/>
      <c r="D60" s="84"/>
      <c r="E60" s="84"/>
      <c r="F60" s="84"/>
      <c r="G60" s="84"/>
      <c r="H60" s="84"/>
      <c r="I60" s="84"/>
      <c r="J60" s="84"/>
      <c r="K60" s="84"/>
    </row>
    <row r="61" customFormat="false" ht="21.75" hidden="false" customHeight="true" outlineLevel="0" collapsed="false">
      <c r="B61" s="84" t="str">
        <f aca="false">IF(AND(PGBL_COMPLETA&lt;&gt;"Sim",COUNTIF(Motor!$B$35:$G$35,1)&gt;0),"⚠ PGBL: há PGBL na comparação, mas o cliente não declara no modelo completo. Sem a dedução, o PGBL costuma perder para o VGBL.","✓ PGBL: a escolha entre PGBL e VGBL está coerente com a forma de declaração informada.")</f>
        <v>⚠ PGBL: há PGBL na comparação, mas o cliente não declara no modelo completo. Sem a dedução, o PGBL costuma perder para o VGBL.</v>
      </c>
      <c r="C61" s="84"/>
      <c r="D61" s="84"/>
      <c r="E61" s="84"/>
      <c r="F61" s="84"/>
      <c r="G61" s="84"/>
      <c r="H61" s="84"/>
      <c r="I61" s="84"/>
      <c r="J61" s="84"/>
      <c r="K61" s="84"/>
    </row>
    <row r="62" customFormat="false" ht="21.75" hidden="false" customHeight="true" outlineLevel="0" collapsed="false">
      <c r="B62" s="84" t="str">
        <f aca="false">IF(AND(IN_RESGATE="Sim",MAX(Motor!$B$29:$G$29)&gt;0),"⚠ Liquidez: o cliente disse que pode precisar do dinheiro antes, mas há alternativa com carência.","✓ Liquidez: as alternativas em uso são compatíveis com a resposta sobre resgate antecipado.")</f>
        <v>✓ Liquidez: as alternativas em uso são compatíveis com a resposta sobre resgate antecipado.</v>
      </c>
      <c r="C62" s="84"/>
      <c r="D62" s="84"/>
      <c r="E62" s="84"/>
      <c r="F62" s="84"/>
      <c r="G62" s="84"/>
      <c r="H62" s="84"/>
      <c r="I62" s="84"/>
      <c r="J62" s="84"/>
      <c r="K62" s="84"/>
    </row>
    <row r="64" customFormat="false" ht="21.75" hidden="false" customHeight="true" outlineLevel="0" collapsed="false">
      <c r="A64" s="3" t="s">
        <v>175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" hidden="false" customHeight="false" outlineLevel="0" collapsed="false">
      <c r="B65" s="85" t="s">
        <v>176</v>
      </c>
      <c r="C65" s="85"/>
      <c r="D65" s="86" t="n">
        <v>10000</v>
      </c>
      <c r="E65" s="87" t="n">
        <f aca="false">$D$65*((1+CDI_CENARIO*$D$67)^($D$66/365)-1)</f>
        <v>28.3850611204817</v>
      </c>
      <c r="F65" s="88" t="s">
        <v>177</v>
      </c>
      <c r="G65" s="88"/>
      <c r="H65" s="88"/>
    </row>
    <row r="66" customFormat="false" ht="15" hidden="false" customHeight="false" outlineLevel="0" collapsed="false">
      <c r="B66" s="85" t="s">
        <v>178</v>
      </c>
      <c r="C66" s="85"/>
      <c r="D66" s="89" t="n">
        <v>10</v>
      </c>
      <c r="E66" s="90" t="n">
        <f aca="false">IF($D$66&gt;=30,0,IFERROR(INDEX(Premissas!$B$44:$B$73,MAX(1,$D$66)),0))</f>
        <v>0.66</v>
      </c>
      <c r="F66" s="88" t="s">
        <v>179</v>
      </c>
      <c r="G66" s="88"/>
      <c r="H66" s="88"/>
    </row>
    <row r="67" customFormat="false" ht="15" hidden="false" customHeight="false" outlineLevel="0" collapsed="false">
      <c r="B67" s="85" t="s">
        <v>180</v>
      </c>
      <c r="C67" s="85"/>
      <c r="D67" s="91" t="n">
        <v>1</v>
      </c>
      <c r="E67" s="87" t="n">
        <f aca="false">$E$65*$E$66</f>
        <v>18.7341403395179</v>
      </c>
      <c r="F67" s="88" t="s">
        <v>181</v>
      </c>
      <c r="G67" s="88"/>
      <c r="H67" s="88"/>
    </row>
    <row r="68" customFormat="false" ht="15" hidden="false" customHeight="false" outlineLevel="0" collapsed="false">
      <c r="E68" s="87" t="n">
        <f aca="false">($E$65-$E$67)*0.225</f>
        <v>2.17145717571685</v>
      </c>
      <c r="F68" s="88" t="s">
        <v>182</v>
      </c>
      <c r="G68" s="88"/>
      <c r="H68" s="88"/>
    </row>
    <row r="69" customFormat="false" ht="15" hidden="false" customHeight="false" outlineLevel="0" collapsed="false">
      <c r="E69" s="92" t="n">
        <f aca="false">$D$65+$E$65-$E$67-$E$68</f>
        <v>10007.4794636052</v>
      </c>
      <c r="F69" s="88" t="s">
        <v>183</v>
      </c>
      <c r="G69" s="88"/>
      <c r="H69" s="88"/>
    </row>
    <row r="71" customFormat="false" ht="15" hidden="false" customHeight="true" outlineLevel="0" collapsed="false">
      <c r="A71" s="18" t="s">
        <v>184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3" customFormat="false" ht="25.5" hidden="false" customHeight="true" outlineLevel="0" collapsed="false">
      <c r="A73" s="12" t="s">
        <v>34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5" customFormat="false" ht="25.5" hidden="false" customHeight="true" outlineLevel="0" collapsed="false">
      <c r="B75" s="47" t="s">
        <v>84</v>
      </c>
      <c r="C75" s="47"/>
      <c r="D75" s="47" t="s">
        <v>107</v>
      </c>
      <c r="E75" s="47"/>
      <c r="F75" s="47" t="s">
        <v>12</v>
      </c>
      <c r="G75" s="47"/>
      <c r="H75" s="47" t="s">
        <v>23</v>
      </c>
      <c r="I75" s="47"/>
      <c r="J75" s="47" t="s">
        <v>21</v>
      </c>
      <c r="K75" s="47"/>
      <c r="L75" s="47" t="s">
        <v>25</v>
      </c>
      <c r="M75" s="47"/>
    </row>
  </sheetData>
  <mergeCells count="92">
    <mergeCell ref="A1:K1"/>
    <mergeCell ref="A2:K2"/>
    <mergeCell ref="A4:K4"/>
    <mergeCell ref="B5:C5"/>
    <mergeCell ref="E5:K5"/>
    <mergeCell ref="B6:C6"/>
    <mergeCell ref="E6:K6"/>
    <mergeCell ref="B7:C7"/>
    <mergeCell ref="E7:K7"/>
    <mergeCell ref="B8:C8"/>
    <mergeCell ref="E8:K8"/>
    <mergeCell ref="B9:C9"/>
    <mergeCell ref="E9:K9"/>
    <mergeCell ref="B10:C10"/>
    <mergeCell ref="E10:K10"/>
    <mergeCell ref="B11:C11"/>
    <mergeCell ref="E11:K11"/>
    <mergeCell ref="B12:C12"/>
    <mergeCell ref="E12:K12"/>
    <mergeCell ref="B13:C13"/>
    <mergeCell ref="E13:K13"/>
    <mergeCell ref="A15:K15"/>
    <mergeCell ref="E16:F16"/>
    <mergeCell ref="H16:I16"/>
    <mergeCell ref="E17:F17"/>
    <mergeCell ref="H17:I17"/>
    <mergeCell ref="J17:K22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A24:K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A55:K55"/>
    <mergeCell ref="B56:K56"/>
    <mergeCell ref="B57:K57"/>
    <mergeCell ref="B58:K58"/>
    <mergeCell ref="B59:K59"/>
    <mergeCell ref="B60:K60"/>
    <mergeCell ref="B61:K61"/>
    <mergeCell ref="B62:K62"/>
    <mergeCell ref="A64:K64"/>
    <mergeCell ref="B65:C65"/>
    <mergeCell ref="F65:H65"/>
    <mergeCell ref="B66:C66"/>
    <mergeCell ref="F66:H66"/>
    <mergeCell ref="B67:C67"/>
    <mergeCell ref="F67:H67"/>
    <mergeCell ref="F68:H68"/>
    <mergeCell ref="F69:H69"/>
    <mergeCell ref="A71:K71"/>
    <mergeCell ref="A73:K73"/>
    <mergeCell ref="B75:C75"/>
    <mergeCell ref="D75:E75"/>
    <mergeCell ref="F75:G75"/>
    <mergeCell ref="H75:I75"/>
    <mergeCell ref="J75:K75"/>
    <mergeCell ref="L75:M75"/>
  </mergeCells>
  <conditionalFormatting sqref="B56:K56">
    <cfRule type="expression" priority="2" aboveAverage="0" equalAverage="0" bottom="0" percent="0" rank="0" text="" dxfId="1">
      <formula>LEFT($B56,1)="⚠"</formula>
    </cfRule>
    <cfRule type="expression" priority="3" aboveAverage="0" equalAverage="0" bottom="0" percent="0" rank="0" text="" dxfId="0">
      <formula>LEFT($B56,1)="✓"</formula>
    </cfRule>
  </conditionalFormatting>
  <conditionalFormatting sqref="B57:K57">
    <cfRule type="expression" priority="4" aboveAverage="0" equalAverage="0" bottom="0" percent="0" rank="0" text="" dxfId="1">
      <formula>LEFT($B57,1)="⚠"</formula>
    </cfRule>
    <cfRule type="expression" priority="5" aboveAverage="0" equalAverage="0" bottom="0" percent="0" rank="0" text="" dxfId="0">
      <formula>LEFT($B57,1)="✓"</formula>
    </cfRule>
  </conditionalFormatting>
  <conditionalFormatting sqref="B58:K58">
    <cfRule type="expression" priority="6" aboveAverage="0" equalAverage="0" bottom="0" percent="0" rank="0" text="" dxfId="1">
      <formula>LEFT($B58,1)="⚠"</formula>
    </cfRule>
    <cfRule type="expression" priority="7" aboveAverage="0" equalAverage="0" bottom="0" percent="0" rank="0" text="" dxfId="0">
      <formula>LEFT($B58,1)="✓"</formula>
    </cfRule>
  </conditionalFormatting>
  <conditionalFormatting sqref="B59:K59">
    <cfRule type="expression" priority="8" aboveAverage="0" equalAverage="0" bottom="0" percent="0" rank="0" text="" dxfId="1">
      <formula>LEFT($B59,1)="⚠"</formula>
    </cfRule>
    <cfRule type="expression" priority="9" aboveAverage="0" equalAverage="0" bottom="0" percent="0" rank="0" text="" dxfId="0">
      <formula>LEFT($B59,1)="✓"</formula>
    </cfRule>
  </conditionalFormatting>
  <conditionalFormatting sqref="B60:K60">
    <cfRule type="expression" priority="10" aboveAverage="0" equalAverage="0" bottom="0" percent="0" rank="0" text="" dxfId="1">
      <formula>LEFT($B60,1)="⚠"</formula>
    </cfRule>
    <cfRule type="expression" priority="11" aboveAverage="0" equalAverage="0" bottom="0" percent="0" rank="0" text="" dxfId="0">
      <formula>LEFT($B60,1)="✓"</formula>
    </cfRule>
  </conditionalFormatting>
  <conditionalFormatting sqref="B61:K61">
    <cfRule type="expression" priority="12" aboveAverage="0" equalAverage="0" bottom="0" percent="0" rank="0" text="" dxfId="1">
      <formula>LEFT($B61,1)="⚠"</formula>
    </cfRule>
    <cfRule type="expression" priority="13" aboveAverage="0" equalAverage="0" bottom="0" percent="0" rank="0" text="" dxfId="0">
      <formula>LEFT($B61,1)="✓"</formula>
    </cfRule>
  </conditionalFormatting>
  <conditionalFormatting sqref="B62:K62">
    <cfRule type="expression" priority="14" aboveAverage="0" equalAverage="0" bottom="0" percent="0" rank="0" text="" dxfId="1">
      <formula>LEFT($B62,1)="⚠"</formula>
    </cfRule>
    <cfRule type="expression" priority="15" aboveAverage="0" equalAverage="0" bottom="0" percent="0" rank="0" text="" dxfId="0">
      <formula>LEFT($B62,1)="✓"</formula>
    </cfRule>
  </conditionalFormatting>
  <dataValidations count="11">
    <dataValidation allowBlank="true" errorStyle="stop" operator="between" showDropDown="false" showErrorMessage="false" showInputMessage="false" sqref="D5" type="list">
      <formula1>"Conservador,Base,Otimista"</formula1>
      <formula2>0</formula2>
    </dataValidation>
    <dataValidation allowBlank="true" errorStyle="stop" operator="between" showDropDown="false" showErrorMessage="false" showInputMessage="false" sqref="D7" type="list">
      <formula1>"Sim,Não"</formula1>
      <formula2>0</formula2>
    </dataValidation>
    <dataValidation allowBlank="true" errorStyle="stop" operator="between" showDropDown="false" showErrorMessage="false" showInputMessage="false" sqref="D8" type="list">
      <formula1>"Sim,Não"</formula1>
      <formula2>0</formula2>
    </dataValidation>
    <dataValidation allowBlank="true" errorStyle="stop" operator="between" showDropDown="false" showErrorMessage="false" showInputMessage="false" sqref="D9" type="list">
      <formula1>"Sim,Não"</formula1>
      <formula2>0</formula2>
    </dataValidation>
    <dataValidation allowBlank="true" errorStyle="stop" operator="between" showDropDown="false" showErrorMessage="false" showInputMessage="false" sqref="D12" type="list">
      <formula1>"Sim,Não"</formula1>
      <formula2>0</formula2>
    </dataValidation>
    <dataValidation allowBlank="true" errorStyle="stop" operator="between" prompt="Escolha um produto da base. Deixe em branco para não usar este lugar." promptTitle="Produto" showDropDown="false" showErrorMessage="false" showInputMessage="true" sqref="C17" type="list">
      <formula1>Produtos!$B$9:$B$78</formula1>
      <formula2>0</formula2>
    </dataValidation>
    <dataValidation allowBlank="true" errorStyle="stop" operator="between" prompt="Escolha um produto da base. Deixe em branco para não usar este lugar." promptTitle="Produto" showDropDown="false" showErrorMessage="false" showInputMessage="true" sqref="C18" type="list">
      <formula1>Produtos!$B$9:$B$78</formula1>
      <formula2>0</formula2>
    </dataValidation>
    <dataValidation allowBlank="true" errorStyle="stop" operator="between" prompt="Escolha um produto da base. Deixe em branco para não usar este lugar." promptTitle="Produto" showDropDown="false" showErrorMessage="false" showInputMessage="true" sqref="C19" type="list">
      <formula1>Produtos!$B$9:$B$78</formula1>
      <formula2>0</formula2>
    </dataValidation>
    <dataValidation allowBlank="true" errorStyle="stop" operator="between" prompt="Escolha um produto da base. Deixe em branco para não usar este lugar." promptTitle="Produto" showDropDown="false" showErrorMessage="false" showInputMessage="true" sqref="C20" type="list">
      <formula1>Produtos!$B$9:$B$78</formula1>
      <formula2>0</formula2>
    </dataValidation>
    <dataValidation allowBlank="true" errorStyle="stop" operator="between" prompt="Escolha um produto da base. Deixe em branco para não usar este lugar." promptTitle="Produto" showDropDown="false" showErrorMessage="false" showInputMessage="true" sqref="C21" type="list">
      <formula1>Produtos!$B$9:$B$78</formula1>
      <formula2>0</formula2>
    </dataValidation>
    <dataValidation allowBlank="true" errorStyle="stop" operator="between" prompt="Escolha um produto da base. Deixe em branco para não usar este lugar." promptTitle="Produto" showDropDown="false" showErrorMessage="false" showInputMessage="true" sqref="C22" type="list">
      <formula1>Produtos!$B$9:$B$78</formula1>
      <formula2>0</formula2>
    </dataValidation>
  </dataValidations>
  <hyperlinks>
    <hyperlink ref="B75" location="Inicio!A1" display="◀ INÍCIO"/>
    <hyperlink ref="D75" location="Cliente!A1" display="◀ CLIENTE"/>
    <hyperlink ref="F75" location="MesAMes!A1" display="MÊS A MÊS"/>
    <hyperlink ref="H75" location="Premissas!A1" display="PREMISSAS"/>
    <hyperlink ref="J75" location="Produtos!A1" display="PRODUTOS"/>
    <hyperlink ref="L75" location="Fontes!A1" display="FO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EBB"/>
    <pageSetUpPr fitToPage="false"/>
  </sheetPr>
  <dimension ref="A1:R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7" min="5" style="0" width="14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1" min="10" style="0" width="18"/>
    <col collapsed="false" customWidth="true" hidden="false" outlineLevel="0" max="13" min="13" style="0" width="18"/>
  </cols>
  <sheetData>
    <row r="1" customFormat="false" ht="33.75" hidden="false" customHeight="true" outlineLevel="0" collapsed="false">
      <c r="A1" s="13" t="s">
        <v>185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8" hidden="false" customHeight="true" outlineLevel="0" collapsed="false">
      <c r="A2" s="14" t="s">
        <v>186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25.5" hidden="false" customHeight="true" outlineLevel="0" collapsed="false">
      <c r="B4" s="8" t="s">
        <v>187</v>
      </c>
      <c r="C4" s="8"/>
      <c r="D4" s="93" t="s">
        <v>64</v>
      </c>
      <c r="E4" s="26" t="str">
        <f aca="false">IFERROR(INDEX(Motor!$B$6:$G$6,$D$5),"(não escolhida)")</f>
        <v>Tesouro Prefixado 2031</v>
      </c>
      <c r="F4" s="26"/>
      <c r="G4" s="26"/>
      <c r="H4" s="26"/>
      <c r="I4" s="94" t="s">
        <v>84</v>
      </c>
      <c r="J4" s="94" t="s">
        <v>107</v>
      </c>
      <c r="K4" s="94" t="s">
        <v>188</v>
      </c>
    </row>
    <row r="5" customFormat="false" ht="15" hidden="false" customHeight="false" outlineLevel="0" collapsed="false">
      <c r="B5" s="95" t="s">
        <v>189</v>
      </c>
      <c r="C5" s="95"/>
      <c r="D5" s="96" t="n">
        <f aca="false">IFERROR(MATCH("ALTERNATIVA "&amp;MES_DETALHE,Motor!$B$5:$G$5,0),1)</f>
        <v>1</v>
      </c>
      <c r="E5" s="97" t="str">
        <f aca="false">"O imóvel tem mecânica própria e é detalhado na aba MotorImovel, a partir da aba Imóvel."</f>
        <v>O imóvel tem mecânica própria e é detalhado na aba MotorImovel, a partir da aba Imóvel.</v>
      </c>
      <c r="F5" s="97"/>
      <c r="G5" s="97"/>
      <c r="H5" s="97"/>
      <c r="I5" s="97"/>
      <c r="J5" s="97"/>
      <c r="K5" s="97"/>
    </row>
    <row r="6" customFormat="false" ht="15" hidden="false" customHeight="true" outlineLevel="0" collapsed="false">
      <c r="A6" s="18" t="s">
        <v>190</v>
      </c>
      <c r="B6" s="18"/>
      <c r="C6" s="18"/>
      <c r="D6" s="18"/>
      <c r="E6" s="18"/>
      <c r="F6" s="18"/>
      <c r="G6" s="18"/>
      <c r="H6" s="18"/>
      <c r="I6" s="18"/>
      <c r="J6" s="18"/>
      <c r="K6" s="18"/>
    </row>
    <row r="8" customFormat="false" ht="31.5" hidden="false" customHeight="true" outlineLevel="0" collapsed="false">
      <c r="A8" s="34" t="s">
        <v>191</v>
      </c>
      <c r="B8" s="34" t="s">
        <v>192</v>
      </c>
      <c r="C8" s="34" t="s">
        <v>193</v>
      </c>
      <c r="D8" s="34" t="s">
        <v>194</v>
      </c>
      <c r="E8" s="34" t="s">
        <v>195</v>
      </c>
      <c r="F8" s="34" t="s">
        <v>97</v>
      </c>
      <c r="G8" s="34" t="s">
        <v>196</v>
      </c>
      <c r="H8" s="34" t="s">
        <v>197</v>
      </c>
      <c r="I8" s="34" t="s">
        <v>198</v>
      </c>
      <c r="J8" s="34" t="s">
        <v>199</v>
      </c>
      <c r="K8" s="34" t="s">
        <v>200</v>
      </c>
      <c r="M8" s="98" t="s">
        <v>201</v>
      </c>
    </row>
    <row r="9" customFormat="false" ht="12" hidden="false" customHeight="true" outlineLevel="0" collapsed="false">
      <c r="A9" s="55" t="n">
        <v>0</v>
      </c>
      <c r="B9" s="99" t="n">
        <f aca="false">EDATE(DATA_INICIO,$A9)</f>
        <v>46257</v>
      </c>
      <c r="C9" s="100" t="n">
        <f aca="false">IFERROR(INDEX(Motor!$F$61:$CP$301,$A9+1,($D$5-1)*15+1),0)</f>
        <v>0</v>
      </c>
      <c r="D9" s="100" t="n">
        <f aca="false">IFERROR(INDEX(Motor!$F$61:$CP$301,$A9+1,($D$5-1)*15+4),0)</f>
        <v>0</v>
      </c>
      <c r="E9" s="100" t="n">
        <f aca="false">IFERROR(INDEX(Motor!$F$61:$CP$301,$A9+1,($D$5-1)*15+2),0)</f>
        <v>150000</v>
      </c>
      <c r="F9" s="100" t="n">
        <f aca="false">IFERROR(INDEX(Motor!$F$61:$CP$301,$A9+1,($D$5-1)*15+3)+INDEX(Motor!$F$61:$CP$301,$A9+1,($D$5-1)*15+5)+INDEX(Motor!$F$61:$CP$301,$A9+1,($D$5-1)*15+6),0)</f>
        <v>0</v>
      </c>
      <c r="G9" s="100" t="n">
        <f aca="false">IFERROR(INDEX(Motor!$F$61:$CP$301,$A9+1,($D$5-1)*15+7),0)</f>
        <v>0</v>
      </c>
      <c r="H9" s="101" t="n">
        <f aca="false">IFERROR(INDEX(Motor!$F$61:$CP$301,$A9+1,($D$5-1)*15+8),0)</f>
        <v>150000</v>
      </c>
      <c r="I9" s="100" t="n">
        <f aca="false">IFERROR(INDEX(Motor!$F$61:$CP$301,$A9+1,($D$5-1)*15+12),0)</f>
        <v>0</v>
      </c>
      <c r="J9" s="102" t="n">
        <f aca="false">IFERROR(INDEX(Motor!$F$61:$CP$301,$A9+1,($D$5-1)*15+13),0)</f>
        <v>150000</v>
      </c>
      <c r="K9" s="100" t="n">
        <f aca="false">IFERROR(INDEX(Motor!$F$61:$CP$301,$A9+1,($D$5-1)*15+14),0)</f>
        <v>150000</v>
      </c>
      <c r="M9" s="103" t="s">
        <v>202</v>
      </c>
      <c r="N9" s="103"/>
      <c r="O9" s="103"/>
      <c r="P9" s="103"/>
      <c r="Q9" s="103"/>
      <c r="R9" s="103"/>
    </row>
    <row r="10" customFormat="false" ht="12" hidden="false" customHeight="true" outlineLevel="0" collapsed="false">
      <c r="A10" s="55" t="n">
        <v>1</v>
      </c>
      <c r="B10" s="99" t="n">
        <f aca="false">EDATE(DATA_INICIO,$A10)</f>
        <v>46288</v>
      </c>
      <c r="C10" s="100" t="n">
        <f aca="false">IFERROR(INDEX(Motor!$F$61:$CP$301,$A10+1,($D$5-1)*15+1),0)</f>
        <v>150000</v>
      </c>
      <c r="D10" s="100" t="n">
        <f aca="false">IFERROR(INDEX(Motor!$F$61:$CP$301,$A10+1,($D$5-1)*15+4),0)</f>
        <v>1423.31894018746</v>
      </c>
      <c r="E10" s="100" t="n">
        <f aca="false">IFERROR(INDEX(Motor!$F$61:$CP$301,$A10+1,($D$5-1)*15+2),0)</f>
        <v>0</v>
      </c>
      <c r="F10" s="100" t="n">
        <f aca="false">IFERROR(INDEX(Motor!$F$61:$CP$301,$A10+1,($D$5-1)*15+3)+INDEX(Motor!$F$61:$CP$301,$A10+1,($D$5-1)*15+5)+INDEX(Motor!$F$61:$CP$301,$A10+1,($D$5-1)*15+6),0)</f>
        <v>25</v>
      </c>
      <c r="G10" s="100" t="n">
        <f aca="false">IFERROR(INDEX(Motor!$F$61:$CP$301,$A10+1,($D$5-1)*15+7),0)</f>
        <v>0</v>
      </c>
      <c r="H10" s="101" t="n">
        <f aca="false">IFERROR(INDEX(Motor!$F$61:$CP$301,$A10+1,($D$5-1)*15+8),0)</f>
        <v>151398.318940187</v>
      </c>
      <c r="I10" s="100" t="n">
        <f aca="false">IFERROR(INDEX(Motor!$F$61:$CP$301,$A10+1,($D$5-1)*15+12),0)</f>
        <v>314.621761542177</v>
      </c>
      <c r="J10" s="102" t="n">
        <f aca="false">IFERROR(INDEX(Motor!$F$61:$CP$301,$A10+1,($D$5-1)*15+13),0)</f>
        <v>151083.697178645</v>
      </c>
      <c r="K10" s="100" t="n">
        <f aca="false">IFERROR(INDEX(Motor!$F$61:$CP$301,$A10+1,($D$5-1)*15+14),0)</f>
        <v>150590.702405352</v>
      </c>
      <c r="M10" s="104" t="s">
        <v>203</v>
      </c>
      <c r="N10" s="104"/>
      <c r="O10" s="104"/>
      <c r="P10" s="104"/>
      <c r="Q10" s="104"/>
      <c r="R10" s="104"/>
    </row>
    <row r="11" customFormat="false" ht="12" hidden="false" customHeight="true" outlineLevel="0" collapsed="false">
      <c r="A11" s="55" t="n">
        <v>2</v>
      </c>
      <c r="B11" s="99" t="n">
        <f aca="false">EDATE(DATA_INICIO,$A11)</f>
        <v>46318</v>
      </c>
      <c r="C11" s="100" t="n">
        <f aca="false">IFERROR(INDEX(Motor!$F$61:$CP$301,$A11+1,($D$5-1)*15+1),0)</f>
        <v>151398.318940187</v>
      </c>
      <c r="D11" s="100" t="n">
        <f aca="false">IFERROR(INDEX(Motor!$F$61:$CP$301,$A11+1,($D$5-1)*15+4),0)</f>
        <v>1436.5872990674</v>
      </c>
      <c r="E11" s="100" t="n">
        <f aca="false">IFERROR(INDEX(Motor!$F$61:$CP$301,$A11+1,($D$5-1)*15+2),0)</f>
        <v>0</v>
      </c>
      <c r="F11" s="100" t="n">
        <f aca="false">IFERROR(INDEX(Motor!$F$61:$CP$301,$A11+1,($D$5-1)*15+3)+INDEX(Motor!$F$61:$CP$301,$A11+1,($D$5-1)*15+5)+INDEX(Motor!$F$61:$CP$301,$A11+1,($D$5-1)*15+6),0)</f>
        <v>25.2330531566979</v>
      </c>
      <c r="G11" s="100" t="n">
        <f aca="false">IFERROR(INDEX(Motor!$F$61:$CP$301,$A11+1,($D$5-1)*15+7),0)</f>
        <v>0</v>
      </c>
      <c r="H11" s="101" t="n">
        <f aca="false">IFERROR(INDEX(Motor!$F$61:$CP$301,$A11+1,($D$5-1)*15+8),0)</f>
        <v>152809.673186098</v>
      </c>
      <c r="I11" s="100" t="n">
        <f aca="false">IFERROR(INDEX(Motor!$F$61:$CP$301,$A11+1,($D$5-1)*15+12),0)</f>
        <v>632.176466872088</v>
      </c>
      <c r="J11" s="102" t="n">
        <f aca="false">IFERROR(INDEX(Motor!$F$61:$CP$301,$A11+1,($D$5-1)*15+13),0)</f>
        <v>152177.496719226</v>
      </c>
      <c r="K11" s="100" t="n">
        <f aca="false">IFERROR(INDEX(Motor!$F$61:$CP$301,$A11+1,($D$5-1)*15+14),0)</f>
        <v>151185.989227821</v>
      </c>
      <c r="M11" s="105" t="s">
        <v>204</v>
      </c>
      <c r="N11" s="105"/>
      <c r="O11" s="105"/>
      <c r="P11" s="105"/>
      <c r="Q11" s="105"/>
      <c r="R11" s="105"/>
    </row>
    <row r="12" customFormat="false" ht="12" hidden="false" customHeight="true" outlineLevel="0" collapsed="false">
      <c r="A12" s="55" t="n">
        <v>3</v>
      </c>
      <c r="B12" s="99" t="n">
        <f aca="false">EDATE(DATA_INICIO,$A12)</f>
        <v>46349</v>
      </c>
      <c r="C12" s="100" t="n">
        <f aca="false">IFERROR(INDEX(Motor!$F$61:$CP$301,$A12+1,($D$5-1)*15+1),0)</f>
        <v>152809.673186098</v>
      </c>
      <c r="D12" s="100" t="n">
        <f aca="false">IFERROR(INDEX(Motor!$F$61:$CP$301,$A12+1,($D$5-1)*15+4),0)</f>
        <v>1449.97934726419</v>
      </c>
      <c r="E12" s="100" t="n">
        <f aca="false">IFERROR(INDEX(Motor!$F$61:$CP$301,$A12+1,($D$5-1)*15+2),0)</f>
        <v>0</v>
      </c>
      <c r="F12" s="100" t="n">
        <f aca="false">IFERROR(INDEX(Motor!$F$61:$CP$301,$A12+1,($D$5-1)*15+3)+INDEX(Motor!$F$61:$CP$301,$A12+1,($D$5-1)*15+5)+INDEX(Motor!$F$61:$CP$301,$A12+1,($D$5-1)*15+6),0)</f>
        <v>25.4682788643497</v>
      </c>
      <c r="G12" s="100" t="n">
        <f aca="false">IFERROR(INDEX(Motor!$F$61:$CP$301,$A12+1,($D$5-1)*15+7),0)</f>
        <v>0</v>
      </c>
      <c r="H12" s="101" t="n">
        <f aca="false">IFERROR(INDEX(Motor!$F$61:$CP$301,$A12+1,($D$5-1)*15+8),0)</f>
        <v>154234.184254498</v>
      </c>
      <c r="I12" s="100" t="n">
        <f aca="false">IFERROR(INDEX(Motor!$F$61:$CP$301,$A12+1,($D$5-1)*15+12),0)</f>
        <v>952.691457262054</v>
      </c>
      <c r="J12" s="102" t="n">
        <f aca="false">IFERROR(INDEX(Motor!$F$61:$CP$301,$A12+1,($D$5-1)*15+13),0)</f>
        <v>153281.492797236</v>
      </c>
      <c r="K12" s="100" t="n">
        <f aca="false">IFERROR(INDEX(Motor!$F$61:$CP$301,$A12+1,($D$5-1)*15+14),0)</f>
        <v>151785.884766239</v>
      </c>
    </row>
    <row r="13" customFormat="false" ht="12" hidden="false" customHeight="true" outlineLevel="0" collapsed="false">
      <c r="A13" s="55" t="n">
        <v>4</v>
      </c>
      <c r="B13" s="99" t="n">
        <f aca="false">EDATE(DATA_INICIO,$A13)</f>
        <v>46379</v>
      </c>
      <c r="C13" s="100" t="n">
        <f aca="false">IFERROR(INDEX(Motor!$F$61:$CP$301,$A13+1,($D$5-1)*15+1),0)</f>
        <v>154234.184254498</v>
      </c>
      <c r="D13" s="100" t="n">
        <f aca="false">IFERROR(INDEX(Motor!$F$61:$CP$301,$A13+1,($D$5-1)*15+4),0)</f>
        <v>1463.49623782526</v>
      </c>
      <c r="E13" s="100" t="n">
        <f aca="false">IFERROR(INDEX(Motor!$F$61:$CP$301,$A13+1,($D$5-1)*15+2),0)</f>
        <v>0</v>
      </c>
      <c r="F13" s="100" t="n">
        <f aca="false">IFERROR(INDEX(Motor!$F$61:$CP$301,$A13+1,($D$5-1)*15+3)+INDEX(Motor!$F$61:$CP$301,$A13+1,($D$5-1)*15+5)+INDEX(Motor!$F$61:$CP$301,$A13+1,($D$5-1)*15+6),0)</f>
        <v>25.7056973757497</v>
      </c>
      <c r="G13" s="100" t="n">
        <f aca="false">IFERROR(INDEX(Motor!$F$61:$CP$301,$A13+1,($D$5-1)*15+7),0)</f>
        <v>0</v>
      </c>
      <c r="H13" s="101" t="n">
        <f aca="false">IFERROR(INDEX(Motor!$F$61:$CP$301,$A13+1,($D$5-1)*15+8),0)</f>
        <v>155671.974794948</v>
      </c>
      <c r="I13" s="100" t="n">
        <f aca="false">IFERROR(INDEX(Motor!$F$61:$CP$301,$A13+1,($D$5-1)*15+12),0)</f>
        <v>1276.19432886319</v>
      </c>
      <c r="J13" s="102" t="n">
        <f aca="false">IFERROR(INDEX(Motor!$F$61:$CP$301,$A13+1,($D$5-1)*15+13),0)</f>
        <v>154395.780466084</v>
      </c>
      <c r="K13" s="100" t="n">
        <f aca="false">IFERROR(INDEX(Motor!$F$61:$CP$301,$A13+1,($D$5-1)*15+14),0)</f>
        <v>152390.413476819</v>
      </c>
    </row>
    <row r="14" customFormat="false" ht="12" hidden="false" customHeight="true" outlineLevel="0" collapsed="false">
      <c r="A14" s="55" t="n">
        <v>5</v>
      </c>
      <c r="B14" s="99" t="n">
        <f aca="false">EDATE(DATA_INICIO,$A14)</f>
        <v>46410</v>
      </c>
      <c r="C14" s="100" t="n">
        <f aca="false">IFERROR(INDEX(Motor!$F$61:$CP$301,$A14+1,($D$5-1)*15+1),0)</f>
        <v>155671.974794948</v>
      </c>
      <c r="D14" s="100" t="n">
        <f aca="false">IFERROR(INDEX(Motor!$F$61:$CP$301,$A14+1,($D$5-1)*15+4),0)</f>
        <v>1477.13913454689</v>
      </c>
      <c r="E14" s="100" t="n">
        <f aca="false">IFERROR(INDEX(Motor!$F$61:$CP$301,$A14+1,($D$5-1)*15+2),0)</f>
        <v>0</v>
      </c>
      <c r="F14" s="100" t="n">
        <f aca="false">IFERROR(INDEX(Motor!$F$61:$CP$301,$A14+1,($D$5-1)*15+3)+INDEX(Motor!$F$61:$CP$301,$A14+1,($D$5-1)*15+5)+INDEX(Motor!$F$61:$CP$301,$A14+1,($D$5-1)*15+6),0)</f>
        <v>25.9453291324913</v>
      </c>
      <c r="G14" s="100" t="n">
        <f aca="false">IFERROR(INDEX(Motor!$F$61:$CP$301,$A14+1,($D$5-1)*15+7),0)</f>
        <v>0</v>
      </c>
      <c r="H14" s="101" t="n">
        <f aca="false">IFERROR(INDEX(Motor!$F$61:$CP$301,$A14+1,($D$5-1)*15+8),0)</f>
        <v>157123.168600362</v>
      </c>
      <c r="I14" s="100" t="n">
        <f aca="false">IFERROR(INDEX(Motor!$F$61:$CP$301,$A14+1,($D$5-1)*15+12),0)</f>
        <v>1602.71293508143</v>
      </c>
      <c r="J14" s="102" t="n">
        <f aca="false">IFERROR(INDEX(Motor!$F$61:$CP$301,$A14+1,($D$5-1)*15+13),0)</f>
        <v>155520.455665281</v>
      </c>
      <c r="K14" s="100" t="n">
        <f aca="false">IFERROR(INDEX(Motor!$F$61:$CP$301,$A14+1,($D$5-1)*15+14),0)</f>
        <v>152999.599974073</v>
      </c>
    </row>
    <row r="15" customFormat="false" ht="12" hidden="false" customHeight="true" outlineLevel="0" collapsed="false">
      <c r="A15" s="55" t="n">
        <v>6</v>
      </c>
      <c r="B15" s="99" t="n">
        <f aca="false">EDATE(DATA_INICIO,$A15)</f>
        <v>46441</v>
      </c>
      <c r="C15" s="100" t="n">
        <f aca="false">IFERROR(INDEX(Motor!$F$61:$CP$301,$A15+1,($D$5-1)*15+1),0)</f>
        <v>157123.168600362</v>
      </c>
      <c r="D15" s="100" t="n">
        <f aca="false">IFERROR(INDEX(Motor!$F$61:$CP$301,$A15+1,($D$5-1)*15+4),0)</f>
        <v>1490.90921207441</v>
      </c>
      <c r="E15" s="100" t="n">
        <f aca="false">IFERROR(INDEX(Motor!$F$61:$CP$301,$A15+1,($D$5-1)*15+2),0)</f>
        <v>0</v>
      </c>
      <c r="F15" s="100" t="n">
        <f aca="false">IFERROR(INDEX(Motor!$F$61:$CP$301,$A15+1,($D$5-1)*15+3)+INDEX(Motor!$F$61:$CP$301,$A15+1,($D$5-1)*15+5)+INDEX(Motor!$F$61:$CP$301,$A15+1,($D$5-1)*15+6),0)</f>
        <v>26.187194766727</v>
      </c>
      <c r="G15" s="100" t="n">
        <f aca="false">IFERROR(INDEX(Motor!$F$61:$CP$301,$A15+1,($D$5-1)*15+7),0)</f>
        <v>0</v>
      </c>
      <c r="H15" s="101" t="n">
        <f aca="false">IFERROR(INDEX(Motor!$F$61:$CP$301,$A15+1,($D$5-1)*15+8),0)</f>
        <v>158587.89061767</v>
      </c>
      <c r="I15" s="100" t="n">
        <f aca="false">IFERROR(INDEX(Motor!$F$61:$CP$301,$A15+1,($D$5-1)*15+12),0)</f>
        <v>1932.27538897566</v>
      </c>
      <c r="J15" s="102" t="n">
        <f aca="false">IFERROR(INDEX(Motor!$F$61:$CP$301,$A15+1,($D$5-1)*15+13),0)</f>
        <v>156655.615228694</v>
      </c>
      <c r="K15" s="100" t="n">
        <f aca="false">IFERROR(INDEX(Motor!$F$61:$CP$301,$A15+1,($D$5-1)*15+14),0)</f>
        <v>153613.46903173</v>
      </c>
    </row>
    <row r="16" customFormat="false" ht="12" hidden="false" customHeight="true" outlineLevel="0" collapsed="false">
      <c r="A16" s="55" t="n">
        <v>7</v>
      </c>
      <c r="B16" s="99" t="n">
        <f aca="false">EDATE(DATA_INICIO,$A16)</f>
        <v>46469</v>
      </c>
      <c r="C16" s="100" t="n">
        <f aca="false">IFERROR(INDEX(Motor!$F$61:$CP$301,$A16+1,($D$5-1)*15+1),0)</f>
        <v>158587.89061767</v>
      </c>
      <c r="D16" s="100" t="n">
        <f aca="false">IFERROR(INDEX(Motor!$F$61:$CP$301,$A16+1,($D$5-1)*15+4),0)</f>
        <v>1504.80765600337</v>
      </c>
      <c r="E16" s="100" t="n">
        <f aca="false">IFERROR(INDEX(Motor!$F$61:$CP$301,$A16+1,($D$5-1)*15+2),0)</f>
        <v>0</v>
      </c>
      <c r="F16" s="100" t="n">
        <f aca="false">IFERROR(INDEX(Motor!$F$61:$CP$301,$A16+1,($D$5-1)*15+3)+INDEX(Motor!$F$61:$CP$301,$A16+1,($D$5-1)*15+5)+INDEX(Motor!$F$61:$CP$301,$A16+1,($D$5-1)*15+6),0)</f>
        <v>26.4313151029449</v>
      </c>
      <c r="G16" s="100" t="n">
        <f aca="false">IFERROR(INDEX(Motor!$F$61:$CP$301,$A16+1,($D$5-1)*15+7),0)</f>
        <v>0</v>
      </c>
      <c r="H16" s="101" t="n">
        <f aca="false">IFERROR(INDEX(Motor!$F$61:$CP$301,$A16+1,($D$5-1)*15+8),0)</f>
        <v>160066.26695857</v>
      </c>
      <c r="I16" s="100" t="n">
        <f aca="false">IFERROR(INDEX(Motor!$F$61:$CP$301,$A16+1,($D$5-1)*15+12),0)</f>
        <v>2013.253391714</v>
      </c>
      <c r="J16" s="102" t="n">
        <f aca="false">IFERROR(INDEX(Motor!$F$61:$CP$301,$A16+1,($D$5-1)*15+13),0)</f>
        <v>158053.013566856</v>
      </c>
      <c r="K16" s="100" t="n">
        <f aca="false">IFERROR(INDEX(Motor!$F$61:$CP$301,$A16+1,($D$5-1)*15+14),0)</f>
        <v>154478.010031459</v>
      </c>
    </row>
    <row r="17" customFormat="false" ht="12" hidden="false" customHeight="true" outlineLevel="0" collapsed="false">
      <c r="A17" s="55" t="n">
        <v>8</v>
      </c>
      <c r="B17" s="99" t="n">
        <f aca="false">EDATE(DATA_INICIO,$A17)</f>
        <v>46500</v>
      </c>
      <c r="C17" s="100" t="n">
        <f aca="false">IFERROR(INDEX(Motor!$F$61:$CP$301,$A17+1,($D$5-1)*15+1),0)</f>
        <v>160066.26695857</v>
      </c>
      <c r="D17" s="100" t="n">
        <f aca="false">IFERROR(INDEX(Motor!$F$61:$CP$301,$A17+1,($D$5-1)*15+4),0)</f>
        <v>1518.83566298156</v>
      </c>
      <c r="E17" s="100" t="n">
        <f aca="false">IFERROR(INDEX(Motor!$F$61:$CP$301,$A17+1,($D$5-1)*15+2),0)</f>
        <v>0</v>
      </c>
      <c r="F17" s="100" t="n">
        <f aca="false">IFERROR(INDEX(Motor!$F$61:$CP$301,$A17+1,($D$5-1)*15+3)+INDEX(Motor!$F$61:$CP$301,$A17+1,($D$5-1)*15+5)+INDEX(Motor!$F$61:$CP$301,$A17+1,($D$5-1)*15+6),0)</f>
        <v>26.6777111597617</v>
      </c>
      <c r="G17" s="100" t="n">
        <f aca="false">IFERROR(INDEX(Motor!$F$61:$CP$301,$A17+1,($D$5-1)*15+7),0)</f>
        <v>0</v>
      </c>
      <c r="H17" s="101" t="n">
        <f aca="false">IFERROR(INDEX(Motor!$F$61:$CP$301,$A17+1,($D$5-1)*15+8),0)</f>
        <v>161558.424910392</v>
      </c>
      <c r="I17" s="100" t="n">
        <f aca="false">IFERROR(INDEX(Motor!$F$61:$CP$301,$A17+1,($D$5-1)*15+12),0)</f>
        <v>2311.68498207837</v>
      </c>
      <c r="J17" s="102" t="n">
        <f aca="false">IFERROR(INDEX(Motor!$F$61:$CP$301,$A17+1,($D$5-1)*15+13),0)</f>
        <v>159246.739928313</v>
      </c>
      <c r="K17" s="100" t="n">
        <f aca="false">IFERROR(INDEX(Motor!$F$61:$CP$301,$A17+1,($D$5-1)*15+14),0)</f>
        <v>155136.857775074</v>
      </c>
    </row>
    <row r="18" customFormat="false" ht="12" hidden="false" customHeight="true" outlineLevel="0" collapsed="false">
      <c r="A18" s="55" t="n">
        <v>9</v>
      </c>
      <c r="B18" s="99" t="n">
        <f aca="false">EDATE(DATA_INICIO,$A18)</f>
        <v>46530</v>
      </c>
      <c r="C18" s="100" t="n">
        <f aca="false">IFERROR(INDEX(Motor!$F$61:$CP$301,$A18+1,($D$5-1)*15+1),0)</f>
        <v>161558.424910392</v>
      </c>
      <c r="D18" s="100" t="n">
        <f aca="false">IFERROR(INDEX(Motor!$F$61:$CP$301,$A18+1,($D$5-1)*15+4),0)</f>
        <v>1532.99444081209</v>
      </c>
      <c r="E18" s="100" t="n">
        <f aca="false">IFERROR(INDEX(Motor!$F$61:$CP$301,$A18+1,($D$5-1)*15+2),0)</f>
        <v>0</v>
      </c>
      <c r="F18" s="100" t="n">
        <f aca="false">IFERROR(INDEX(Motor!$F$61:$CP$301,$A18+1,($D$5-1)*15+3)+INDEX(Motor!$F$61:$CP$301,$A18+1,($D$5-1)*15+5)+INDEX(Motor!$F$61:$CP$301,$A18+1,($D$5-1)*15+6),0)</f>
        <v>26.926404151732</v>
      </c>
      <c r="G18" s="100" t="n">
        <f aca="false">IFERROR(INDEX(Motor!$F$61:$CP$301,$A18+1,($D$5-1)*15+7),0)</f>
        <v>0</v>
      </c>
      <c r="H18" s="101" t="n">
        <f aca="false">IFERROR(INDEX(Motor!$F$61:$CP$301,$A18+1,($D$5-1)*15+8),0)</f>
        <v>163064.492947052</v>
      </c>
      <c r="I18" s="100" t="n">
        <f aca="false">IFERROR(INDEX(Motor!$F$61:$CP$301,$A18+1,($D$5-1)*15+12),0)</f>
        <v>2612.89858941044</v>
      </c>
      <c r="J18" s="102" t="n">
        <f aca="false">IFERROR(INDEX(Motor!$F$61:$CP$301,$A18+1,($D$5-1)*15+13),0)</f>
        <v>160451.594357642</v>
      </c>
      <c r="K18" s="100" t="n">
        <f aca="false">IFERROR(INDEX(Motor!$F$61:$CP$301,$A18+1,($D$5-1)*15+14),0)</f>
        <v>155800.566488729</v>
      </c>
    </row>
    <row r="19" customFormat="false" ht="12" hidden="false" customHeight="true" outlineLevel="0" collapsed="false">
      <c r="A19" s="55" t="n">
        <v>10</v>
      </c>
      <c r="B19" s="99" t="n">
        <f aca="false">EDATE(DATA_INICIO,$A19)</f>
        <v>46561</v>
      </c>
      <c r="C19" s="100" t="n">
        <f aca="false">IFERROR(INDEX(Motor!$F$61:$CP$301,$A19+1,($D$5-1)*15+1),0)</f>
        <v>163064.492947052</v>
      </c>
      <c r="D19" s="100" t="n">
        <f aca="false">IFERROR(INDEX(Motor!$F$61:$CP$301,$A19+1,($D$5-1)*15+4),0)</f>
        <v>1547.28520855736</v>
      </c>
      <c r="E19" s="100" t="n">
        <f aca="false">IFERROR(INDEX(Motor!$F$61:$CP$301,$A19+1,($D$5-1)*15+2),0)</f>
        <v>0</v>
      </c>
      <c r="F19" s="100" t="n">
        <f aca="false">IFERROR(INDEX(Motor!$F$61:$CP$301,$A19+1,($D$5-1)*15+3)+INDEX(Motor!$F$61:$CP$301,$A19+1,($D$5-1)*15+5)+INDEX(Motor!$F$61:$CP$301,$A19+1,($D$5-1)*15+6),0)</f>
        <v>27.1774154911754</v>
      </c>
      <c r="G19" s="100" t="n">
        <f aca="false">IFERROR(INDEX(Motor!$F$61:$CP$301,$A19+1,($D$5-1)*15+7),0)</f>
        <v>0</v>
      </c>
      <c r="H19" s="101" t="n">
        <f aca="false">IFERROR(INDEX(Motor!$F$61:$CP$301,$A19+1,($D$5-1)*15+8),0)</f>
        <v>164584.600740118</v>
      </c>
      <c r="I19" s="100" t="n">
        <f aca="false">IFERROR(INDEX(Motor!$F$61:$CP$301,$A19+1,($D$5-1)*15+12),0)</f>
        <v>2916.92014802367</v>
      </c>
      <c r="J19" s="102" t="n">
        <f aca="false">IFERROR(INDEX(Motor!$F$61:$CP$301,$A19+1,($D$5-1)*15+13),0)</f>
        <v>161667.680592095</v>
      </c>
      <c r="K19" s="100" t="n">
        <f aca="false">IFERROR(INDEX(Motor!$F$61:$CP$301,$A19+1,($D$5-1)*15+14),0)</f>
        <v>156469.162576629</v>
      </c>
    </row>
    <row r="20" customFormat="false" ht="12" hidden="false" customHeight="true" outlineLevel="0" collapsed="false">
      <c r="A20" s="55" t="n">
        <v>11</v>
      </c>
      <c r="B20" s="99" t="n">
        <f aca="false">EDATE(DATA_INICIO,$A20)</f>
        <v>46591</v>
      </c>
      <c r="C20" s="100" t="n">
        <f aca="false">IFERROR(INDEX(Motor!$F$61:$CP$301,$A20+1,($D$5-1)*15+1),0)</f>
        <v>164584.600740118</v>
      </c>
      <c r="D20" s="100" t="n">
        <f aca="false">IFERROR(INDEX(Motor!$F$61:$CP$301,$A20+1,($D$5-1)*15+4),0)</f>
        <v>1561.70919664401</v>
      </c>
      <c r="E20" s="100" t="n">
        <f aca="false">IFERROR(INDEX(Motor!$F$61:$CP$301,$A20+1,($D$5-1)*15+2),0)</f>
        <v>0</v>
      </c>
      <c r="F20" s="100" t="n">
        <f aca="false">IFERROR(INDEX(Motor!$F$61:$CP$301,$A20+1,($D$5-1)*15+3)+INDEX(Motor!$F$61:$CP$301,$A20+1,($D$5-1)*15+5)+INDEX(Motor!$F$61:$CP$301,$A20+1,($D$5-1)*15+6),0)</f>
        <v>27.4307667900197</v>
      </c>
      <c r="G20" s="100" t="n">
        <f aca="false">IFERROR(INDEX(Motor!$F$61:$CP$301,$A20+1,($D$5-1)*15+7),0)</f>
        <v>0</v>
      </c>
      <c r="H20" s="101" t="n">
        <f aca="false">IFERROR(INDEX(Motor!$F$61:$CP$301,$A20+1,($D$5-1)*15+8),0)</f>
        <v>166118.879169972</v>
      </c>
      <c r="I20" s="100" t="n">
        <f aca="false">IFERROR(INDEX(Motor!$F$61:$CP$301,$A20+1,($D$5-1)*15+12),0)</f>
        <v>3223.77583399447</v>
      </c>
      <c r="J20" s="102" t="n">
        <f aca="false">IFERROR(INDEX(Motor!$F$61:$CP$301,$A20+1,($D$5-1)*15+13),0)</f>
        <v>162895.103335978</v>
      </c>
      <c r="K20" s="100" t="n">
        <f aca="false">IFERROR(INDEX(Motor!$F$61:$CP$301,$A20+1,($D$5-1)*15+14),0)</f>
        <v>157142.672611629</v>
      </c>
    </row>
    <row r="21" customFormat="false" ht="12" hidden="false" customHeight="true" outlineLevel="0" collapsed="false">
      <c r="A21" s="55" t="n">
        <v>12</v>
      </c>
      <c r="B21" s="99" t="n">
        <f aca="false">EDATE(DATA_INICIO,$A21)</f>
        <v>46622</v>
      </c>
      <c r="C21" s="100" t="n">
        <f aca="false">IFERROR(INDEX(Motor!$F$61:$CP$301,$A21+1,($D$5-1)*15+1),0)</f>
        <v>166118.879169972</v>
      </c>
      <c r="D21" s="100" t="n">
        <f aca="false">IFERROR(INDEX(Motor!$F$61:$CP$301,$A21+1,($D$5-1)*15+4),0)</f>
        <v>1576.26764696889</v>
      </c>
      <c r="E21" s="100" t="n">
        <f aca="false">IFERROR(INDEX(Motor!$F$61:$CP$301,$A21+1,($D$5-1)*15+2),0)</f>
        <v>0</v>
      </c>
      <c r="F21" s="100" t="n">
        <f aca="false">IFERROR(INDEX(Motor!$F$61:$CP$301,$A21+1,($D$5-1)*15+3)+INDEX(Motor!$F$61:$CP$301,$A21+1,($D$5-1)*15+5)+INDEX(Motor!$F$61:$CP$301,$A21+1,($D$5-1)*15+6),0)</f>
        <v>27.6864798616621</v>
      </c>
      <c r="G21" s="100" t="n">
        <f aca="false">IFERROR(INDEX(Motor!$F$61:$CP$301,$A21+1,($D$5-1)*15+7),0)</f>
        <v>0</v>
      </c>
      <c r="H21" s="101" t="n">
        <f aca="false">IFERROR(INDEX(Motor!$F$61:$CP$301,$A21+1,($D$5-1)*15+8),0)</f>
        <v>167667.46033708</v>
      </c>
      <c r="I21" s="100" t="n">
        <f aca="false">IFERROR(INDEX(Motor!$F$61:$CP$301,$A21+1,($D$5-1)*15+12),0)</f>
        <v>3533.49206741591</v>
      </c>
      <c r="J21" s="102" t="n">
        <f aca="false">IFERROR(INDEX(Motor!$F$61:$CP$301,$A21+1,($D$5-1)*15+13),0)</f>
        <v>164133.968269664</v>
      </c>
      <c r="K21" s="100" t="n">
        <f aca="false">IFERROR(INDEX(Motor!$F$61:$CP$301,$A21+1,($D$5-1)*15+14),0)</f>
        <v>157821.123336215</v>
      </c>
    </row>
    <row r="22" customFormat="false" ht="12" hidden="false" customHeight="true" outlineLevel="0" collapsed="false">
      <c r="A22" s="55" t="n">
        <v>13</v>
      </c>
      <c r="B22" s="99" t="n">
        <f aca="false">EDATE(DATA_INICIO,$A22)</f>
        <v>46653</v>
      </c>
      <c r="C22" s="100" t="n">
        <f aca="false">IFERROR(INDEX(Motor!$F$61:$CP$301,$A22+1,($D$5-1)*15+1),0)</f>
        <v>167667.46033708</v>
      </c>
      <c r="D22" s="100" t="n">
        <f aca="false">IFERROR(INDEX(Motor!$F$61:$CP$301,$A22+1,($D$5-1)*15+4),0)</f>
        <v>1590.96181300596</v>
      </c>
      <c r="E22" s="100" t="n">
        <f aca="false">IFERROR(INDEX(Motor!$F$61:$CP$301,$A22+1,($D$5-1)*15+2),0)</f>
        <v>0</v>
      </c>
      <c r="F22" s="100" t="n">
        <f aca="false">IFERROR(INDEX(Motor!$F$61:$CP$301,$A22+1,($D$5-1)*15+3)+INDEX(Motor!$F$61:$CP$301,$A22+1,($D$5-1)*15+5)+INDEX(Motor!$F$61:$CP$301,$A22+1,($D$5-1)*15+6),0)</f>
        <v>27.9445767228466</v>
      </c>
      <c r="G22" s="100" t="n">
        <f aca="false">IFERROR(INDEX(Motor!$F$61:$CP$301,$A22+1,($D$5-1)*15+7),0)</f>
        <v>0</v>
      </c>
      <c r="H22" s="101" t="n">
        <f aca="false">IFERROR(INDEX(Motor!$F$61:$CP$301,$A22+1,($D$5-1)*15+8),0)</f>
        <v>169230.477573363</v>
      </c>
      <c r="I22" s="100" t="n">
        <f aca="false">IFERROR(INDEX(Motor!$F$61:$CP$301,$A22+1,($D$5-1)*15+12),0)</f>
        <v>3365.33357533847</v>
      </c>
      <c r="J22" s="102" t="n">
        <f aca="false">IFERROR(INDEX(Motor!$F$61:$CP$301,$A22+1,($D$5-1)*15+13),0)</f>
        <v>165865.143998024</v>
      </c>
      <c r="K22" s="100" t="n">
        <f aca="false">IFERROR(INDEX(Motor!$F$61:$CP$301,$A22+1,($D$5-1)*15+14),0)</f>
        <v>158965.304341902</v>
      </c>
    </row>
    <row r="23" customFormat="false" ht="12" hidden="false" customHeight="true" outlineLevel="0" collapsed="false">
      <c r="A23" s="55" t="n">
        <v>14</v>
      </c>
      <c r="B23" s="99" t="n">
        <f aca="false">EDATE(DATA_INICIO,$A23)</f>
        <v>46683</v>
      </c>
      <c r="C23" s="100" t="n">
        <f aca="false">IFERROR(INDEX(Motor!$F$61:$CP$301,$A23+1,($D$5-1)*15+1),0)</f>
        <v>169230.477573363</v>
      </c>
      <c r="D23" s="100" t="n">
        <f aca="false">IFERROR(INDEX(Motor!$F$61:$CP$301,$A23+1,($D$5-1)*15+4),0)</f>
        <v>1605.79295991424</v>
      </c>
      <c r="E23" s="100" t="n">
        <f aca="false">IFERROR(INDEX(Motor!$F$61:$CP$301,$A23+1,($D$5-1)*15+2),0)</f>
        <v>0</v>
      </c>
      <c r="F23" s="100" t="n">
        <f aca="false">IFERROR(INDEX(Motor!$F$61:$CP$301,$A23+1,($D$5-1)*15+3)+INDEX(Motor!$F$61:$CP$301,$A23+1,($D$5-1)*15+5)+INDEX(Motor!$F$61:$CP$301,$A23+1,($D$5-1)*15+6),0)</f>
        <v>28.2050795955604</v>
      </c>
      <c r="G23" s="100" t="n">
        <f aca="false">IFERROR(INDEX(Motor!$F$61:$CP$301,$A23+1,($D$5-1)*15+7),0)</f>
        <v>0</v>
      </c>
      <c r="H23" s="101" t="n">
        <f aca="false">IFERROR(INDEX(Motor!$F$61:$CP$301,$A23+1,($D$5-1)*15+8),0)</f>
        <v>170808.065453681</v>
      </c>
      <c r="I23" s="100" t="n">
        <f aca="false">IFERROR(INDEX(Motor!$F$61:$CP$301,$A23+1,($D$5-1)*15+12),0)</f>
        <v>3641.41145439424</v>
      </c>
      <c r="J23" s="102" t="n">
        <f aca="false">IFERROR(INDEX(Motor!$F$61:$CP$301,$A23+1,($D$5-1)*15+13),0)</f>
        <v>167166.653999287</v>
      </c>
      <c r="K23" s="100" t="n">
        <f aca="false">IFERROR(INDEX(Motor!$F$61:$CP$301,$A23+1,($D$5-1)*15+14),0)</f>
        <v>159689.889562479</v>
      </c>
    </row>
    <row r="24" customFormat="false" ht="12" hidden="false" customHeight="true" outlineLevel="0" collapsed="false">
      <c r="A24" s="55" t="n">
        <v>15</v>
      </c>
      <c r="B24" s="99" t="n">
        <f aca="false">EDATE(DATA_INICIO,$A24)</f>
        <v>46714</v>
      </c>
      <c r="C24" s="100" t="n">
        <f aca="false">IFERROR(INDEX(Motor!$F$61:$CP$301,$A24+1,($D$5-1)*15+1),0)</f>
        <v>170808.065453681</v>
      </c>
      <c r="D24" s="100" t="n">
        <f aca="false">IFERROR(INDEX(Motor!$F$61:$CP$301,$A24+1,($D$5-1)*15+4),0)</f>
        <v>1620.76236464669</v>
      </c>
      <c r="E24" s="100" t="n">
        <f aca="false">IFERROR(INDEX(Motor!$F$61:$CP$301,$A24+1,($D$5-1)*15+2),0)</f>
        <v>0</v>
      </c>
      <c r="F24" s="100" t="n">
        <f aca="false">IFERROR(INDEX(Motor!$F$61:$CP$301,$A24+1,($D$5-1)*15+3)+INDEX(Motor!$F$61:$CP$301,$A24+1,($D$5-1)*15+5)+INDEX(Motor!$F$61:$CP$301,$A24+1,($D$5-1)*15+6),0)</f>
        <v>28.4680109089469</v>
      </c>
      <c r="G24" s="100" t="n">
        <f aca="false">IFERROR(INDEX(Motor!$F$61:$CP$301,$A24+1,($D$5-1)*15+7),0)</f>
        <v>0</v>
      </c>
      <c r="H24" s="101" t="n">
        <f aca="false">IFERROR(INDEX(Motor!$F$61:$CP$301,$A24+1,($D$5-1)*15+8),0)</f>
        <v>172400.359807419</v>
      </c>
      <c r="I24" s="100" t="n">
        <f aca="false">IFERROR(INDEX(Motor!$F$61:$CP$301,$A24+1,($D$5-1)*15+12),0)</f>
        <v>3920.06296629834</v>
      </c>
      <c r="J24" s="102" t="n">
        <f aca="false">IFERROR(INDEX(Motor!$F$61:$CP$301,$A24+1,($D$5-1)*15+13),0)</f>
        <v>168480.296841121</v>
      </c>
      <c r="K24" s="100" t="n">
        <f aca="false">IFERROR(INDEX(Motor!$F$61:$CP$301,$A24+1,($D$5-1)*15+14),0)</f>
        <v>160419.605829491</v>
      </c>
    </row>
    <row r="25" customFormat="false" ht="12" hidden="false" customHeight="true" outlineLevel="0" collapsed="false">
      <c r="A25" s="55" t="n">
        <v>16</v>
      </c>
      <c r="B25" s="99" t="n">
        <f aca="false">EDATE(DATA_INICIO,$A25)</f>
        <v>46744</v>
      </c>
      <c r="C25" s="100" t="n">
        <f aca="false">IFERROR(INDEX(Motor!$F$61:$CP$301,$A25+1,($D$5-1)*15+1),0)</f>
        <v>172400.359807419</v>
      </c>
      <c r="D25" s="100" t="n">
        <f aca="false">IFERROR(INDEX(Motor!$F$61:$CP$301,$A25+1,($D$5-1)*15+4),0)</f>
        <v>1635.87131606021</v>
      </c>
      <c r="E25" s="100" t="n">
        <f aca="false">IFERROR(INDEX(Motor!$F$61:$CP$301,$A25+1,($D$5-1)*15+2),0)</f>
        <v>0</v>
      </c>
      <c r="F25" s="100" t="n">
        <f aca="false">IFERROR(INDEX(Motor!$F$61:$CP$301,$A25+1,($D$5-1)*15+3)+INDEX(Motor!$F$61:$CP$301,$A25+1,($D$5-1)*15+5)+INDEX(Motor!$F$61:$CP$301,$A25+1,($D$5-1)*15+6),0)</f>
        <v>28.7333933012365</v>
      </c>
      <c r="G25" s="100" t="n">
        <f aca="false">IFERROR(INDEX(Motor!$F$61:$CP$301,$A25+1,($D$5-1)*15+7),0)</f>
        <v>0</v>
      </c>
      <c r="H25" s="101" t="n">
        <f aca="false">IFERROR(INDEX(Motor!$F$61:$CP$301,$A25+1,($D$5-1)*15+8),0)</f>
        <v>174007.497730178</v>
      </c>
      <c r="I25" s="100" t="n">
        <f aca="false">IFERROR(INDEX(Motor!$F$61:$CP$301,$A25+1,($D$5-1)*15+12),0)</f>
        <v>4201.31210278117</v>
      </c>
      <c r="J25" s="102" t="n">
        <f aca="false">IFERROR(INDEX(Motor!$F$61:$CP$301,$A25+1,($D$5-1)*15+13),0)</f>
        <v>169806.185627397</v>
      </c>
      <c r="K25" s="100" t="n">
        <f aca="false">IFERROR(INDEX(Motor!$F$61:$CP$301,$A25+1,($D$5-1)*15+14),0)</f>
        <v>161154.481587244</v>
      </c>
    </row>
    <row r="26" customFormat="false" ht="12" hidden="false" customHeight="true" outlineLevel="0" collapsed="false">
      <c r="A26" s="55" t="n">
        <v>17</v>
      </c>
      <c r="B26" s="99" t="n">
        <f aca="false">EDATE(DATA_INICIO,$A26)</f>
        <v>46775</v>
      </c>
      <c r="C26" s="100" t="n">
        <f aca="false">IFERROR(INDEX(Motor!$F$61:$CP$301,$A26+1,($D$5-1)*15+1),0)</f>
        <v>174007.497730178</v>
      </c>
      <c r="D26" s="100" t="n">
        <f aca="false">IFERROR(INDEX(Motor!$F$61:$CP$301,$A26+1,($D$5-1)*15+4),0)</f>
        <v>1651.12111502659</v>
      </c>
      <c r="E26" s="100" t="n">
        <f aca="false">IFERROR(INDEX(Motor!$F$61:$CP$301,$A26+1,($D$5-1)*15+2),0)</f>
        <v>0</v>
      </c>
      <c r="F26" s="100" t="n">
        <f aca="false">IFERROR(INDEX(Motor!$F$61:$CP$301,$A26+1,($D$5-1)*15+3)+INDEX(Motor!$F$61:$CP$301,$A26+1,($D$5-1)*15+5)+INDEX(Motor!$F$61:$CP$301,$A26+1,($D$5-1)*15+6),0)</f>
        <v>29.0012496216963</v>
      </c>
      <c r="G26" s="100" t="n">
        <f aca="false">IFERROR(INDEX(Motor!$F$61:$CP$301,$A26+1,($D$5-1)*15+7),0)</f>
        <v>0</v>
      </c>
      <c r="H26" s="101" t="n">
        <f aca="false">IFERROR(INDEX(Motor!$F$61:$CP$301,$A26+1,($D$5-1)*15+8),0)</f>
        <v>175629.617595583</v>
      </c>
      <c r="I26" s="100" t="n">
        <f aca="false">IFERROR(INDEX(Motor!$F$61:$CP$301,$A26+1,($D$5-1)*15+12),0)</f>
        <v>4485.18307922702</v>
      </c>
      <c r="J26" s="102" t="n">
        <f aca="false">IFERROR(INDEX(Motor!$F$61:$CP$301,$A26+1,($D$5-1)*15+13),0)</f>
        <v>171144.434516356</v>
      </c>
      <c r="K26" s="100" t="n">
        <f aca="false">IFERROR(INDEX(Motor!$F$61:$CP$301,$A26+1,($D$5-1)*15+14),0)</f>
        <v>161894.545459643</v>
      </c>
    </row>
    <row r="27" customFormat="false" ht="12" hidden="false" customHeight="true" outlineLevel="0" collapsed="false">
      <c r="A27" s="55" t="n">
        <v>18</v>
      </c>
      <c r="B27" s="99" t="n">
        <f aca="false">EDATE(DATA_INICIO,$A27)</f>
        <v>46806</v>
      </c>
      <c r="C27" s="100" t="n">
        <f aca="false">IFERROR(INDEX(Motor!$F$61:$CP$301,$A27+1,($D$5-1)*15+1),0)</f>
        <v>175629.617595583</v>
      </c>
      <c r="D27" s="100" t="n">
        <f aca="false">IFERROR(INDEX(Motor!$F$61:$CP$301,$A27+1,($D$5-1)*15+4),0)</f>
        <v>1666.51307454449</v>
      </c>
      <c r="E27" s="100" t="n">
        <f aca="false">IFERROR(INDEX(Motor!$F$61:$CP$301,$A27+1,($D$5-1)*15+2),0)</f>
        <v>0</v>
      </c>
      <c r="F27" s="100" t="n">
        <f aca="false">IFERROR(INDEX(Motor!$F$61:$CP$301,$A27+1,($D$5-1)*15+3)+INDEX(Motor!$F$61:$CP$301,$A27+1,($D$5-1)*15+5)+INDEX(Motor!$F$61:$CP$301,$A27+1,($D$5-1)*15+6),0)</f>
        <v>29.2716029325972</v>
      </c>
      <c r="G27" s="100" t="n">
        <f aca="false">IFERROR(INDEX(Motor!$F$61:$CP$301,$A27+1,($D$5-1)*15+7),0)</f>
        <v>0</v>
      </c>
      <c r="H27" s="101" t="n">
        <f aca="false">IFERROR(INDEX(Motor!$F$61:$CP$301,$A27+1,($D$5-1)*15+8),0)</f>
        <v>177266.859067195</v>
      </c>
      <c r="I27" s="100" t="n">
        <f aca="false">IFERROR(INDEX(Motor!$F$61:$CP$301,$A27+1,($D$5-1)*15+12),0)</f>
        <v>4771.7003367591</v>
      </c>
      <c r="J27" s="102" t="n">
        <f aca="false">IFERROR(INDEX(Motor!$F$61:$CP$301,$A27+1,($D$5-1)*15+13),0)</f>
        <v>172495.158730436</v>
      </c>
      <c r="K27" s="100" t="n">
        <f aca="false">IFERROR(INDEX(Motor!$F$61:$CP$301,$A27+1,($D$5-1)*15+14),0)</f>
        <v>162639.826251253</v>
      </c>
    </row>
    <row r="28" customFormat="false" ht="12" hidden="false" customHeight="true" outlineLevel="0" collapsed="false">
      <c r="A28" s="55" t="n">
        <v>19</v>
      </c>
      <c r="B28" s="99" t="n">
        <f aca="false">EDATE(DATA_INICIO,$A28)</f>
        <v>46835</v>
      </c>
      <c r="C28" s="100" t="n">
        <f aca="false">IFERROR(INDEX(Motor!$F$61:$CP$301,$A28+1,($D$5-1)*15+1),0)</f>
        <v>177266.859067195</v>
      </c>
      <c r="D28" s="100" t="n">
        <f aca="false">IFERROR(INDEX(Motor!$F$61:$CP$301,$A28+1,($D$5-1)*15+4),0)</f>
        <v>1682.04851985253</v>
      </c>
      <c r="E28" s="100" t="n">
        <f aca="false">IFERROR(INDEX(Motor!$F$61:$CP$301,$A28+1,($D$5-1)*15+2),0)</f>
        <v>0</v>
      </c>
      <c r="F28" s="100" t="n">
        <f aca="false">IFERROR(INDEX(Motor!$F$61:$CP$301,$A28+1,($D$5-1)*15+3)+INDEX(Motor!$F$61:$CP$301,$A28+1,($D$5-1)*15+5)+INDEX(Motor!$F$61:$CP$301,$A28+1,($D$5-1)*15+6),0)</f>
        <v>29.5444765111991</v>
      </c>
      <c r="G28" s="100" t="n">
        <f aca="false">IFERROR(INDEX(Motor!$F$61:$CP$301,$A28+1,($D$5-1)*15+7),0)</f>
        <v>0</v>
      </c>
      <c r="H28" s="101" t="n">
        <f aca="false">IFERROR(INDEX(Motor!$F$61:$CP$301,$A28+1,($D$5-1)*15+8),0)</f>
        <v>178919.363110536</v>
      </c>
      <c r="I28" s="100" t="n">
        <f aca="false">IFERROR(INDEX(Motor!$F$61:$CP$301,$A28+1,($D$5-1)*15+12),0)</f>
        <v>5060.88854434383</v>
      </c>
      <c r="J28" s="102" t="n">
        <f aca="false">IFERROR(INDEX(Motor!$F$61:$CP$301,$A28+1,($D$5-1)*15+13),0)</f>
        <v>173858.474566192</v>
      </c>
      <c r="K28" s="100" t="n">
        <f aca="false">IFERROR(INDEX(Motor!$F$61:$CP$301,$A28+1,($D$5-1)*15+14),0)</f>
        <v>163390.352948362</v>
      </c>
    </row>
    <row r="29" customFormat="false" ht="12" hidden="false" customHeight="true" outlineLevel="0" collapsed="false">
      <c r="A29" s="55" t="n">
        <v>20</v>
      </c>
      <c r="B29" s="99" t="n">
        <f aca="false">EDATE(DATA_INICIO,$A29)</f>
        <v>46866</v>
      </c>
      <c r="C29" s="100" t="n">
        <f aca="false">IFERROR(INDEX(Motor!$F$61:$CP$301,$A29+1,($D$5-1)*15+1),0)</f>
        <v>178919.363110536</v>
      </c>
      <c r="D29" s="100" t="n">
        <f aca="false">IFERROR(INDEX(Motor!$F$61:$CP$301,$A29+1,($D$5-1)*15+4),0)</f>
        <v>1697.72878854335</v>
      </c>
      <c r="E29" s="100" t="n">
        <f aca="false">IFERROR(INDEX(Motor!$F$61:$CP$301,$A29+1,($D$5-1)*15+2),0)</f>
        <v>0</v>
      </c>
      <c r="F29" s="100" t="n">
        <f aca="false">IFERROR(INDEX(Motor!$F$61:$CP$301,$A29+1,($D$5-1)*15+3)+INDEX(Motor!$F$61:$CP$301,$A29+1,($D$5-1)*15+5)+INDEX(Motor!$F$61:$CP$301,$A29+1,($D$5-1)*15+6),0)</f>
        <v>29.819893851756</v>
      </c>
      <c r="G29" s="100" t="n">
        <f aca="false">IFERROR(INDEX(Motor!$F$61:$CP$301,$A29+1,($D$5-1)*15+7),0)</f>
        <v>0</v>
      </c>
      <c r="H29" s="101" t="n">
        <f aca="false">IFERROR(INDEX(Motor!$F$61:$CP$301,$A29+1,($D$5-1)*15+8),0)</f>
        <v>180587.272005228</v>
      </c>
      <c r="I29" s="100" t="n">
        <f aca="false">IFERROR(INDEX(Motor!$F$61:$CP$301,$A29+1,($D$5-1)*15+12),0)</f>
        <v>5352.77260091486</v>
      </c>
      <c r="J29" s="102" t="n">
        <f aca="false">IFERROR(INDEX(Motor!$F$61:$CP$301,$A29+1,($D$5-1)*15+13),0)</f>
        <v>175234.499404313</v>
      </c>
      <c r="K29" s="100" t="n">
        <f aca="false">IFERROR(INDEX(Motor!$F$61:$CP$301,$A29+1,($D$5-1)*15+14),0)</f>
        <v>164146.154720045</v>
      </c>
    </row>
    <row r="30" customFormat="false" ht="12" hidden="false" customHeight="true" outlineLevel="0" collapsed="false">
      <c r="A30" s="55" t="n">
        <v>21</v>
      </c>
      <c r="B30" s="99" t="n">
        <f aca="false">EDATE(DATA_INICIO,$A30)</f>
        <v>46896</v>
      </c>
      <c r="C30" s="100" t="n">
        <f aca="false">IFERROR(INDEX(Motor!$F$61:$CP$301,$A30+1,($D$5-1)*15+1),0)</f>
        <v>180587.272005228</v>
      </c>
      <c r="D30" s="100" t="n">
        <f aca="false">IFERROR(INDEX(Motor!$F$61:$CP$301,$A30+1,($D$5-1)*15+4),0)</f>
        <v>1713.55523067883</v>
      </c>
      <c r="E30" s="100" t="n">
        <f aca="false">IFERROR(INDEX(Motor!$F$61:$CP$301,$A30+1,($D$5-1)*15+2),0)</f>
        <v>0</v>
      </c>
      <c r="F30" s="100" t="n">
        <f aca="false">IFERROR(INDEX(Motor!$F$61:$CP$301,$A30+1,($D$5-1)*15+3)+INDEX(Motor!$F$61:$CP$301,$A30+1,($D$5-1)*15+5)+INDEX(Motor!$F$61:$CP$301,$A30+1,($D$5-1)*15+6),0)</f>
        <v>30.097878667538</v>
      </c>
      <c r="G30" s="100" t="n">
        <f aca="false">IFERROR(INDEX(Motor!$F$61:$CP$301,$A30+1,($D$5-1)*15+7),0)</f>
        <v>0</v>
      </c>
      <c r="H30" s="101" t="n">
        <f aca="false">IFERROR(INDEX(Motor!$F$61:$CP$301,$A30+1,($D$5-1)*15+8),0)</f>
        <v>182270.729357239</v>
      </c>
      <c r="I30" s="100" t="n">
        <f aca="false">IFERROR(INDEX(Motor!$F$61:$CP$301,$A30+1,($D$5-1)*15+12),0)</f>
        <v>5647.37763751684</v>
      </c>
      <c r="J30" s="102" t="n">
        <f aca="false">IFERROR(INDEX(Motor!$F$61:$CP$301,$A30+1,($D$5-1)*15+13),0)</f>
        <v>176623.351719722</v>
      </c>
      <c r="K30" s="100" t="n">
        <f aca="false">IFERROR(INDEX(Motor!$F$61:$CP$301,$A30+1,($D$5-1)*15+14),0)</f>
        <v>164907.260919248</v>
      </c>
    </row>
    <row r="31" customFormat="false" ht="12" hidden="false" customHeight="true" outlineLevel="0" collapsed="false">
      <c r="A31" s="55" t="n">
        <v>22</v>
      </c>
      <c r="B31" s="99" t="n">
        <f aca="false">EDATE(DATA_INICIO,$A31)</f>
        <v>46927</v>
      </c>
      <c r="C31" s="100" t="n">
        <f aca="false">IFERROR(INDEX(Motor!$F$61:$CP$301,$A31+1,($D$5-1)*15+1),0)</f>
        <v>182270.729357239</v>
      </c>
      <c r="D31" s="100" t="n">
        <f aca="false">IFERROR(INDEX(Motor!$F$61:$CP$301,$A31+1,($D$5-1)*15+4),0)</f>
        <v>1729.52920890627</v>
      </c>
      <c r="E31" s="100" t="n">
        <f aca="false">IFERROR(INDEX(Motor!$F$61:$CP$301,$A31+1,($D$5-1)*15+2),0)</f>
        <v>0</v>
      </c>
      <c r="F31" s="100" t="n">
        <f aca="false">IFERROR(INDEX(Motor!$F$61:$CP$301,$A31+1,($D$5-1)*15+3)+INDEX(Motor!$F$61:$CP$301,$A31+1,($D$5-1)*15+5)+INDEX(Motor!$F$61:$CP$301,$A31+1,($D$5-1)*15+6),0)</f>
        <v>30.3784548928732</v>
      </c>
      <c r="G31" s="100" t="n">
        <f aca="false">IFERROR(INDEX(Motor!$F$61:$CP$301,$A31+1,($D$5-1)*15+7),0)</f>
        <v>0</v>
      </c>
      <c r="H31" s="101" t="n">
        <f aca="false">IFERROR(INDEX(Motor!$F$61:$CP$301,$A31+1,($D$5-1)*15+8),0)</f>
        <v>183969.880111252</v>
      </c>
      <c r="I31" s="100" t="n">
        <f aca="false">IFERROR(INDEX(Motor!$F$61:$CP$301,$A31+1,($D$5-1)*15+12),0)</f>
        <v>5944.72901946918</v>
      </c>
      <c r="J31" s="102" t="n">
        <f aca="false">IFERROR(INDEX(Motor!$F$61:$CP$301,$A31+1,($D$5-1)*15+13),0)</f>
        <v>178025.151091783</v>
      </c>
      <c r="K31" s="100" t="n">
        <f aca="false">IFERROR(INDEX(Motor!$F$61:$CP$301,$A31+1,($D$5-1)*15+14),0)</f>
        <v>165673.701083861</v>
      </c>
    </row>
    <row r="32" customFormat="false" ht="12" hidden="false" customHeight="true" outlineLevel="0" collapsed="false">
      <c r="A32" s="55" t="n">
        <v>23</v>
      </c>
      <c r="B32" s="99" t="n">
        <f aca="false">EDATE(DATA_INICIO,$A32)</f>
        <v>46957</v>
      </c>
      <c r="C32" s="100" t="n">
        <f aca="false">IFERROR(INDEX(Motor!$F$61:$CP$301,$A32+1,($D$5-1)*15+1),0)</f>
        <v>183969.880111252</v>
      </c>
      <c r="D32" s="100" t="n">
        <f aca="false">IFERROR(INDEX(Motor!$F$61:$CP$301,$A32+1,($D$5-1)*15+4),0)</f>
        <v>1745.65209857574</v>
      </c>
      <c r="E32" s="100" t="n">
        <f aca="false">IFERROR(INDEX(Motor!$F$61:$CP$301,$A32+1,($D$5-1)*15+2),0)</f>
        <v>0</v>
      </c>
      <c r="F32" s="100" t="n">
        <f aca="false">IFERROR(INDEX(Motor!$F$61:$CP$301,$A32+1,($D$5-1)*15+3)+INDEX(Motor!$F$61:$CP$301,$A32+1,($D$5-1)*15+5)+INDEX(Motor!$F$61:$CP$301,$A32+1,($D$5-1)*15+6),0)</f>
        <v>30.6616466852087</v>
      </c>
      <c r="G32" s="100" t="n">
        <f aca="false">IFERROR(INDEX(Motor!$F$61:$CP$301,$A32+1,($D$5-1)*15+7),0)</f>
        <v>0</v>
      </c>
      <c r="H32" s="101" t="n">
        <f aca="false">IFERROR(INDEX(Motor!$F$61:$CP$301,$A32+1,($D$5-1)*15+8),0)</f>
        <v>185684.870563143</v>
      </c>
      <c r="I32" s="100" t="n">
        <f aca="false">IFERROR(INDEX(Motor!$F$61:$CP$301,$A32+1,($D$5-1)*15+12),0)</f>
        <v>6244.85234855003</v>
      </c>
      <c r="J32" s="102" t="n">
        <f aca="false">IFERROR(INDEX(Motor!$F$61:$CP$301,$A32+1,($D$5-1)*15+13),0)</f>
        <v>179440.018214593</v>
      </c>
      <c r="K32" s="100" t="n">
        <f aca="false">IFERROR(INDEX(Motor!$F$61:$CP$301,$A32+1,($D$5-1)*15+14),0)</f>
        <v>166445.504937815</v>
      </c>
    </row>
    <row r="33" customFormat="false" ht="12" hidden="false" customHeight="true" outlineLevel="0" collapsed="false">
      <c r="A33" s="55" t="n">
        <v>24</v>
      </c>
      <c r="B33" s="99" t="n">
        <f aca="false">EDATE(DATA_INICIO,$A33)</f>
        <v>46988</v>
      </c>
      <c r="C33" s="100" t="n">
        <f aca="false">IFERROR(INDEX(Motor!$F$61:$CP$301,$A33+1,($D$5-1)*15+1),0)</f>
        <v>185684.870563143</v>
      </c>
      <c r="D33" s="100" t="n">
        <f aca="false">IFERROR(INDEX(Motor!$F$61:$CP$301,$A33+1,($D$5-1)*15+4),0)</f>
        <v>1761.92528785852</v>
      </c>
      <c r="E33" s="100" t="n">
        <f aca="false">IFERROR(INDEX(Motor!$F$61:$CP$301,$A33+1,($D$5-1)*15+2),0)</f>
        <v>0</v>
      </c>
      <c r="F33" s="100" t="n">
        <f aca="false">IFERROR(INDEX(Motor!$F$61:$CP$301,$A33+1,($D$5-1)*15+3)+INDEX(Motor!$F$61:$CP$301,$A33+1,($D$5-1)*15+5)+INDEX(Motor!$F$61:$CP$301,$A33+1,($D$5-1)*15+6),0)</f>
        <v>30.9474784271905</v>
      </c>
      <c r="G33" s="100" t="n">
        <f aca="false">IFERROR(INDEX(Motor!$F$61:$CP$301,$A33+1,($D$5-1)*15+7),0)</f>
        <v>0</v>
      </c>
      <c r="H33" s="101" t="n">
        <f aca="false">IFERROR(INDEX(Motor!$F$61:$CP$301,$A33+1,($D$5-1)*15+8),0)</f>
        <v>187415.848372574</v>
      </c>
      <c r="I33" s="100" t="n">
        <f aca="false">IFERROR(INDEX(Motor!$F$61:$CP$301,$A33+1,($D$5-1)*15+12),0)</f>
        <v>6547.77346520051</v>
      </c>
      <c r="J33" s="102" t="n">
        <f aca="false">IFERROR(INDEX(Motor!$F$61:$CP$301,$A33+1,($D$5-1)*15+13),0)</f>
        <v>180868.074907374</v>
      </c>
      <c r="K33" s="100" t="n">
        <f aca="false">IFERROR(INDEX(Motor!$F$61:$CP$301,$A33+1,($D$5-1)*15+14),0)</f>
        <v>167222.702392173</v>
      </c>
    </row>
    <row r="34" customFormat="false" ht="12" hidden="false" customHeight="true" outlineLevel="0" collapsed="false">
      <c r="A34" s="55" t="n">
        <v>25</v>
      </c>
      <c r="B34" s="99" t="n">
        <f aca="false">EDATE(DATA_INICIO,$A34)</f>
        <v>47019</v>
      </c>
      <c r="C34" s="100" t="n">
        <f aca="false">IFERROR(INDEX(Motor!$F$61:$CP$301,$A34+1,($D$5-1)*15+1),0)</f>
        <v>187415.848372574</v>
      </c>
      <c r="D34" s="100" t="n">
        <f aca="false">IFERROR(INDEX(Motor!$F$61:$CP$301,$A34+1,($D$5-1)*15+4),0)</f>
        <v>1778.35017786657</v>
      </c>
      <c r="E34" s="100" t="n">
        <f aca="false">IFERROR(INDEX(Motor!$F$61:$CP$301,$A34+1,($D$5-1)*15+2),0)</f>
        <v>0</v>
      </c>
      <c r="F34" s="100" t="n">
        <f aca="false">IFERROR(INDEX(Motor!$F$61:$CP$301,$A34+1,($D$5-1)*15+3)+INDEX(Motor!$F$61:$CP$301,$A34+1,($D$5-1)*15+5)+INDEX(Motor!$F$61:$CP$301,$A34+1,($D$5-1)*15+6),0)</f>
        <v>31.2359747287624</v>
      </c>
      <c r="G34" s="100" t="n">
        <f aca="false">IFERROR(INDEX(Motor!$F$61:$CP$301,$A34+1,($D$5-1)*15+7),0)</f>
        <v>0</v>
      </c>
      <c r="H34" s="101" t="n">
        <f aca="false">IFERROR(INDEX(Motor!$F$61:$CP$301,$A34+1,($D$5-1)*15+8),0)</f>
        <v>189162.962575712</v>
      </c>
      <c r="I34" s="100" t="n">
        <f aca="false">IFERROR(INDEX(Motor!$F$61:$CP$301,$A34+1,($D$5-1)*15+12),0)</f>
        <v>5874.44438635682</v>
      </c>
      <c r="J34" s="102" t="n">
        <f aca="false">IFERROR(INDEX(Motor!$F$61:$CP$301,$A34+1,($D$5-1)*15+13),0)</f>
        <v>183288.518189355</v>
      </c>
      <c r="K34" s="100" t="n">
        <f aca="false">IFERROR(INDEX(Motor!$F$61:$CP$301,$A34+1,($D$5-1)*15+14),0)</f>
        <v>168907.578806532</v>
      </c>
    </row>
    <row r="35" customFormat="false" ht="12" hidden="false" customHeight="true" outlineLevel="0" collapsed="false">
      <c r="A35" s="55" t="n">
        <v>26</v>
      </c>
      <c r="B35" s="99" t="n">
        <f aca="false">EDATE(DATA_INICIO,$A35)</f>
        <v>47049</v>
      </c>
      <c r="C35" s="100" t="n">
        <f aca="false">IFERROR(INDEX(Motor!$F$61:$CP$301,$A35+1,($D$5-1)*15+1),0)</f>
        <v>189162.962575712</v>
      </c>
      <c r="D35" s="100" t="n">
        <f aca="false">IFERROR(INDEX(Motor!$F$61:$CP$301,$A35+1,($D$5-1)*15+4),0)</f>
        <v>1794.92818277321</v>
      </c>
      <c r="E35" s="100" t="n">
        <f aca="false">IFERROR(INDEX(Motor!$F$61:$CP$301,$A35+1,($D$5-1)*15+2),0)</f>
        <v>0</v>
      </c>
      <c r="F35" s="100" t="n">
        <f aca="false">IFERROR(INDEX(Motor!$F$61:$CP$301,$A35+1,($D$5-1)*15+3)+INDEX(Motor!$F$61:$CP$301,$A35+1,($D$5-1)*15+5)+INDEX(Motor!$F$61:$CP$301,$A35+1,($D$5-1)*15+6),0)</f>
        <v>31.5271604292854</v>
      </c>
      <c r="G35" s="100" t="n">
        <f aca="false">IFERROR(INDEX(Motor!$F$61:$CP$301,$A35+1,($D$5-1)*15+7),0)</f>
        <v>0</v>
      </c>
      <c r="H35" s="101" t="n">
        <f aca="false">IFERROR(INDEX(Motor!$F$61:$CP$301,$A35+1,($D$5-1)*15+8),0)</f>
        <v>190926.363598056</v>
      </c>
      <c r="I35" s="100" t="n">
        <f aca="false">IFERROR(INDEX(Motor!$F$61:$CP$301,$A35+1,($D$5-1)*15+12),0)</f>
        <v>6138.95453970841</v>
      </c>
      <c r="J35" s="102" t="n">
        <f aca="false">IFERROR(INDEX(Motor!$F$61:$CP$301,$A35+1,($D$5-1)*15+13),0)</f>
        <v>184787.409058348</v>
      </c>
      <c r="K35" s="100" t="n">
        <f aca="false">IFERROR(INDEX(Motor!$F$61:$CP$301,$A35+1,($D$5-1)*15+14),0)</f>
        <v>169733.203358053</v>
      </c>
    </row>
    <row r="36" customFormat="false" ht="12" hidden="false" customHeight="true" outlineLevel="0" collapsed="false">
      <c r="A36" s="55" t="n">
        <v>27</v>
      </c>
      <c r="B36" s="99" t="n">
        <f aca="false">EDATE(DATA_INICIO,$A36)</f>
        <v>47080</v>
      </c>
      <c r="C36" s="100" t="n">
        <f aca="false">IFERROR(INDEX(Motor!$F$61:$CP$301,$A36+1,($D$5-1)*15+1),0)</f>
        <v>190926.363598056</v>
      </c>
      <c r="D36" s="100" t="n">
        <f aca="false">IFERROR(INDEX(Motor!$F$61:$CP$301,$A36+1,($D$5-1)*15+4),0)</f>
        <v>1811.66072993487</v>
      </c>
      <c r="E36" s="100" t="n">
        <f aca="false">IFERROR(INDEX(Motor!$F$61:$CP$301,$A36+1,($D$5-1)*15+2),0)</f>
        <v>0</v>
      </c>
      <c r="F36" s="100" t="n">
        <f aca="false">IFERROR(INDEX(Motor!$F$61:$CP$301,$A36+1,($D$5-1)*15+3)+INDEX(Motor!$F$61:$CP$301,$A36+1,($D$5-1)*15+5)+INDEX(Motor!$F$61:$CP$301,$A36+1,($D$5-1)*15+6),0)</f>
        <v>31.821060599676</v>
      </c>
      <c r="G36" s="100" t="n">
        <f aca="false">IFERROR(INDEX(Motor!$F$61:$CP$301,$A36+1,($D$5-1)*15+7),0)</f>
        <v>0</v>
      </c>
      <c r="H36" s="101" t="n">
        <f aca="false">IFERROR(INDEX(Motor!$F$61:$CP$301,$A36+1,($D$5-1)*15+8),0)</f>
        <v>192706.203267391</v>
      </c>
      <c r="I36" s="100" t="n">
        <f aca="false">IFERROR(INDEX(Motor!$F$61:$CP$301,$A36+1,($D$5-1)*15+12),0)</f>
        <v>6405.93049010869</v>
      </c>
      <c r="J36" s="102" t="n">
        <f aca="false">IFERROR(INDEX(Motor!$F$61:$CP$301,$A36+1,($D$5-1)*15+13),0)</f>
        <v>186300.272777283</v>
      </c>
      <c r="K36" s="100" t="n">
        <f aca="false">IFERROR(INDEX(Motor!$F$61:$CP$301,$A36+1,($D$5-1)*15+14),0)</f>
        <v>170564.433972414</v>
      </c>
    </row>
    <row r="37" customFormat="false" ht="12" hidden="false" customHeight="true" outlineLevel="0" collapsed="false">
      <c r="A37" s="55" t="n">
        <v>28</v>
      </c>
      <c r="B37" s="99" t="n">
        <f aca="false">EDATE(DATA_INICIO,$A37)</f>
        <v>47110</v>
      </c>
      <c r="C37" s="100" t="n">
        <f aca="false">IFERROR(INDEX(Motor!$F$61:$CP$301,$A37+1,($D$5-1)*15+1),0)</f>
        <v>192706.203267391</v>
      </c>
      <c r="D37" s="100" t="n">
        <f aca="false">IFERROR(INDEX(Motor!$F$61:$CP$301,$A37+1,($D$5-1)*15+4),0)</f>
        <v>1828.54926001395</v>
      </c>
      <c r="E37" s="100" t="n">
        <f aca="false">IFERROR(INDEX(Motor!$F$61:$CP$301,$A37+1,($D$5-1)*15+2),0)</f>
        <v>0</v>
      </c>
      <c r="F37" s="100" t="n">
        <f aca="false">IFERROR(INDEX(Motor!$F$61:$CP$301,$A37+1,($D$5-1)*15+3)+INDEX(Motor!$F$61:$CP$301,$A37+1,($D$5-1)*15+5)+INDEX(Motor!$F$61:$CP$301,$A37+1,($D$5-1)*15+6),0)</f>
        <v>32.1177005445652</v>
      </c>
      <c r="G37" s="100" t="n">
        <f aca="false">IFERROR(INDEX(Motor!$F$61:$CP$301,$A37+1,($D$5-1)*15+7),0)</f>
        <v>0</v>
      </c>
      <c r="H37" s="101" t="n">
        <f aca="false">IFERROR(INDEX(Motor!$F$61:$CP$301,$A37+1,($D$5-1)*15+8),0)</f>
        <v>194502.634826861</v>
      </c>
      <c r="I37" s="100" t="n">
        <f aca="false">IFERROR(INDEX(Motor!$F$61:$CP$301,$A37+1,($D$5-1)*15+12),0)</f>
        <v>6675.3952240291</v>
      </c>
      <c r="J37" s="102" t="n">
        <f aca="false">IFERROR(INDEX(Motor!$F$61:$CP$301,$A37+1,($D$5-1)*15+13),0)</f>
        <v>187827.239602832</v>
      </c>
      <c r="K37" s="100" t="n">
        <f aca="false">IFERROR(INDEX(Motor!$F$61:$CP$301,$A37+1,($D$5-1)*15+14),0)</f>
        <v>171401.302395248</v>
      </c>
    </row>
    <row r="38" customFormat="false" ht="12" hidden="false" customHeight="true" outlineLevel="0" collapsed="false">
      <c r="A38" s="55" t="n">
        <v>29</v>
      </c>
      <c r="B38" s="99" t="n">
        <f aca="false">EDATE(DATA_INICIO,$A38)</f>
        <v>47141</v>
      </c>
      <c r="C38" s="100" t="n">
        <f aca="false">IFERROR(INDEX(Motor!$F$61:$CP$301,$A38+1,($D$5-1)*15+1),0)</f>
        <v>194502.634826861</v>
      </c>
      <c r="D38" s="100" t="n">
        <f aca="false">IFERROR(INDEX(Motor!$F$61:$CP$301,$A38+1,($D$5-1)*15+4),0)</f>
        <v>1845.5952271029</v>
      </c>
      <c r="E38" s="100" t="n">
        <f aca="false">IFERROR(INDEX(Motor!$F$61:$CP$301,$A38+1,($D$5-1)*15+2),0)</f>
        <v>0</v>
      </c>
      <c r="F38" s="100" t="n">
        <f aca="false">IFERROR(INDEX(Motor!$F$61:$CP$301,$A38+1,($D$5-1)*15+3)+INDEX(Motor!$F$61:$CP$301,$A38+1,($D$5-1)*15+5)+INDEX(Motor!$F$61:$CP$301,$A38+1,($D$5-1)*15+6),0)</f>
        <v>32.4171058044768</v>
      </c>
      <c r="G38" s="100" t="n">
        <f aca="false">IFERROR(INDEX(Motor!$F$61:$CP$301,$A38+1,($D$5-1)*15+7),0)</f>
        <v>0</v>
      </c>
      <c r="H38" s="101" t="n">
        <f aca="false">IFERROR(INDEX(Motor!$F$61:$CP$301,$A38+1,($D$5-1)*15+8),0)</f>
        <v>196315.812948159</v>
      </c>
      <c r="I38" s="100" t="n">
        <f aca="false">IFERROR(INDEX(Motor!$F$61:$CP$301,$A38+1,($D$5-1)*15+12),0)</f>
        <v>6947.37194222386</v>
      </c>
      <c r="J38" s="102" t="n">
        <f aca="false">IFERROR(INDEX(Motor!$F$61:$CP$301,$A38+1,($D$5-1)*15+13),0)</f>
        <v>189368.441005935</v>
      </c>
      <c r="K38" s="100" t="n">
        <f aca="false">IFERROR(INDEX(Motor!$F$61:$CP$301,$A38+1,($D$5-1)*15+14),0)</f>
        <v>172243.840570269</v>
      </c>
    </row>
    <row r="39" customFormat="false" ht="12" hidden="false" customHeight="true" outlineLevel="0" collapsed="false">
      <c r="A39" s="55" t="n">
        <v>30</v>
      </c>
      <c r="B39" s="99" t="n">
        <f aca="false">EDATE(DATA_INICIO,$A39)</f>
        <v>47172</v>
      </c>
      <c r="C39" s="100" t="n">
        <f aca="false">IFERROR(INDEX(Motor!$F$61:$CP$301,$A39+1,($D$5-1)*15+1),0)</f>
        <v>196315.812948159</v>
      </c>
      <c r="D39" s="100" t="n">
        <f aca="false">IFERROR(INDEX(Motor!$F$61:$CP$301,$A39+1,($D$5-1)*15+4),0)</f>
        <v>1862.80009884942</v>
      </c>
      <c r="E39" s="100" t="n">
        <f aca="false">IFERROR(INDEX(Motor!$F$61:$CP$301,$A39+1,($D$5-1)*15+2),0)</f>
        <v>0</v>
      </c>
      <c r="F39" s="100" t="n">
        <f aca="false">IFERROR(INDEX(Motor!$F$61:$CP$301,$A39+1,($D$5-1)*15+3)+INDEX(Motor!$F$61:$CP$301,$A39+1,($D$5-1)*15+5)+INDEX(Motor!$F$61:$CP$301,$A39+1,($D$5-1)*15+6),0)</f>
        <v>32.7193021580265</v>
      </c>
      <c r="G39" s="100" t="n">
        <f aca="false">IFERROR(INDEX(Motor!$F$61:$CP$301,$A39+1,($D$5-1)*15+7),0)</f>
        <v>0</v>
      </c>
      <c r="H39" s="101" t="n">
        <f aca="false">IFERROR(INDEX(Motor!$F$61:$CP$301,$A39+1,($D$5-1)*15+8),0)</f>
        <v>198145.89374485</v>
      </c>
      <c r="I39" s="100" t="n">
        <f aca="false">IFERROR(INDEX(Motor!$F$61:$CP$301,$A39+1,($D$5-1)*15+12),0)</f>
        <v>7221.88406172757</v>
      </c>
      <c r="J39" s="102" t="n">
        <f aca="false">IFERROR(INDEX(Motor!$F$61:$CP$301,$A39+1,($D$5-1)*15+13),0)</f>
        <v>190924.009683123</v>
      </c>
      <c r="K39" s="100" t="n">
        <f aca="false">IFERROR(INDEX(Motor!$F$61:$CP$301,$A39+1,($D$5-1)*15+14),0)</f>
        <v>173092.080640437</v>
      </c>
    </row>
    <row r="40" customFormat="false" ht="12" hidden="false" customHeight="true" outlineLevel="0" collapsed="false">
      <c r="A40" s="55" t="n">
        <v>31</v>
      </c>
      <c r="B40" s="99" t="n">
        <f aca="false">EDATE(DATA_INICIO,$A40)</f>
        <v>47200</v>
      </c>
      <c r="C40" s="100" t="n">
        <f aca="false">IFERROR(INDEX(Motor!$F$61:$CP$301,$A40+1,($D$5-1)*15+1),0)</f>
        <v>198145.89374485</v>
      </c>
      <c r="D40" s="100" t="n">
        <f aca="false">IFERROR(INDEX(Motor!$F$61:$CP$301,$A40+1,($D$5-1)*15+4),0)</f>
        <v>1880.16535658278</v>
      </c>
      <c r="E40" s="100" t="n">
        <f aca="false">IFERROR(INDEX(Motor!$F$61:$CP$301,$A40+1,($D$5-1)*15+2),0)</f>
        <v>0</v>
      </c>
      <c r="F40" s="100" t="n">
        <f aca="false">IFERROR(INDEX(Motor!$F$61:$CP$301,$A40+1,($D$5-1)*15+3)+INDEX(Motor!$F$61:$CP$301,$A40+1,($D$5-1)*15+5)+INDEX(Motor!$F$61:$CP$301,$A40+1,($D$5-1)*15+6),0)</f>
        <v>33.0243156241417</v>
      </c>
      <c r="G40" s="100" t="n">
        <f aca="false">IFERROR(INDEX(Motor!$F$61:$CP$301,$A40+1,($D$5-1)*15+7),0)</f>
        <v>0</v>
      </c>
      <c r="H40" s="101" t="n">
        <f aca="false">IFERROR(INDEX(Motor!$F$61:$CP$301,$A40+1,($D$5-1)*15+8),0)</f>
        <v>199993.034785809</v>
      </c>
      <c r="I40" s="100" t="n">
        <f aca="false">IFERROR(INDEX(Motor!$F$61:$CP$301,$A40+1,($D$5-1)*15+12),0)</f>
        <v>7498.95521787137</v>
      </c>
      <c r="J40" s="102" t="n">
        <f aca="false">IFERROR(INDEX(Motor!$F$61:$CP$301,$A40+1,($D$5-1)*15+13),0)</f>
        <v>192494.079567938</v>
      </c>
      <c r="K40" s="100" t="n">
        <f aca="false">IFERROR(INDEX(Motor!$F$61:$CP$301,$A40+1,($D$5-1)*15+14),0)</f>
        <v>173946.054949141</v>
      </c>
    </row>
    <row r="41" customFormat="false" ht="12" hidden="false" customHeight="true" outlineLevel="0" collapsed="false">
      <c r="A41" s="55" t="n">
        <v>32</v>
      </c>
      <c r="B41" s="99" t="n">
        <f aca="false">EDATE(DATA_INICIO,$A41)</f>
        <v>47231</v>
      </c>
      <c r="C41" s="100" t="n">
        <f aca="false">IFERROR(INDEX(Motor!$F$61:$CP$301,$A41+1,($D$5-1)*15+1),0)</f>
        <v>199993.034785809</v>
      </c>
      <c r="D41" s="100" t="n">
        <f aca="false">IFERROR(INDEX(Motor!$F$61:$CP$301,$A41+1,($D$5-1)*15+4),0)</f>
        <v>1897.69249544141</v>
      </c>
      <c r="E41" s="100" t="n">
        <f aca="false">IFERROR(INDEX(Motor!$F$61:$CP$301,$A41+1,($D$5-1)*15+2),0)</f>
        <v>0</v>
      </c>
      <c r="F41" s="100" t="n">
        <f aca="false">IFERROR(INDEX(Motor!$F$61:$CP$301,$A41+1,($D$5-1)*15+3)+INDEX(Motor!$F$61:$CP$301,$A41+1,($D$5-1)*15+5)+INDEX(Motor!$F$61:$CP$301,$A41+1,($D$5-1)*15+6),0)</f>
        <v>33.3321724643015</v>
      </c>
      <c r="G41" s="100" t="n">
        <f aca="false">IFERROR(INDEX(Motor!$F$61:$CP$301,$A41+1,($D$5-1)*15+7),0)</f>
        <v>0</v>
      </c>
      <c r="H41" s="101" t="n">
        <f aca="false">IFERROR(INDEX(Motor!$F$61:$CP$301,$A41+1,($D$5-1)*15+8),0)</f>
        <v>201857.395108786</v>
      </c>
      <c r="I41" s="100" t="n">
        <f aca="false">IFERROR(INDEX(Motor!$F$61:$CP$301,$A41+1,($D$5-1)*15+12),0)</f>
        <v>7778.60926631794</v>
      </c>
      <c r="J41" s="102" t="n">
        <f aca="false">IFERROR(INDEX(Motor!$F$61:$CP$301,$A41+1,($D$5-1)*15+13),0)</f>
        <v>194078.785842468</v>
      </c>
      <c r="K41" s="100" t="n">
        <f aca="false">IFERROR(INDEX(Motor!$F$61:$CP$301,$A41+1,($D$5-1)*15+14),0)</f>
        <v>174805.796041387</v>
      </c>
    </row>
    <row r="42" customFormat="false" ht="12" hidden="false" customHeight="true" outlineLevel="0" collapsed="false">
      <c r="A42" s="55" t="n">
        <v>33</v>
      </c>
      <c r="B42" s="99" t="n">
        <f aca="false">EDATE(DATA_INICIO,$A42)</f>
        <v>47261</v>
      </c>
      <c r="C42" s="100" t="n">
        <f aca="false">IFERROR(INDEX(Motor!$F$61:$CP$301,$A42+1,($D$5-1)*15+1),0)</f>
        <v>201857.395108786</v>
      </c>
      <c r="D42" s="100" t="n">
        <f aca="false">IFERROR(INDEX(Motor!$F$61:$CP$301,$A42+1,($D$5-1)*15+4),0)</f>
        <v>1915.38302450159</v>
      </c>
      <c r="E42" s="100" t="n">
        <f aca="false">IFERROR(INDEX(Motor!$F$61:$CP$301,$A42+1,($D$5-1)*15+2),0)</f>
        <v>0</v>
      </c>
      <c r="F42" s="100" t="n">
        <f aca="false">IFERROR(INDEX(Motor!$F$61:$CP$301,$A42+1,($D$5-1)*15+3)+INDEX(Motor!$F$61:$CP$301,$A42+1,($D$5-1)*15+5)+INDEX(Motor!$F$61:$CP$301,$A42+1,($D$5-1)*15+6),0)</f>
        <v>33.6428991847977</v>
      </c>
      <c r="G42" s="100" t="n">
        <f aca="false">IFERROR(INDEX(Motor!$F$61:$CP$301,$A42+1,($D$5-1)*15+7),0)</f>
        <v>0</v>
      </c>
      <c r="H42" s="101" t="n">
        <f aca="false">IFERROR(INDEX(Motor!$F$61:$CP$301,$A42+1,($D$5-1)*15+8),0)</f>
        <v>203739.135234103</v>
      </c>
      <c r="I42" s="100" t="n">
        <f aca="false">IFERROR(INDEX(Motor!$F$61:$CP$301,$A42+1,($D$5-1)*15+12),0)</f>
        <v>8060.87028511545</v>
      </c>
      <c r="J42" s="102" t="n">
        <f aca="false">IFERROR(INDEX(Motor!$F$61:$CP$301,$A42+1,($D$5-1)*15+13),0)</f>
        <v>195678.264948988</v>
      </c>
      <c r="K42" s="100" t="n">
        <f aca="false">IFERROR(INDEX(Motor!$F$61:$CP$301,$A42+1,($D$5-1)*15+14),0)</f>
        <v>175671.33666499</v>
      </c>
    </row>
    <row r="43" customFormat="false" ht="12" hidden="false" customHeight="true" outlineLevel="0" collapsed="false">
      <c r="A43" s="55" t="n">
        <v>34</v>
      </c>
      <c r="B43" s="99" t="n">
        <f aca="false">EDATE(DATA_INICIO,$A43)</f>
        <v>47292</v>
      </c>
      <c r="C43" s="100" t="n">
        <f aca="false">IFERROR(INDEX(Motor!$F$61:$CP$301,$A43+1,($D$5-1)*15+1),0)</f>
        <v>203739.135234103</v>
      </c>
      <c r="D43" s="100" t="n">
        <f aca="false">IFERROR(INDEX(Motor!$F$61:$CP$301,$A43+1,($D$5-1)*15+4),0)</f>
        <v>1933.23846690742</v>
      </c>
      <c r="E43" s="100" t="n">
        <f aca="false">IFERROR(INDEX(Motor!$F$61:$CP$301,$A43+1,($D$5-1)*15+2),0)</f>
        <v>0</v>
      </c>
      <c r="F43" s="100" t="n">
        <f aca="false">IFERROR(INDEX(Motor!$F$61:$CP$301,$A43+1,($D$5-1)*15+3)+INDEX(Motor!$F$61:$CP$301,$A43+1,($D$5-1)*15+5)+INDEX(Motor!$F$61:$CP$301,$A43+1,($D$5-1)*15+6),0)</f>
        <v>33.9565225390172</v>
      </c>
      <c r="G43" s="100" t="n">
        <f aca="false">IFERROR(INDEX(Motor!$F$61:$CP$301,$A43+1,($D$5-1)*15+7),0)</f>
        <v>0</v>
      </c>
      <c r="H43" s="101" t="n">
        <f aca="false">IFERROR(INDEX(Motor!$F$61:$CP$301,$A43+1,($D$5-1)*15+8),0)</f>
        <v>205638.417178471</v>
      </c>
      <c r="I43" s="100" t="n">
        <f aca="false">IFERROR(INDEX(Motor!$F$61:$CP$301,$A43+1,($D$5-1)*15+12),0)</f>
        <v>8345.76257677071</v>
      </c>
      <c r="J43" s="102" t="n">
        <f aca="false">IFERROR(INDEX(Motor!$F$61:$CP$301,$A43+1,($D$5-1)*15+13),0)</f>
        <v>197292.654601701</v>
      </c>
      <c r="K43" s="100" t="n">
        <f aca="false">IFERROR(INDEX(Motor!$F$61:$CP$301,$A43+1,($D$5-1)*15+14),0)</f>
        <v>176542.709771773</v>
      </c>
    </row>
    <row r="44" customFormat="false" ht="12" hidden="false" customHeight="true" outlineLevel="0" collapsed="false">
      <c r="A44" s="55" t="n">
        <v>35</v>
      </c>
      <c r="B44" s="99" t="n">
        <f aca="false">EDATE(DATA_INICIO,$A44)</f>
        <v>47322</v>
      </c>
      <c r="C44" s="100" t="n">
        <f aca="false">IFERROR(INDEX(Motor!$F$61:$CP$301,$A44+1,($D$5-1)*15+1),0)</f>
        <v>205638.417178471</v>
      </c>
      <c r="D44" s="100" t="n">
        <f aca="false">IFERROR(INDEX(Motor!$F$61:$CP$301,$A44+1,($D$5-1)*15+4),0)</f>
        <v>1951.26036000192</v>
      </c>
      <c r="E44" s="100" t="n">
        <f aca="false">IFERROR(INDEX(Motor!$F$61:$CP$301,$A44+1,($D$5-1)*15+2),0)</f>
        <v>0</v>
      </c>
      <c r="F44" s="100" t="n">
        <f aca="false">IFERROR(INDEX(Motor!$F$61:$CP$301,$A44+1,($D$5-1)*15+3)+INDEX(Motor!$F$61:$CP$301,$A44+1,($D$5-1)*15+5)+INDEX(Motor!$F$61:$CP$301,$A44+1,($D$5-1)*15+6),0)</f>
        <v>34.2730695297452</v>
      </c>
      <c r="G44" s="100" t="n">
        <f aca="false">IFERROR(INDEX(Motor!$F$61:$CP$301,$A44+1,($D$5-1)*15+7),0)</f>
        <v>0</v>
      </c>
      <c r="H44" s="101" t="n">
        <f aca="false">IFERROR(INDEX(Motor!$F$61:$CP$301,$A44+1,($D$5-1)*15+8),0)</f>
        <v>207555.404468944</v>
      </c>
      <c r="I44" s="100" t="n">
        <f aca="false">IFERROR(INDEX(Motor!$F$61:$CP$301,$A44+1,($D$5-1)*15+12),0)</f>
        <v>8633.31067034153</v>
      </c>
      <c r="J44" s="102" t="n">
        <f aca="false">IFERROR(INDEX(Motor!$F$61:$CP$301,$A44+1,($D$5-1)*15+13),0)</f>
        <v>198922.093798602</v>
      </c>
      <c r="K44" s="100" t="n">
        <f aca="false">IFERROR(INDEX(Motor!$F$61:$CP$301,$A44+1,($D$5-1)*15+14),0)</f>
        <v>177419.94851878</v>
      </c>
    </row>
    <row r="45" customFormat="false" ht="12" hidden="false" customHeight="true" outlineLevel="0" collapsed="false">
      <c r="A45" s="55" t="n">
        <v>36</v>
      </c>
      <c r="B45" s="99" t="n">
        <f aca="false">EDATE(DATA_INICIO,$A45)</f>
        <v>47353</v>
      </c>
      <c r="C45" s="100" t="n">
        <f aca="false">IFERROR(INDEX(Motor!$F$61:$CP$301,$A45+1,($D$5-1)*15+1),0)</f>
        <v>207555.404468944</v>
      </c>
      <c r="D45" s="100" t="n">
        <f aca="false">IFERROR(INDEX(Motor!$F$61:$CP$301,$A45+1,($D$5-1)*15+4),0)</f>
        <v>1969.45025545944</v>
      </c>
      <c r="E45" s="100" t="n">
        <f aca="false">IFERROR(INDEX(Motor!$F$61:$CP$301,$A45+1,($D$5-1)*15+2),0)</f>
        <v>0</v>
      </c>
      <c r="F45" s="100" t="n">
        <f aca="false">IFERROR(INDEX(Motor!$F$61:$CP$301,$A45+1,($D$5-1)*15+3)+INDEX(Motor!$F$61:$CP$301,$A45+1,($D$5-1)*15+5)+INDEX(Motor!$F$61:$CP$301,$A45+1,($D$5-1)*15+6),0)</f>
        <v>34.5925674114906</v>
      </c>
      <c r="G45" s="100" t="n">
        <f aca="false">IFERROR(INDEX(Motor!$F$61:$CP$301,$A45+1,($D$5-1)*15+7),0)</f>
        <v>0</v>
      </c>
      <c r="H45" s="101" t="n">
        <f aca="false">IFERROR(INDEX(Motor!$F$61:$CP$301,$A45+1,($D$5-1)*15+8),0)</f>
        <v>209490.262156992</v>
      </c>
      <c r="I45" s="100" t="n">
        <f aca="false">IFERROR(INDEX(Motor!$F$61:$CP$301,$A45+1,($D$5-1)*15+12),0)</f>
        <v>8923.53932354873</v>
      </c>
      <c r="J45" s="102" t="n">
        <f aca="false">IFERROR(INDEX(Motor!$F$61:$CP$301,$A45+1,($D$5-1)*15+13),0)</f>
        <v>200566.722833443</v>
      </c>
      <c r="K45" s="100" t="n">
        <f aca="false">IFERROR(INDEX(Motor!$F$61:$CP$301,$A45+1,($D$5-1)*15+14),0)</f>
        <v>178303.086269489</v>
      </c>
    </row>
    <row r="46" customFormat="false" ht="12" hidden="false" customHeight="true" outlineLevel="0" collapsed="false">
      <c r="A46" s="55" t="n">
        <v>37</v>
      </c>
      <c r="B46" s="99" t="n">
        <f aca="false">EDATE(DATA_INICIO,$A46)</f>
        <v>47384</v>
      </c>
      <c r="C46" s="100" t="n">
        <f aca="false">IFERROR(INDEX(Motor!$F$61:$CP$301,$A46+1,($D$5-1)*15+1),0)</f>
        <v>209490.262156992</v>
      </c>
      <c r="D46" s="100" t="n">
        <f aca="false">IFERROR(INDEX(Motor!$F$61:$CP$301,$A46+1,($D$5-1)*15+4),0)</f>
        <v>1987.80971941921</v>
      </c>
      <c r="E46" s="100" t="n">
        <f aca="false">IFERROR(INDEX(Motor!$F$61:$CP$301,$A46+1,($D$5-1)*15+2),0)</f>
        <v>0</v>
      </c>
      <c r="F46" s="100" t="n">
        <f aca="false">IFERROR(INDEX(Motor!$F$61:$CP$301,$A46+1,($D$5-1)*15+3)+INDEX(Motor!$F$61:$CP$301,$A46+1,($D$5-1)*15+5)+INDEX(Motor!$F$61:$CP$301,$A46+1,($D$5-1)*15+6),0)</f>
        <v>34.9150436928319</v>
      </c>
      <c r="G46" s="100" t="n">
        <f aca="false">IFERROR(INDEX(Motor!$F$61:$CP$301,$A46+1,($D$5-1)*15+7),0)</f>
        <v>0</v>
      </c>
      <c r="H46" s="101" t="n">
        <f aca="false">IFERROR(INDEX(Motor!$F$61:$CP$301,$A46+1,($D$5-1)*15+8),0)</f>
        <v>211443.156832718</v>
      </c>
      <c r="I46" s="100" t="n">
        <f aca="false">IFERROR(INDEX(Motor!$F$61:$CP$301,$A46+1,($D$5-1)*15+12),0)</f>
        <v>9216.47352490769</v>
      </c>
      <c r="J46" s="102" t="n">
        <f aca="false">IFERROR(INDEX(Motor!$F$61:$CP$301,$A46+1,($D$5-1)*15+13),0)</f>
        <v>202226.68330781</v>
      </c>
      <c r="K46" s="100" t="n">
        <f aca="false">IFERROR(INDEX(Motor!$F$61:$CP$301,$A46+1,($D$5-1)*15+14),0)</f>
        <v>179192.156595036</v>
      </c>
    </row>
    <row r="47" customFormat="false" ht="12" hidden="false" customHeight="true" outlineLevel="0" collapsed="false">
      <c r="A47" s="55" t="n">
        <v>38</v>
      </c>
      <c r="B47" s="99" t="n">
        <f aca="false">EDATE(DATA_INICIO,$A47)</f>
        <v>47414</v>
      </c>
      <c r="C47" s="100" t="n">
        <f aca="false">IFERROR(INDEX(Motor!$F$61:$CP$301,$A47+1,($D$5-1)*15+1),0)</f>
        <v>211443.156832718</v>
      </c>
      <c r="D47" s="100" t="n">
        <f aca="false">IFERROR(INDEX(Motor!$F$61:$CP$301,$A47+1,($D$5-1)*15+4),0)</f>
        <v>2006.34033262023</v>
      </c>
      <c r="E47" s="100" t="n">
        <f aca="false">IFERROR(INDEX(Motor!$F$61:$CP$301,$A47+1,($D$5-1)*15+2),0)</f>
        <v>0</v>
      </c>
      <c r="F47" s="100" t="n">
        <f aca="false">IFERROR(INDEX(Motor!$F$61:$CP$301,$A47+1,($D$5-1)*15+3)+INDEX(Motor!$F$61:$CP$301,$A47+1,($D$5-1)*15+5)+INDEX(Motor!$F$61:$CP$301,$A47+1,($D$5-1)*15+6),0)</f>
        <v>35.2405261387863</v>
      </c>
      <c r="G47" s="100" t="n">
        <f aca="false">IFERROR(INDEX(Motor!$F$61:$CP$301,$A47+1,($D$5-1)*15+7),0)</f>
        <v>0</v>
      </c>
      <c r="H47" s="101" t="n">
        <f aca="false">IFERROR(INDEX(Motor!$F$61:$CP$301,$A47+1,($D$5-1)*15+8),0)</f>
        <v>213414.256639199</v>
      </c>
      <c r="I47" s="100" t="n">
        <f aca="false">IFERROR(INDEX(Motor!$F$61:$CP$301,$A47+1,($D$5-1)*15+12),0)</f>
        <v>9512.1384958799</v>
      </c>
      <c r="J47" s="102" t="n">
        <f aca="false">IFERROR(INDEX(Motor!$F$61:$CP$301,$A47+1,($D$5-1)*15+13),0)</f>
        <v>203902.118143319</v>
      </c>
      <c r="K47" s="100" t="n">
        <f aca="false">IFERROR(INDEX(Motor!$F$61:$CP$301,$A47+1,($D$5-1)*15+14),0)</f>
        <v>180087.193275445</v>
      </c>
    </row>
    <row r="48" customFormat="false" ht="12" hidden="false" customHeight="true" outlineLevel="0" collapsed="false">
      <c r="A48" s="55" t="n">
        <v>39</v>
      </c>
      <c r="B48" s="99" t="n">
        <f aca="false">EDATE(DATA_INICIO,$A48)</f>
        <v>47445</v>
      </c>
      <c r="C48" s="100" t="n">
        <f aca="false">IFERROR(INDEX(Motor!$F$61:$CP$301,$A48+1,($D$5-1)*15+1),0)</f>
        <v>213414.256639199</v>
      </c>
      <c r="D48" s="100" t="n">
        <f aca="false">IFERROR(INDEX(Motor!$F$61:$CP$301,$A48+1,($D$5-1)*15+4),0)</f>
        <v>2025.04369053733</v>
      </c>
      <c r="E48" s="100" t="n">
        <f aca="false">IFERROR(INDEX(Motor!$F$61:$CP$301,$A48+1,($D$5-1)*15+2),0)</f>
        <v>0</v>
      </c>
      <c r="F48" s="100" t="n">
        <f aca="false">IFERROR(INDEX(Motor!$F$61:$CP$301,$A48+1,($D$5-1)*15+3)+INDEX(Motor!$F$61:$CP$301,$A48+1,($D$5-1)*15+5)+INDEX(Motor!$F$61:$CP$301,$A48+1,($D$5-1)*15+6),0)</f>
        <v>35.5690427731999</v>
      </c>
      <c r="G48" s="100" t="n">
        <f aca="false">IFERROR(INDEX(Motor!$F$61:$CP$301,$A48+1,($D$5-1)*15+7),0)</f>
        <v>0</v>
      </c>
      <c r="H48" s="101" t="n">
        <f aca="false">IFERROR(INDEX(Motor!$F$61:$CP$301,$A48+1,($D$5-1)*15+8),0)</f>
        <v>215403.731286964</v>
      </c>
      <c r="I48" s="100" t="n">
        <f aca="false">IFERROR(INDEX(Motor!$F$61:$CP$301,$A48+1,($D$5-1)*15+12),0)</f>
        <v>9810.55969304453</v>
      </c>
      <c r="J48" s="102" t="n">
        <f aca="false">IFERROR(INDEX(Motor!$F$61:$CP$301,$A48+1,($D$5-1)*15+13),0)</f>
        <v>205593.171593919</v>
      </c>
      <c r="K48" s="100" t="n">
        <f aca="false">IFERROR(INDEX(Motor!$F$61:$CP$301,$A48+1,($D$5-1)*15+14),0)</f>
        <v>180988.230300866</v>
      </c>
    </row>
    <row r="49" customFormat="false" ht="12" hidden="false" customHeight="true" outlineLevel="0" collapsed="false">
      <c r="A49" s="55" t="n">
        <v>40</v>
      </c>
      <c r="B49" s="99" t="n">
        <f aca="false">EDATE(DATA_INICIO,$A49)</f>
        <v>47475</v>
      </c>
      <c r="C49" s="100" t="n">
        <f aca="false">IFERROR(INDEX(Motor!$F$61:$CP$301,$A49+1,($D$5-1)*15+1),0)</f>
        <v>215403.731286964</v>
      </c>
      <c r="D49" s="100" t="n">
        <f aca="false">IFERROR(INDEX(Motor!$F$61:$CP$301,$A49+1,($D$5-1)*15+4),0)</f>
        <v>2043.92140351856</v>
      </c>
      <c r="E49" s="100" t="n">
        <f aca="false">IFERROR(INDEX(Motor!$F$61:$CP$301,$A49+1,($D$5-1)*15+2),0)</f>
        <v>0</v>
      </c>
      <c r="F49" s="100" t="n">
        <f aca="false">IFERROR(INDEX(Motor!$F$61:$CP$301,$A49+1,($D$5-1)*15+3)+INDEX(Motor!$F$61:$CP$301,$A49+1,($D$5-1)*15+5)+INDEX(Motor!$F$61:$CP$301,$A49+1,($D$5-1)*15+6),0)</f>
        <v>35.9006218811606</v>
      </c>
      <c r="G49" s="100" t="n">
        <f aca="false">IFERROR(INDEX(Motor!$F$61:$CP$301,$A49+1,($D$5-1)*15+7),0)</f>
        <v>0</v>
      </c>
      <c r="H49" s="101" t="n">
        <f aca="false">IFERROR(INDEX(Motor!$F$61:$CP$301,$A49+1,($D$5-1)*15+8),0)</f>
        <v>217411.752068601</v>
      </c>
      <c r="I49" s="100" t="n">
        <f aca="false">IFERROR(INDEX(Motor!$F$61:$CP$301,$A49+1,($D$5-1)*15+12),0)</f>
        <v>10111.7628102901</v>
      </c>
      <c r="J49" s="102" t="n">
        <f aca="false">IFERROR(INDEX(Motor!$F$61:$CP$301,$A49+1,($D$5-1)*15+13),0)</f>
        <v>207299.989258311</v>
      </c>
      <c r="K49" s="100" t="n">
        <f aca="false">IFERROR(INDEX(Motor!$F$61:$CP$301,$A49+1,($D$5-1)*15+14),0)</f>
        <v>181895.301872821</v>
      </c>
    </row>
    <row r="50" customFormat="false" ht="12" hidden="false" customHeight="true" outlineLevel="0" collapsed="false">
      <c r="A50" s="55" t="n">
        <v>41</v>
      </c>
      <c r="B50" s="99" t="n">
        <f aca="false">EDATE(DATA_INICIO,$A50)</f>
        <v>47506</v>
      </c>
      <c r="C50" s="100" t="n">
        <f aca="false">IFERROR(INDEX(Motor!$F$61:$CP$301,$A50+1,($D$5-1)*15+1),0)</f>
        <v>217411.752068601</v>
      </c>
      <c r="D50" s="100" t="n">
        <f aca="false">IFERROR(INDEX(Motor!$F$61:$CP$301,$A50+1,($D$5-1)*15+4),0)</f>
        <v>2062.97509692386</v>
      </c>
      <c r="E50" s="100" t="n">
        <f aca="false">IFERROR(INDEX(Motor!$F$61:$CP$301,$A50+1,($D$5-1)*15+2),0)</f>
        <v>0</v>
      </c>
      <c r="F50" s="100" t="n">
        <f aca="false">IFERROR(INDEX(Motor!$F$61:$CP$301,$A50+1,($D$5-1)*15+3)+INDEX(Motor!$F$61:$CP$301,$A50+1,($D$5-1)*15+5)+INDEX(Motor!$F$61:$CP$301,$A50+1,($D$5-1)*15+6),0)</f>
        <v>36.2352920114335</v>
      </c>
      <c r="G50" s="100" t="n">
        <f aca="false">IFERROR(INDEX(Motor!$F$61:$CP$301,$A50+1,($D$5-1)*15+7),0)</f>
        <v>0</v>
      </c>
      <c r="H50" s="101" t="n">
        <f aca="false">IFERROR(INDEX(Motor!$F$61:$CP$301,$A50+1,($D$5-1)*15+8),0)</f>
        <v>219438.491873513</v>
      </c>
      <c r="I50" s="100" t="n">
        <f aca="false">IFERROR(INDEX(Motor!$F$61:$CP$301,$A50+1,($D$5-1)*15+12),0)</f>
        <v>10415.773781027</v>
      </c>
      <c r="J50" s="102" t="n">
        <f aca="false">IFERROR(INDEX(Motor!$F$61:$CP$301,$A50+1,($D$5-1)*15+13),0)</f>
        <v>209022.718092486</v>
      </c>
      <c r="K50" s="100" t="n">
        <f aca="false">IFERROR(INDEX(Motor!$F$61:$CP$301,$A50+1,($D$5-1)*15+14),0)</f>
        <v>182808.442405457</v>
      </c>
    </row>
    <row r="51" customFormat="false" ht="12" hidden="false" customHeight="true" outlineLevel="0" collapsed="false">
      <c r="A51" s="55" t="n">
        <v>42</v>
      </c>
      <c r="B51" s="99" t="n">
        <f aca="false">EDATE(DATA_INICIO,$A51)</f>
        <v>47537</v>
      </c>
      <c r="C51" s="100" t="n">
        <f aca="false">IFERROR(INDEX(Motor!$F$61:$CP$301,$A51+1,($D$5-1)*15+1),0)</f>
        <v>219438.491873513</v>
      </c>
      <c r="D51" s="100" t="n">
        <f aca="false">IFERROR(INDEX(Motor!$F$61:$CP$301,$A51+1,($D$5-1)*15+4),0)</f>
        <v>2082.20641126495</v>
      </c>
      <c r="E51" s="100" t="n">
        <f aca="false">IFERROR(INDEX(Motor!$F$61:$CP$301,$A51+1,($D$5-1)*15+2),0)</f>
        <v>0</v>
      </c>
      <c r="F51" s="100" t="n">
        <f aca="false">IFERROR(INDEX(Motor!$F$61:$CP$301,$A51+1,($D$5-1)*15+3)+INDEX(Motor!$F$61:$CP$301,$A51+1,($D$5-1)*15+5)+INDEX(Motor!$F$61:$CP$301,$A51+1,($D$5-1)*15+6),0)</f>
        <v>36.5730819789189</v>
      </c>
      <c r="G51" s="100" t="n">
        <f aca="false">IFERROR(INDEX(Motor!$F$61:$CP$301,$A51+1,($D$5-1)*15+7),0)</f>
        <v>0</v>
      </c>
      <c r="H51" s="101" t="n">
        <f aca="false">IFERROR(INDEX(Motor!$F$61:$CP$301,$A51+1,($D$5-1)*15+8),0)</f>
        <v>221484.125202799</v>
      </c>
      <c r="I51" s="100" t="n">
        <f aca="false">IFERROR(INDEX(Motor!$F$61:$CP$301,$A51+1,($D$5-1)*15+12),0)</f>
        <v>10722.6187804199</v>
      </c>
      <c r="J51" s="102" t="n">
        <f aca="false">IFERROR(INDEX(Motor!$F$61:$CP$301,$A51+1,($D$5-1)*15+13),0)</f>
        <v>210761.506422379</v>
      </c>
      <c r="K51" s="100" t="n">
        <f aca="false">IFERROR(INDEX(Motor!$F$61:$CP$301,$A51+1,($D$5-1)*15+14),0)</f>
        <v>183727.68652681</v>
      </c>
    </row>
    <row r="52" customFormat="false" ht="12" hidden="false" customHeight="true" outlineLevel="0" collapsed="false">
      <c r="A52" s="55" t="n">
        <v>43</v>
      </c>
      <c r="B52" s="99" t="n">
        <f aca="false">EDATE(DATA_INICIO,$A52)</f>
        <v>47565</v>
      </c>
      <c r="C52" s="100" t="n">
        <f aca="false">IFERROR(INDEX(Motor!$F$61:$CP$301,$A52+1,($D$5-1)*15+1),0)</f>
        <v>221484.125202799</v>
      </c>
      <c r="D52" s="100" t="n">
        <f aca="false">IFERROR(INDEX(Motor!$F$61:$CP$301,$A52+1,($D$5-1)*15+4),0)</f>
        <v>2101.61700234663</v>
      </c>
      <c r="E52" s="100" t="n">
        <f aca="false">IFERROR(INDEX(Motor!$F$61:$CP$301,$A52+1,($D$5-1)*15+2),0)</f>
        <v>0</v>
      </c>
      <c r="F52" s="100" t="n">
        <f aca="false">IFERROR(INDEX(Motor!$F$61:$CP$301,$A52+1,($D$5-1)*15+3)+INDEX(Motor!$F$61:$CP$301,$A52+1,($D$5-1)*15+5)+INDEX(Motor!$F$61:$CP$301,$A52+1,($D$5-1)*15+6),0)</f>
        <v>36.9140208671332</v>
      </c>
      <c r="G52" s="100" t="n">
        <f aca="false">IFERROR(INDEX(Motor!$F$61:$CP$301,$A52+1,($D$5-1)*15+7),0)</f>
        <v>0</v>
      </c>
      <c r="H52" s="101" t="n">
        <f aca="false">IFERROR(INDEX(Motor!$F$61:$CP$301,$A52+1,($D$5-1)*15+8),0)</f>
        <v>223548.828184279</v>
      </c>
      <c r="I52" s="100" t="n">
        <f aca="false">IFERROR(INDEX(Motor!$F$61:$CP$301,$A52+1,($D$5-1)*15+12),0)</f>
        <v>11032.3242276418</v>
      </c>
      <c r="J52" s="102" t="n">
        <f aca="false">IFERROR(INDEX(Motor!$F$61:$CP$301,$A52+1,($D$5-1)*15+13),0)</f>
        <v>212516.503956637</v>
      </c>
      <c r="K52" s="100" t="n">
        <f aca="false">IFERROR(INDEX(Motor!$F$61:$CP$301,$A52+1,($D$5-1)*15+14),0)</f>
        <v>184653.069080066</v>
      </c>
    </row>
    <row r="53" customFormat="false" ht="12" hidden="false" customHeight="true" outlineLevel="0" collapsed="false">
      <c r="A53" s="55" t="n">
        <v>44</v>
      </c>
      <c r="B53" s="99" t="n">
        <f aca="false">EDATE(DATA_INICIO,$A53)</f>
        <v>47596</v>
      </c>
      <c r="C53" s="100" t="n">
        <f aca="false">IFERROR(INDEX(Motor!$F$61:$CP$301,$A53+1,($D$5-1)*15+1),0)</f>
        <v>223548.828184279</v>
      </c>
      <c r="D53" s="100" t="n">
        <f aca="false">IFERROR(INDEX(Motor!$F$61:$CP$301,$A53+1,($D$5-1)*15+4),0)</f>
        <v>2121.2085414093</v>
      </c>
      <c r="E53" s="100" t="n">
        <f aca="false">IFERROR(INDEX(Motor!$F$61:$CP$301,$A53+1,($D$5-1)*15+2),0)</f>
        <v>0</v>
      </c>
      <c r="F53" s="100" t="n">
        <f aca="false">IFERROR(INDEX(Motor!$F$61:$CP$301,$A53+1,($D$5-1)*15+3)+INDEX(Motor!$F$61:$CP$301,$A53+1,($D$5-1)*15+5)+INDEX(Motor!$F$61:$CP$301,$A53+1,($D$5-1)*15+6),0)</f>
        <v>37.2581380307131</v>
      </c>
      <c r="G53" s="100" t="n">
        <f aca="false">IFERROR(INDEX(Motor!$F$61:$CP$301,$A53+1,($D$5-1)*15+7),0)</f>
        <v>0</v>
      </c>
      <c r="H53" s="101" t="n">
        <f aca="false">IFERROR(INDEX(Motor!$F$61:$CP$301,$A53+1,($D$5-1)*15+8),0)</f>
        <v>225632.778587657</v>
      </c>
      <c r="I53" s="100" t="n">
        <f aca="false">IFERROR(INDEX(Motor!$F$61:$CP$301,$A53+1,($D$5-1)*15+12),0)</f>
        <v>11344.9167881486</v>
      </c>
      <c r="J53" s="102" t="n">
        <f aca="false">IFERROR(INDEX(Motor!$F$61:$CP$301,$A53+1,($D$5-1)*15+13),0)</f>
        <v>214287.861799509</v>
      </c>
      <c r="K53" s="100" t="n">
        <f aca="false">IFERROR(INDEX(Motor!$F$61:$CP$301,$A53+1,($D$5-1)*15+14),0)</f>
        <v>185584.625124845</v>
      </c>
    </row>
    <row r="54" customFormat="false" ht="12" hidden="false" customHeight="true" outlineLevel="0" collapsed="false">
      <c r="A54" s="55" t="n">
        <v>45</v>
      </c>
      <c r="B54" s="99" t="n">
        <f aca="false">EDATE(DATA_INICIO,$A54)</f>
        <v>47626</v>
      </c>
      <c r="C54" s="100" t="n">
        <f aca="false">IFERROR(INDEX(Motor!$F$61:$CP$301,$A54+1,($D$5-1)*15+1),0)</f>
        <v>225632.778587657</v>
      </c>
      <c r="D54" s="100" t="n">
        <f aca="false">IFERROR(INDEX(Motor!$F$61:$CP$301,$A54+1,($D$5-1)*15+4),0)</f>
        <v>2140.98271527291</v>
      </c>
      <c r="E54" s="100" t="n">
        <f aca="false">IFERROR(INDEX(Motor!$F$61:$CP$301,$A54+1,($D$5-1)*15+2),0)</f>
        <v>0</v>
      </c>
      <c r="F54" s="100" t="n">
        <f aca="false">IFERROR(INDEX(Motor!$F$61:$CP$301,$A54+1,($D$5-1)*15+3)+INDEX(Motor!$F$61:$CP$301,$A54+1,($D$5-1)*15+5)+INDEX(Motor!$F$61:$CP$301,$A54+1,($D$5-1)*15+6),0)</f>
        <v>37.6054630979429</v>
      </c>
      <c r="G54" s="100" t="n">
        <f aca="false">IFERROR(INDEX(Motor!$F$61:$CP$301,$A54+1,($D$5-1)*15+7),0)</f>
        <v>0</v>
      </c>
      <c r="H54" s="101" t="n">
        <f aca="false">IFERROR(INDEX(Motor!$F$61:$CP$301,$A54+1,($D$5-1)*15+8),0)</f>
        <v>227736.155839832</v>
      </c>
      <c r="I54" s="100" t="n">
        <f aca="false">IFERROR(INDEX(Motor!$F$61:$CP$301,$A54+1,($D$5-1)*15+12),0)</f>
        <v>11660.4233759749</v>
      </c>
      <c r="J54" s="102" t="n">
        <f aca="false">IFERROR(INDEX(Motor!$F$61:$CP$301,$A54+1,($D$5-1)*15+13),0)</f>
        <v>216075.732463858</v>
      </c>
      <c r="K54" s="100" t="n">
        <f aca="false">IFERROR(INDEX(Motor!$F$61:$CP$301,$A54+1,($D$5-1)*15+14),0)</f>
        <v>186522.389938481</v>
      </c>
    </row>
    <row r="55" customFormat="false" ht="12" hidden="false" customHeight="true" outlineLevel="0" collapsed="false">
      <c r="A55" s="55" t="n">
        <v>46</v>
      </c>
      <c r="B55" s="99" t="n">
        <f aca="false">EDATE(DATA_INICIO,$A55)</f>
        <v>47657</v>
      </c>
      <c r="C55" s="100" t="n">
        <f aca="false">IFERROR(INDEX(Motor!$F$61:$CP$301,$A55+1,($D$5-1)*15+1),0)</f>
        <v>227736.155839832</v>
      </c>
      <c r="D55" s="100" t="n">
        <f aca="false">IFERROR(INDEX(Motor!$F$61:$CP$301,$A55+1,($D$5-1)*15+4),0)</f>
        <v>2160.94122648211</v>
      </c>
      <c r="E55" s="100" t="n">
        <f aca="false">IFERROR(INDEX(Motor!$F$61:$CP$301,$A55+1,($D$5-1)*15+2),0)</f>
        <v>0</v>
      </c>
      <c r="F55" s="100" t="n">
        <f aca="false">IFERROR(INDEX(Motor!$F$61:$CP$301,$A55+1,($D$5-1)*15+3)+INDEX(Motor!$F$61:$CP$301,$A55+1,($D$5-1)*15+5)+INDEX(Motor!$F$61:$CP$301,$A55+1,($D$5-1)*15+6),0)</f>
        <v>37.9560259733054</v>
      </c>
      <c r="G55" s="100" t="n">
        <f aca="false">IFERROR(INDEX(Motor!$F$61:$CP$301,$A55+1,($D$5-1)*15+7),0)</f>
        <v>0</v>
      </c>
      <c r="H55" s="101" t="n">
        <f aca="false">IFERROR(INDEX(Motor!$F$61:$CP$301,$A55+1,($D$5-1)*15+8),0)</f>
        <v>229859.141040341</v>
      </c>
      <c r="I55" s="100" t="n">
        <f aca="false">IFERROR(INDEX(Motor!$F$61:$CP$301,$A55+1,($D$5-1)*15+12),0)</f>
        <v>11978.8711560512</v>
      </c>
      <c r="J55" s="102" t="n">
        <f aca="false">IFERROR(INDEX(Motor!$F$61:$CP$301,$A55+1,($D$5-1)*15+13),0)</f>
        <v>217880.26988429</v>
      </c>
      <c r="K55" s="100" t="n">
        <f aca="false">IFERROR(INDEX(Motor!$F$61:$CP$301,$A55+1,($D$5-1)*15+14),0)</f>
        <v>187466.399017315</v>
      </c>
    </row>
    <row r="56" customFormat="false" ht="12" hidden="false" customHeight="true" outlineLevel="0" collapsed="false">
      <c r="A56" s="55" t="n">
        <v>47</v>
      </c>
      <c r="B56" s="99" t="n">
        <f aca="false">EDATE(DATA_INICIO,$A56)</f>
        <v>47687</v>
      </c>
      <c r="C56" s="100" t="n">
        <f aca="false">IFERROR(INDEX(Motor!$F$61:$CP$301,$A56+1,($D$5-1)*15+1),0)</f>
        <v>229859.141040341</v>
      </c>
      <c r="D56" s="100" t="n">
        <f aca="false">IFERROR(INDEX(Motor!$F$61:$CP$301,$A56+1,($D$5-1)*15+4),0)</f>
        <v>2181.08579345292</v>
      </c>
      <c r="E56" s="100" t="n">
        <f aca="false">IFERROR(INDEX(Motor!$F$61:$CP$301,$A56+1,($D$5-1)*15+2),0)</f>
        <v>0</v>
      </c>
      <c r="F56" s="100" t="n">
        <f aca="false">IFERROR(INDEX(Motor!$F$61:$CP$301,$A56+1,($D$5-1)*15+3)+INDEX(Motor!$F$61:$CP$301,$A56+1,($D$5-1)*15+5)+INDEX(Motor!$F$61:$CP$301,$A56+1,($D$5-1)*15+6),0)</f>
        <v>38.3098568400569</v>
      </c>
      <c r="G56" s="100" t="n">
        <f aca="false">IFERROR(INDEX(Motor!$F$61:$CP$301,$A56+1,($D$5-1)*15+7),0)</f>
        <v>0</v>
      </c>
      <c r="H56" s="101" t="n">
        <f aca="false">IFERROR(INDEX(Motor!$F$61:$CP$301,$A56+1,($D$5-1)*15+8),0)</f>
        <v>232001.916976954</v>
      </c>
      <c r="I56" s="100" t="n">
        <f aca="false">IFERROR(INDEX(Motor!$F$61:$CP$301,$A56+1,($D$5-1)*15+12),0)</f>
        <v>12300.2875465431</v>
      </c>
      <c r="J56" s="102" t="n">
        <f aca="false">IFERROR(INDEX(Motor!$F$61:$CP$301,$A56+1,($D$5-1)*15+13),0)</f>
        <v>219701.629430411</v>
      </c>
      <c r="K56" s="100" t="n">
        <f aca="false">IFERROR(INDEX(Motor!$F$61:$CP$301,$A56+1,($D$5-1)*15+14),0)</f>
        <v>188416.688077994</v>
      </c>
    </row>
    <row r="57" customFormat="false" ht="12" hidden="false" customHeight="true" outlineLevel="0" collapsed="false">
      <c r="A57" s="55" t="n">
        <v>48</v>
      </c>
      <c r="B57" s="99" t="n">
        <f aca="false">EDATE(DATA_INICIO,$A57)</f>
        <v>47718</v>
      </c>
      <c r="C57" s="100" t="n">
        <f aca="false">IFERROR(INDEX(Motor!$F$61:$CP$301,$A57+1,($D$5-1)*15+1),0)</f>
        <v>232001.916976954</v>
      </c>
      <c r="D57" s="100" t="n">
        <f aca="false">IFERROR(INDEX(Motor!$F$61:$CP$301,$A57+1,($D$5-1)*15+4),0)</f>
        <v>2201.41815062064</v>
      </c>
      <c r="E57" s="100" t="n">
        <f aca="false">IFERROR(INDEX(Motor!$F$61:$CP$301,$A57+1,($D$5-1)*15+2),0)</f>
        <v>0</v>
      </c>
      <c r="F57" s="100" t="n">
        <f aca="false">IFERROR(INDEX(Motor!$F$61:$CP$301,$A57+1,($D$5-1)*15+3)+INDEX(Motor!$F$61:$CP$301,$A57+1,($D$5-1)*15+5)+INDEX(Motor!$F$61:$CP$301,$A57+1,($D$5-1)*15+6),0)</f>
        <v>38.6669861628257</v>
      </c>
      <c r="G57" s="100" t="n">
        <f aca="false">IFERROR(INDEX(Motor!$F$61:$CP$301,$A57+1,($D$5-1)*15+7),0)</f>
        <v>0</v>
      </c>
      <c r="H57" s="101" t="n">
        <f aca="false">IFERROR(INDEX(Motor!$F$61:$CP$301,$A57+1,($D$5-1)*15+8),0)</f>
        <v>234164.668141412</v>
      </c>
      <c r="I57" s="100" t="n">
        <f aca="false">IFERROR(INDEX(Motor!$F$61:$CP$301,$A57+1,($D$5-1)*15+12),0)</f>
        <v>12624.7002212118</v>
      </c>
      <c r="J57" s="102" t="n">
        <f aca="false">IFERROR(INDEX(Motor!$F$61:$CP$301,$A57+1,($D$5-1)*15+13),0)</f>
        <v>221539.9679202</v>
      </c>
      <c r="K57" s="100" t="n">
        <f aca="false">IFERROR(INDEX(Motor!$F$61:$CP$301,$A57+1,($D$5-1)*15+14),0)</f>
        <v>189373.293058778</v>
      </c>
    </row>
    <row r="58" customFormat="false" ht="12" hidden="false" customHeight="true" outlineLevel="0" collapsed="false">
      <c r="A58" s="55" t="n">
        <v>49</v>
      </c>
      <c r="B58" s="99" t="n">
        <f aca="false">EDATE(DATA_INICIO,$A58)</f>
        <v>47749</v>
      </c>
      <c r="C58" s="100" t="n">
        <f aca="false">IFERROR(INDEX(Motor!$F$61:$CP$301,$A58+1,($D$5-1)*15+1),0)</f>
        <v>234164.668141412</v>
      </c>
      <c r="D58" s="100" t="n">
        <f aca="false">IFERROR(INDEX(Motor!$F$61:$CP$301,$A58+1,($D$5-1)*15+4),0)</f>
        <v>2221.94004858921</v>
      </c>
      <c r="E58" s="100" t="n">
        <f aca="false">IFERROR(INDEX(Motor!$F$61:$CP$301,$A58+1,($D$5-1)*15+2),0)</f>
        <v>0</v>
      </c>
      <c r="F58" s="100" t="n">
        <f aca="false">IFERROR(INDEX(Motor!$F$61:$CP$301,$A58+1,($D$5-1)*15+3)+INDEX(Motor!$F$61:$CP$301,$A58+1,($D$5-1)*15+5)+INDEX(Motor!$F$61:$CP$301,$A58+1,($D$5-1)*15+6),0)</f>
        <v>39.0274446902353</v>
      </c>
      <c r="G58" s="100" t="n">
        <f aca="false">IFERROR(INDEX(Motor!$F$61:$CP$301,$A58+1,($D$5-1)*15+7),0)</f>
        <v>0</v>
      </c>
      <c r="H58" s="101" t="n">
        <f aca="false">IFERROR(INDEX(Motor!$F$61:$CP$301,$A58+1,($D$5-1)*15+8),0)</f>
        <v>236347.580745311</v>
      </c>
      <c r="I58" s="100" t="n">
        <f aca="false">IFERROR(INDEX(Motor!$F$61:$CP$301,$A58+1,($D$5-1)*15+12),0)</f>
        <v>12952.1371117966</v>
      </c>
      <c r="J58" s="102" t="n">
        <f aca="false">IFERROR(INDEX(Motor!$F$61:$CP$301,$A58+1,($D$5-1)*15+13),0)</f>
        <v>223395.443633514</v>
      </c>
      <c r="K58" s="100" t="n">
        <f aca="false">IFERROR(INDEX(Motor!$F$61:$CP$301,$A58+1,($D$5-1)*15+14),0)</f>
        <v>190336.250120858</v>
      </c>
    </row>
    <row r="59" customFormat="false" ht="12" hidden="false" customHeight="true" outlineLevel="0" collapsed="false">
      <c r="A59" s="55" t="n">
        <v>50</v>
      </c>
      <c r="B59" s="99" t="n">
        <f aca="false">EDATE(DATA_INICIO,$A59)</f>
        <v>47779</v>
      </c>
      <c r="C59" s="100" t="n">
        <f aca="false">IFERROR(INDEX(Motor!$F$61:$CP$301,$A59+1,($D$5-1)*15+1),0)</f>
        <v>236347.580745311</v>
      </c>
      <c r="D59" s="100" t="n">
        <f aca="false">IFERROR(INDEX(Motor!$F$61:$CP$301,$A59+1,($D$5-1)*15+4),0)</f>
        <v>2242.6532542819</v>
      </c>
      <c r="E59" s="100" t="n">
        <f aca="false">IFERROR(INDEX(Motor!$F$61:$CP$301,$A59+1,($D$5-1)*15+2),0)</f>
        <v>0</v>
      </c>
      <c r="F59" s="100" t="n">
        <f aca="false">IFERROR(INDEX(Motor!$F$61:$CP$301,$A59+1,($D$5-1)*15+3)+INDEX(Motor!$F$61:$CP$301,$A59+1,($D$5-1)*15+5)+INDEX(Motor!$F$61:$CP$301,$A59+1,($D$5-1)*15+6),0)</f>
        <v>39.3912634575518</v>
      </c>
      <c r="G59" s="100" t="n">
        <f aca="false">IFERROR(INDEX(Motor!$F$61:$CP$301,$A59+1,($D$5-1)*15+7),0)</f>
        <v>0</v>
      </c>
      <c r="H59" s="101" t="n">
        <f aca="false">IFERROR(INDEX(Motor!$F$61:$CP$301,$A59+1,($D$5-1)*15+8),0)</f>
        <v>238550.842736135</v>
      </c>
      <c r="I59" s="100" t="n">
        <f aca="false">IFERROR(INDEX(Motor!$F$61:$CP$301,$A59+1,($D$5-1)*15+12),0)</f>
        <v>13282.6264104203</v>
      </c>
      <c r="J59" s="102" t="n">
        <f aca="false">IFERROR(INDEX(Motor!$F$61:$CP$301,$A59+1,($D$5-1)*15+13),0)</f>
        <v>225268.216325715</v>
      </c>
      <c r="K59" s="100" t="n">
        <f aca="false">IFERROR(INDEX(Motor!$F$61:$CP$301,$A59+1,($D$5-1)*15+14),0)</f>
        <v>191305.595649676</v>
      </c>
    </row>
    <row r="60" customFormat="false" ht="12" hidden="false" customHeight="true" outlineLevel="0" collapsed="false">
      <c r="A60" s="55" t="n">
        <v>51</v>
      </c>
      <c r="B60" s="99" t="n">
        <f aca="false">EDATE(DATA_INICIO,$A60)</f>
        <v>47810</v>
      </c>
      <c r="C60" s="100" t="n">
        <f aca="false">IFERROR(INDEX(Motor!$F$61:$CP$301,$A60+1,($D$5-1)*15+1),0)</f>
        <v>238550.842736135</v>
      </c>
      <c r="D60" s="100" t="n">
        <f aca="false">IFERROR(INDEX(Motor!$F$61:$CP$301,$A60+1,($D$5-1)*15+4),0)</f>
        <v>2263.55955109347</v>
      </c>
      <c r="E60" s="100" t="n">
        <f aca="false">IFERROR(INDEX(Motor!$F$61:$CP$301,$A60+1,($D$5-1)*15+2),0)</f>
        <v>0</v>
      </c>
      <c r="F60" s="100" t="n">
        <f aca="false">IFERROR(INDEX(Motor!$F$61:$CP$301,$A60+1,($D$5-1)*15+3)+INDEX(Motor!$F$61:$CP$301,$A60+1,($D$5-1)*15+5)+INDEX(Motor!$F$61:$CP$301,$A60+1,($D$5-1)*15+6),0)</f>
        <v>39.7584737893559</v>
      </c>
      <c r="G60" s="100" t="n">
        <f aca="false">IFERROR(INDEX(Motor!$F$61:$CP$301,$A60+1,($D$5-1)*15+7),0)</f>
        <v>0</v>
      </c>
      <c r="H60" s="101" t="n">
        <f aca="false">IFERROR(INDEX(Motor!$F$61:$CP$301,$A60+1,($D$5-1)*15+8),0)</f>
        <v>240774.643813439</v>
      </c>
      <c r="I60" s="100" t="n">
        <f aca="false">IFERROR(INDEX(Motor!$F$61:$CP$301,$A60+1,($D$5-1)*15+12),0)</f>
        <v>13616.1965720159</v>
      </c>
      <c r="J60" s="102" t="n">
        <f aca="false">IFERROR(INDEX(Motor!$F$61:$CP$301,$A60+1,($D$5-1)*15+13),0)</f>
        <v>227158.447241423</v>
      </c>
      <c r="K60" s="100" t="n">
        <f aca="false">IFERROR(INDEX(Motor!$F$61:$CP$301,$A60+1,($D$5-1)*15+14),0)</f>
        <v>192281.36625626</v>
      </c>
    </row>
    <row r="61" customFormat="false" ht="12" hidden="false" customHeight="true" outlineLevel="0" collapsed="false">
      <c r="A61" s="55" t="n">
        <v>52</v>
      </c>
      <c r="B61" s="99" t="n">
        <f aca="false">EDATE(DATA_INICIO,$A61)</f>
        <v>47840</v>
      </c>
      <c r="C61" s="100" t="n">
        <f aca="false">IFERROR(INDEX(Motor!$F$61:$CP$301,$A61+1,($D$5-1)*15+1),0)</f>
        <v>240774.643813439</v>
      </c>
      <c r="D61" s="100" t="n">
        <f aca="false">IFERROR(INDEX(Motor!$F$61:$CP$301,$A61+1,($D$5-1)*15+4),0)</f>
        <v>2284.66073904371</v>
      </c>
      <c r="E61" s="100" t="n">
        <f aca="false">IFERROR(INDEX(Motor!$F$61:$CP$301,$A61+1,($D$5-1)*15+2),0)</f>
        <v>0</v>
      </c>
      <c r="F61" s="100" t="n">
        <f aca="false">IFERROR(INDEX(Motor!$F$61:$CP$301,$A61+1,($D$5-1)*15+3)+INDEX(Motor!$F$61:$CP$301,$A61+1,($D$5-1)*15+5)+INDEX(Motor!$F$61:$CP$301,$A61+1,($D$5-1)*15+6),0)</f>
        <v>40.1291073022399</v>
      </c>
      <c r="G61" s="100" t="n">
        <f aca="false">IFERROR(INDEX(Motor!$F$61:$CP$301,$A61+1,($D$5-1)*15+7),0)</f>
        <v>0</v>
      </c>
      <c r="H61" s="101" t="n">
        <f aca="false">IFERROR(INDEX(Motor!$F$61:$CP$301,$A61+1,($D$5-1)*15+8),0)</f>
        <v>243019.175445181</v>
      </c>
      <c r="I61" s="100" t="n">
        <f aca="false">IFERROR(INDEX(Motor!$F$61:$CP$301,$A61+1,($D$5-1)*15+12),0)</f>
        <v>13952.8763167771</v>
      </c>
      <c r="J61" s="102" t="n">
        <f aca="false">IFERROR(INDEX(Motor!$F$61:$CP$301,$A61+1,($D$5-1)*15+13),0)</f>
        <v>229066.299128404</v>
      </c>
      <c r="K61" s="100" t="n">
        <f aca="false">IFERROR(INDEX(Motor!$F$61:$CP$301,$A61+1,($D$5-1)*15+14),0)</f>
        <v>193263.598778561</v>
      </c>
    </row>
    <row r="62" customFormat="false" ht="12" hidden="false" customHeight="true" outlineLevel="0" collapsed="false">
      <c r="A62" s="55" t="n">
        <v>53</v>
      </c>
      <c r="B62" s="99" t="n">
        <f aca="false">EDATE(DATA_INICIO,$A62)</f>
        <v>47871</v>
      </c>
      <c r="C62" s="100" t="n">
        <f aca="false">IFERROR(INDEX(Motor!$F$61:$CP$301,$A62+1,($D$5-1)*15+1),0)</f>
        <v>243019.175445181</v>
      </c>
      <c r="D62" s="100" t="n">
        <f aca="false">IFERROR(INDEX(Motor!$F$61:$CP$301,$A62+1,($D$5-1)*15+4),0)</f>
        <v>2305.95863493243</v>
      </c>
      <c r="E62" s="100" t="n">
        <f aca="false">IFERROR(INDEX(Motor!$F$61:$CP$301,$A62+1,($D$5-1)*15+2),0)</f>
        <v>0</v>
      </c>
      <c r="F62" s="100" t="n">
        <f aca="false">IFERROR(INDEX(Motor!$F$61:$CP$301,$A62+1,($D$5-1)*15+3)+INDEX(Motor!$F$61:$CP$301,$A62+1,($D$5-1)*15+5)+INDEX(Motor!$F$61:$CP$301,$A62+1,($D$5-1)*15+6),0)</f>
        <v>40.5031959075301</v>
      </c>
      <c r="G62" s="100" t="n">
        <f aca="false">IFERROR(INDEX(Motor!$F$61:$CP$301,$A62+1,($D$5-1)*15+7),0)</f>
        <v>0</v>
      </c>
      <c r="H62" s="101" t="n">
        <f aca="false">IFERROR(INDEX(Motor!$F$61:$CP$301,$A62+1,($D$5-1)*15+8),0)</f>
        <v>245284.630884206</v>
      </c>
      <c r="I62" s="100" t="n">
        <f aca="false">IFERROR(INDEX(Motor!$F$61:$CP$301,$A62+1,($D$5-1)*15+12),0)</f>
        <v>14292.6946326309</v>
      </c>
      <c r="J62" s="102" t="n">
        <f aca="false">IFERROR(INDEX(Motor!$F$61:$CP$301,$A62+1,($D$5-1)*15+13),0)</f>
        <v>230991.936251575</v>
      </c>
      <c r="K62" s="100" t="n">
        <f aca="false">IFERROR(INDEX(Motor!$F$61:$CP$301,$A62+1,($D$5-1)*15+14),0)</f>
        <v>194252.330282802</v>
      </c>
    </row>
    <row r="63" customFormat="false" ht="12" hidden="false" customHeight="true" outlineLevel="0" collapsed="false">
      <c r="A63" s="55" t="n">
        <v>54</v>
      </c>
      <c r="B63" s="99" t="n">
        <f aca="false">EDATE(DATA_INICIO,$A63)</f>
        <v>47902</v>
      </c>
      <c r="C63" s="100" t="n">
        <f aca="false">IFERROR(INDEX(Motor!$F$61:$CP$301,$A63+1,($D$5-1)*15+1),0)</f>
        <v>245284.630884206</v>
      </c>
      <c r="D63" s="100" t="n">
        <f aca="false">IFERROR(INDEX(Motor!$F$61:$CP$301,$A63+1,($D$5-1)*15+4),0)</f>
        <v>2327.45507249586</v>
      </c>
      <c r="E63" s="100" t="n">
        <f aca="false">IFERROR(INDEX(Motor!$F$61:$CP$301,$A63+1,($D$5-1)*15+2),0)</f>
        <v>0</v>
      </c>
      <c r="F63" s="100" t="n">
        <f aca="false">IFERROR(INDEX(Motor!$F$61:$CP$301,$A63+1,($D$5-1)*15+3)+INDEX(Motor!$F$61:$CP$301,$A63+1,($D$5-1)*15+5)+INDEX(Motor!$F$61:$CP$301,$A63+1,($D$5-1)*15+6),0)</f>
        <v>40.8807718140343</v>
      </c>
      <c r="G63" s="100" t="n">
        <f aca="false">IFERROR(INDEX(Motor!$F$61:$CP$301,$A63+1,($D$5-1)*15+7),0)</f>
        <v>0</v>
      </c>
      <c r="H63" s="101" t="n">
        <f aca="false">IFERROR(INDEX(Motor!$F$61:$CP$301,$A63+1,($D$5-1)*15+8),0)</f>
        <v>247571.205184888</v>
      </c>
      <c r="I63" s="100" t="n">
        <f aca="false">IFERROR(INDEX(Motor!$F$61:$CP$301,$A63+1,($D$5-1)*15+12),0)</f>
        <v>14635.6807777331</v>
      </c>
      <c r="J63" s="102" t="n">
        <f aca="false">IFERROR(INDEX(Motor!$F$61:$CP$301,$A63+1,($D$5-1)*15+13),0)</f>
        <v>232935.524407154</v>
      </c>
      <c r="K63" s="100" t="n">
        <f aca="false">IFERROR(INDEX(Motor!$F$61:$CP$301,$A63+1,($D$5-1)*15+14),0)</f>
        <v>195247.598064835</v>
      </c>
    </row>
    <row r="64" customFormat="false" ht="12" hidden="false" customHeight="true" outlineLevel="0" collapsed="false">
      <c r="A64" s="55" t="n">
        <v>55</v>
      </c>
      <c r="B64" s="99" t="n">
        <f aca="false">EDATE(DATA_INICIO,$A64)</f>
        <v>47930</v>
      </c>
      <c r="C64" s="100" t="n">
        <f aca="false">IFERROR(INDEX(Motor!$F$61:$CP$301,$A64+1,($D$5-1)*15+1),0)</f>
        <v>247571.205184888</v>
      </c>
      <c r="D64" s="100" t="n">
        <f aca="false">IFERROR(INDEX(Motor!$F$61:$CP$301,$A64+1,($D$5-1)*15+4),0)</f>
        <v>2349.15190256457</v>
      </c>
      <c r="E64" s="100" t="n">
        <f aca="false">IFERROR(INDEX(Motor!$F$61:$CP$301,$A64+1,($D$5-1)*15+2),0)</f>
        <v>0</v>
      </c>
      <c r="F64" s="100" t="n">
        <f aca="false">IFERROR(INDEX(Motor!$F$61:$CP$301,$A64+1,($D$5-1)*15+3)+INDEX(Motor!$F$61:$CP$301,$A64+1,($D$5-1)*15+5)+INDEX(Motor!$F$61:$CP$301,$A64+1,($D$5-1)*15+6),0)</f>
        <v>41.2618675308146</v>
      </c>
      <c r="G64" s="100" t="n">
        <f aca="false">IFERROR(INDEX(Motor!$F$61:$CP$301,$A64+1,($D$5-1)*15+7),0)</f>
        <v>0</v>
      </c>
      <c r="H64" s="101" t="n">
        <f aca="false">IFERROR(INDEX(Motor!$F$61:$CP$301,$A64+1,($D$5-1)*15+8),0)</f>
        <v>249879.095219921</v>
      </c>
      <c r="I64" s="100" t="n">
        <f aca="false">IFERROR(INDEX(Motor!$F$61:$CP$301,$A64+1,($D$5-1)*15+12),0)</f>
        <v>14981.8642829882</v>
      </c>
      <c r="J64" s="102" t="n">
        <f aca="false">IFERROR(INDEX(Motor!$F$61:$CP$301,$A64+1,($D$5-1)*15+13),0)</f>
        <v>234897.230936933</v>
      </c>
      <c r="K64" s="100" t="n">
        <f aca="false">IFERROR(INDEX(Motor!$F$61:$CP$301,$A64+1,($D$5-1)*15+14),0)</f>
        <v>196249.439651502</v>
      </c>
    </row>
    <row r="65" customFormat="false" ht="12" hidden="false" customHeight="true" outlineLevel="0" collapsed="false">
      <c r="A65" s="55" t="n">
        <v>56</v>
      </c>
      <c r="B65" s="99" t="n">
        <f aca="false">EDATE(DATA_INICIO,$A65)</f>
        <v>47961</v>
      </c>
      <c r="C65" s="100" t="n">
        <f aca="false">IFERROR(INDEX(Motor!$F$61:$CP$301,$A65+1,($D$5-1)*15+1),0)</f>
        <v>249879.095219921</v>
      </c>
      <c r="D65" s="100" t="n">
        <f aca="false">IFERROR(INDEX(Motor!$F$61:$CP$301,$A65+1,($D$5-1)*15+4),0)</f>
        <v>2371.05099322279</v>
      </c>
      <c r="E65" s="100" t="n">
        <f aca="false">IFERROR(INDEX(Motor!$F$61:$CP$301,$A65+1,($D$5-1)*15+2),0)</f>
        <v>0</v>
      </c>
      <c r="F65" s="100" t="n">
        <f aca="false">IFERROR(INDEX(Motor!$F$61:$CP$301,$A65+1,($D$5-1)*15+3)+INDEX(Motor!$F$61:$CP$301,$A65+1,($D$5-1)*15+5)+INDEX(Motor!$F$61:$CP$301,$A65+1,($D$5-1)*15+6),0)</f>
        <v>41.6465158699869</v>
      </c>
      <c r="G65" s="100" t="n">
        <f aca="false">IFERROR(INDEX(Motor!$F$61:$CP$301,$A65+1,($D$5-1)*15+7),0)</f>
        <v>0</v>
      </c>
      <c r="H65" s="101" t="n">
        <f aca="false">IFERROR(INDEX(Motor!$F$61:$CP$301,$A65+1,($D$5-1)*15+8),0)</f>
        <v>252208.499697274</v>
      </c>
      <c r="I65" s="100" t="n">
        <f aca="false">IFERROR(INDEX(Motor!$F$61:$CP$301,$A65+1,($D$5-1)*15+12),0)</f>
        <v>15331.2749545911</v>
      </c>
      <c r="J65" s="102" t="n">
        <f aca="false">IFERROR(INDEX(Motor!$F$61:$CP$301,$A65+1,($D$5-1)*15+13),0)</f>
        <v>236877.224742683</v>
      </c>
      <c r="K65" s="100" t="n">
        <f aca="false">IFERROR(INDEX(Motor!$F$61:$CP$301,$A65+1,($D$5-1)*15+14),0)</f>
        <v>197257.892802011</v>
      </c>
    </row>
    <row r="66" customFormat="false" ht="12" hidden="false" customHeight="true" outlineLevel="0" collapsed="false">
      <c r="A66" s="55" t="n">
        <v>57</v>
      </c>
      <c r="B66" s="99" t="n">
        <f aca="false">EDATE(DATA_INICIO,$A66)</f>
        <v>47991</v>
      </c>
      <c r="C66" s="100" t="n">
        <f aca="false">IFERROR(INDEX(Motor!$F$61:$CP$301,$A66+1,($D$5-1)*15+1),0)</f>
        <v>252208.499697274</v>
      </c>
      <c r="D66" s="100" t="n">
        <f aca="false">IFERROR(INDEX(Motor!$F$61:$CP$301,$A66+1,($D$5-1)*15+4),0)</f>
        <v>2393.15422996929</v>
      </c>
      <c r="E66" s="100" t="n">
        <f aca="false">IFERROR(INDEX(Motor!$F$61:$CP$301,$A66+1,($D$5-1)*15+2),0)</f>
        <v>0</v>
      </c>
      <c r="F66" s="100" t="n">
        <f aca="false">IFERROR(INDEX(Motor!$F$61:$CP$301,$A66+1,($D$5-1)*15+3)+INDEX(Motor!$F$61:$CP$301,$A66+1,($D$5-1)*15+5)+INDEX(Motor!$F$61:$CP$301,$A66+1,($D$5-1)*15+6),0)</f>
        <v>42.0347499495457</v>
      </c>
      <c r="G66" s="100" t="n">
        <f aca="false">IFERROR(INDEX(Motor!$F$61:$CP$301,$A66+1,($D$5-1)*15+7),0)</f>
        <v>0</v>
      </c>
      <c r="H66" s="101" t="n">
        <f aca="false">IFERROR(INDEX(Motor!$F$61:$CP$301,$A66+1,($D$5-1)*15+8),0)</f>
        <v>254559.619177294</v>
      </c>
      <c r="I66" s="100" t="n">
        <f aca="false">IFERROR(INDEX(Motor!$F$61:$CP$301,$A66+1,($D$5-1)*15+12),0)</f>
        <v>15683.9428765941</v>
      </c>
      <c r="J66" s="102" t="n">
        <f aca="false">IFERROR(INDEX(Motor!$F$61:$CP$301,$A66+1,($D$5-1)*15+13),0)</f>
        <v>238875.6763007</v>
      </c>
      <c r="K66" s="100" t="n">
        <f aca="false">IFERROR(INDEX(Motor!$F$61:$CP$301,$A66+1,($D$5-1)*15+14),0)</f>
        <v>198272.995509315</v>
      </c>
    </row>
    <row r="67" customFormat="false" ht="12" hidden="false" customHeight="true" outlineLevel="0" collapsed="false">
      <c r="A67" s="55" t="n">
        <v>58</v>
      </c>
      <c r="B67" s="99" t="n">
        <f aca="false">EDATE(DATA_INICIO,$A67)</f>
        <v>48022</v>
      </c>
      <c r="C67" s="100" t="n">
        <f aca="false">IFERROR(INDEX(Motor!$F$61:$CP$301,$A67+1,($D$5-1)*15+1),0)</f>
        <v>254559.619177294</v>
      </c>
      <c r="D67" s="100" t="n">
        <f aca="false">IFERROR(INDEX(Motor!$F$61:$CP$301,$A67+1,($D$5-1)*15+4),0)</f>
        <v>2415.46351587966</v>
      </c>
      <c r="E67" s="100" t="n">
        <f aca="false">IFERROR(INDEX(Motor!$F$61:$CP$301,$A67+1,($D$5-1)*15+2),0)</f>
        <v>0</v>
      </c>
      <c r="F67" s="100" t="n">
        <f aca="false">IFERROR(INDEX(Motor!$F$61:$CP$301,$A67+1,($D$5-1)*15+3)+INDEX(Motor!$F$61:$CP$301,$A67+1,($D$5-1)*15+5)+INDEX(Motor!$F$61:$CP$301,$A67+1,($D$5-1)*15+6),0)</f>
        <v>42.4266031962156</v>
      </c>
      <c r="G67" s="100" t="n">
        <f aca="false">IFERROR(INDEX(Motor!$F$61:$CP$301,$A67+1,($D$5-1)*15+7),0)</f>
        <v>0</v>
      </c>
      <c r="H67" s="101" t="n">
        <f aca="false">IFERROR(INDEX(Motor!$F$61:$CP$301,$A67+1,($D$5-1)*15+8),0)</f>
        <v>256932.656089977</v>
      </c>
      <c r="I67" s="100" t="n">
        <f aca="false">IFERROR(INDEX(Motor!$F$61:$CP$301,$A67+1,($D$5-1)*15+12),0)</f>
        <v>16039.8984134966</v>
      </c>
      <c r="J67" s="102" t="n">
        <f aca="false">IFERROR(INDEX(Motor!$F$61:$CP$301,$A67+1,($D$5-1)*15+13),0)</f>
        <v>240892.757676481</v>
      </c>
      <c r="K67" s="100" t="n">
        <f aca="false">IFERROR(INDEX(Motor!$F$61:$CP$301,$A67+1,($D$5-1)*15+14),0)</f>
        <v>199294.786001502</v>
      </c>
    </row>
    <row r="68" customFormat="false" ht="12" hidden="false" customHeight="true" outlineLevel="0" collapsed="false">
      <c r="A68" s="55" t="n">
        <v>59</v>
      </c>
      <c r="B68" s="99" t="n">
        <f aca="false">EDATE(DATA_INICIO,$A68)</f>
        <v>48052</v>
      </c>
      <c r="C68" s="100" t="n">
        <f aca="false">IFERROR(INDEX(Motor!$F$61:$CP$301,$A68+1,($D$5-1)*15+1),0)</f>
        <v>256932.656089977</v>
      </c>
      <c r="D68" s="100" t="n">
        <f aca="false">IFERROR(INDEX(Motor!$F$61:$CP$301,$A68+1,($D$5-1)*15+4),0)</f>
        <v>2437.98077177023</v>
      </c>
      <c r="E68" s="100" t="n">
        <f aca="false">IFERROR(INDEX(Motor!$F$61:$CP$301,$A68+1,($D$5-1)*15+2),0)</f>
        <v>0</v>
      </c>
      <c r="F68" s="100" t="n">
        <f aca="false">IFERROR(INDEX(Motor!$F$61:$CP$301,$A68+1,($D$5-1)*15+3)+INDEX(Motor!$F$61:$CP$301,$A68+1,($D$5-1)*15+5)+INDEX(Motor!$F$61:$CP$301,$A68+1,($D$5-1)*15+6),0)</f>
        <v>42.8221093483296</v>
      </c>
      <c r="G68" s="100" t="n">
        <f aca="false">IFERROR(INDEX(Motor!$F$61:$CP$301,$A68+1,($D$5-1)*15+7),0)</f>
        <v>0</v>
      </c>
      <c r="H68" s="101" t="n">
        <f aca="false">IFERROR(INDEX(Motor!$F$61:$CP$301,$A68+1,($D$5-1)*15+8),0)</f>
        <v>259327.814752399</v>
      </c>
      <c r="I68" s="100" t="n">
        <f aca="false">IFERROR(INDEX(Motor!$F$61:$CP$301,$A68+1,($D$5-1)*15+12),0)</f>
        <v>16399.1722128599</v>
      </c>
      <c r="J68" s="102" t="n">
        <f aca="false">IFERROR(INDEX(Motor!$F$61:$CP$301,$A68+1,($D$5-1)*15+13),0)</f>
        <v>242928.642539539</v>
      </c>
      <c r="K68" s="100" t="n">
        <f aca="false">IFERROR(INDEX(Motor!$F$61:$CP$301,$A68+1,($D$5-1)*15+14),0)</f>
        <v>200323.30274319</v>
      </c>
    </row>
    <row r="69" customFormat="false" ht="12" hidden="false" customHeight="true" outlineLevel="0" collapsed="false">
      <c r="A69" s="55" t="n">
        <v>60</v>
      </c>
      <c r="B69" s="99" t="n">
        <f aca="false">EDATE(DATA_INICIO,$A69)</f>
        <v>48083</v>
      </c>
      <c r="C69" s="100" t="n">
        <f aca="false">IFERROR(INDEX(Motor!$F$61:$CP$301,$A69+1,($D$5-1)*15+1),0)</f>
        <v>259327.814752399</v>
      </c>
      <c r="D69" s="100" t="n">
        <f aca="false">IFERROR(INDEX(Motor!$F$61:$CP$301,$A69+1,($D$5-1)*15+4),0)</f>
        <v>2460.70793636343</v>
      </c>
      <c r="E69" s="100" t="n">
        <f aca="false">IFERROR(INDEX(Motor!$F$61:$CP$301,$A69+1,($D$5-1)*15+2),0)</f>
        <v>0</v>
      </c>
      <c r="F69" s="100" t="n">
        <f aca="false">IFERROR(INDEX(Motor!$F$61:$CP$301,$A69+1,($D$5-1)*15+3)+INDEX(Motor!$F$61:$CP$301,$A69+1,($D$5-1)*15+5)+INDEX(Motor!$F$61:$CP$301,$A69+1,($D$5-1)*15+6),0)</f>
        <v>43.2213024587332</v>
      </c>
      <c r="G69" s="100" t="n">
        <f aca="false">IFERROR(INDEX(Motor!$F$61:$CP$301,$A69+1,($D$5-1)*15+7),0)</f>
        <v>0</v>
      </c>
      <c r="H69" s="101" t="n">
        <f aca="false">IFERROR(INDEX(Motor!$F$61:$CP$301,$A69+1,($D$5-1)*15+8),0)</f>
        <v>261745.301386304</v>
      </c>
      <c r="I69" s="100" t="n">
        <f aca="false">IFERROR(INDEX(Motor!$F$61:$CP$301,$A69+1,($D$5-1)*15+12),0)</f>
        <v>16761.7952079456</v>
      </c>
      <c r="J69" s="102" t="n">
        <f aca="false">IFERROR(INDEX(Motor!$F$61:$CP$301,$A69+1,($D$5-1)*15+13),0)</f>
        <v>244983.506178358</v>
      </c>
      <c r="K69" s="100" t="n">
        <f aca="false">IFERROR(INDEX(Motor!$F$61:$CP$301,$A69+1,($D$5-1)*15+14),0)</f>
        <v>201358.58443694</v>
      </c>
    </row>
    <row r="70" customFormat="false" ht="12" hidden="false" customHeight="true" outlineLevel="0" collapsed="false">
      <c r="A70" s="55" t="n">
        <v>61</v>
      </c>
      <c r="B70" s="99" t="n">
        <f aca="false">EDATE(DATA_INICIO,$A70)</f>
        <v>48114</v>
      </c>
      <c r="C70" s="100" t="n">
        <f aca="false">IFERROR(INDEX(Motor!$F$61:$CP$301,$A70+1,($D$5-1)*15+1),0)</f>
        <v>261745.301386304</v>
      </c>
      <c r="D70" s="100" t="n">
        <f aca="false">IFERROR(INDEX(Motor!$F$61:$CP$301,$A70+1,($D$5-1)*15+4),0)</f>
        <v>2483.64696645467</v>
      </c>
      <c r="E70" s="100" t="n">
        <f aca="false">IFERROR(INDEX(Motor!$F$61:$CP$301,$A70+1,($D$5-1)*15+2),0)</f>
        <v>0</v>
      </c>
      <c r="F70" s="100" t="n">
        <f aca="false">IFERROR(INDEX(Motor!$F$61:$CP$301,$A70+1,($D$5-1)*15+3)+INDEX(Motor!$F$61:$CP$301,$A70+1,($D$5-1)*15+5)+INDEX(Motor!$F$61:$CP$301,$A70+1,($D$5-1)*15+6),0)</f>
        <v>43.6242168977173</v>
      </c>
      <c r="G70" s="100" t="n">
        <f aca="false">IFERROR(INDEX(Motor!$F$61:$CP$301,$A70+1,($D$5-1)*15+7),0)</f>
        <v>0</v>
      </c>
      <c r="H70" s="101" t="n">
        <f aca="false">IFERROR(INDEX(Motor!$F$61:$CP$301,$A70+1,($D$5-1)*15+8),0)</f>
        <v>264185.324135861</v>
      </c>
      <c r="I70" s="100" t="n">
        <f aca="false">IFERROR(INDEX(Motor!$F$61:$CP$301,$A70+1,($D$5-1)*15+12),0)</f>
        <v>17127.7986203791</v>
      </c>
      <c r="J70" s="102" t="n">
        <f aca="false">IFERROR(INDEX(Motor!$F$61:$CP$301,$A70+1,($D$5-1)*15+13),0)</f>
        <v>247057.525515482</v>
      </c>
      <c r="K70" s="100" t="n">
        <f aca="false">IFERROR(INDEX(Motor!$F$61:$CP$301,$A70+1,($D$5-1)*15+14),0)</f>
        <v>202400.670024661</v>
      </c>
    </row>
    <row r="71" customFormat="false" ht="12" hidden="false" customHeight="true" outlineLevel="0" collapsed="false">
      <c r="A71" s="55" t="n">
        <v>62</v>
      </c>
      <c r="B71" s="99" t="n">
        <f aca="false">EDATE(DATA_INICIO,$A71)</f>
        <v>48144</v>
      </c>
      <c r="C71" s="100" t="n">
        <f aca="false">IFERROR(INDEX(Motor!$F$61:$CP$301,$A71+1,($D$5-1)*15+1),0)</f>
        <v>264185.324135861</v>
      </c>
      <c r="D71" s="100" t="n">
        <f aca="false">IFERROR(INDEX(Motor!$F$61:$CP$301,$A71+1,($D$5-1)*15+4),0)</f>
        <v>2506.79983708089</v>
      </c>
      <c r="E71" s="100" t="n">
        <f aca="false">IFERROR(INDEX(Motor!$F$61:$CP$301,$A71+1,($D$5-1)*15+2),0)</f>
        <v>0</v>
      </c>
      <c r="F71" s="100" t="n">
        <f aca="false">IFERROR(INDEX(Motor!$F$61:$CP$301,$A71+1,($D$5-1)*15+3)+INDEX(Motor!$F$61:$CP$301,$A71+1,($D$5-1)*15+5)+INDEX(Motor!$F$61:$CP$301,$A71+1,($D$5-1)*15+6),0)</f>
        <v>44.0308873559768</v>
      </c>
      <c r="G71" s="100" t="n">
        <f aca="false">IFERROR(INDEX(Motor!$F$61:$CP$301,$A71+1,($D$5-1)*15+7),0)</f>
        <v>0</v>
      </c>
      <c r="H71" s="101" t="n">
        <f aca="false">IFERROR(INDEX(Motor!$F$61:$CP$301,$A71+1,($D$5-1)*15+8),0)</f>
        <v>266648.093085586</v>
      </c>
      <c r="I71" s="100" t="n">
        <f aca="false">IFERROR(INDEX(Motor!$F$61:$CP$301,$A71+1,($D$5-1)*15+12),0)</f>
        <v>17497.2139628379</v>
      </c>
      <c r="J71" s="102" t="n">
        <f aca="false">IFERROR(INDEX(Motor!$F$61:$CP$301,$A71+1,($D$5-1)*15+13),0)</f>
        <v>249150.879122748</v>
      </c>
      <c r="K71" s="100" t="n">
        <f aca="false">IFERROR(INDEX(Motor!$F$61:$CP$301,$A71+1,($D$5-1)*15+14),0)</f>
        <v>203449.598689042</v>
      </c>
    </row>
    <row r="72" customFormat="false" ht="12" hidden="false" customHeight="true" outlineLevel="0" collapsed="false">
      <c r="A72" s="55" t="n">
        <v>63</v>
      </c>
      <c r="B72" s="99" t="n">
        <f aca="false">EDATE(DATA_INICIO,$A72)</f>
        <v>48175</v>
      </c>
      <c r="C72" s="100" t="n">
        <f aca="false">IFERROR(INDEX(Motor!$F$61:$CP$301,$A72+1,($D$5-1)*15+1),0)</f>
        <v>266648.093085586</v>
      </c>
      <c r="D72" s="100" t="n">
        <f aca="false">IFERROR(INDEX(Motor!$F$61:$CP$301,$A72+1,($D$5-1)*15+4),0)</f>
        <v>2530.16854169055</v>
      </c>
      <c r="E72" s="100" t="n">
        <f aca="false">IFERROR(INDEX(Motor!$F$61:$CP$301,$A72+1,($D$5-1)*15+2),0)</f>
        <v>0</v>
      </c>
      <c r="F72" s="100" t="n">
        <f aca="false">IFERROR(INDEX(Motor!$F$61:$CP$301,$A72+1,($D$5-1)*15+3)+INDEX(Motor!$F$61:$CP$301,$A72+1,($D$5-1)*15+5)+INDEX(Motor!$F$61:$CP$301,$A72+1,($D$5-1)*15+6),0)</f>
        <v>44.4413488475976</v>
      </c>
      <c r="G72" s="100" t="n">
        <f aca="false">IFERROR(INDEX(Motor!$F$61:$CP$301,$A72+1,($D$5-1)*15+7),0)</f>
        <v>0</v>
      </c>
      <c r="H72" s="101" t="n">
        <f aca="false">IFERROR(INDEX(Motor!$F$61:$CP$301,$A72+1,($D$5-1)*15+8),0)</f>
        <v>269133.820278429</v>
      </c>
      <c r="I72" s="100" t="n">
        <f aca="false">IFERROR(INDEX(Motor!$F$61:$CP$301,$A72+1,($D$5-1)*15+12),0)</f>
        <v>17870.0730417643</v>
      </c>
      <c r="J72" s="102" t="n">
        <f aca="false">IFERROR(INDEX(Motor!$F$61:$CP$301,$A72+1,($D$5-1)*15+13),0)</f>
        <v>251263.747236664</v>
      </c>
      <c r="K72" s="100" t="n">
        <f aca="false">IFERROR(INDEX(Motor!$F$61:$CP$301,$A72+1,($D$5-1)*15+14),0)</f>
        <v>204505.40985498</v>
      </c>
    </row>
    <row r="73" customFormat="false" ht="12" hidden="false" customHeight="true" outlineLevel="0" collapsed="false">
      <c r="A73" s="55" t="n">
        <v>64</v>
      </c>
      <c r="B73" s="99" t="n">
        <f aca="false">EDATE(DATA_INICIO,$A73)</f>
        <v>48205</v>
      </c>
      <c r="C73" s="100" t="n">
        <f aca="false">IFERROR(INDEX(Motor!$F$61:$CP$301,$A73+1,($D$5-1)*15+1),0)</f>
        <v>269133.820278429</v>
      </c>
      <c r="D73" s="100" t="n">
        <f aca="false">IFERROR(INDEX(Motor!$F$61:$CP$301,$A73+1,($D$5-1)*15+4),0)</f>
        <v>2553.7550923153</v>
      </c>
      <c r="E73" s="100" t="n">
        <f aca="false">IFERROR(INDEX(Motor!$F$61:$CP$301,$A73+1,($D$5-1)*15+2),0)</f>
        <v>0</v>
      </c>
      <c r="F73" s="100" t="n">
        <f aca="false">IFERROR(INDEX(Motor!$F$61:$CP$301,$A73+1,($D$5-1)*15+3)+INDEX(Motor!$F$61:$CP$301,$A73+1,($D$5-1)*15+5)+INDEX(Motor!$F$61:$CP$301,$A73+1,($D$5-1)*15+6),0)</f>
        <v>44.8556367130715</v>
      </c>
      <c r="G73" s="100" t="n">
        <f aca="false">IFERROR(INDEX(Motor!$F$61:$CP$301,$A73+1,($D$5-1)*15+7),0)</f>
        <v>0</v>
      </c>
      <c r="H73" s="101" t="n">
        <f aca="false">IFERROR(INDEX(Motor!$F$61:$CP$301,$A73+1,($D$5-1)*15+8),0)</f>
        <v>271642.719734031</v>
      </c>
      <c r="I73" s="100" t="n">
        <f aca="false">IFERROR(INDEX(Motor!$F$61:$CP$301,$A73+1,($D$5-1)*15+12),0)</f>
        <v>18246.4079601047</v>
      </c>
      <c r="J73" s="102" t="n">
        <f aca="false">IFERROR(INDEX(Motor!$F$61:$CP$301,$A73+1,($D$5-1)*15+13),0)</f>
        <v>253396.311773926</v>
      </c>
      <c r="K73" s="100" t="n">
        <f aca="false">IFERROR(INDEX(Motor!$F$61:$CP$301,$A73+1,($D$5-1)*15+14),0)</f>
        <v>205568.143191019</v>
      </c>
    </row>
    <row r="74" customFormat="false" ht="12" hidden="false" customHeight="true" outlineLevel="0" collapsed="false">
      <c r="A74" s="55" t="n">
        <v>65</v>
      </c>
      <c r="B74" s="99" t="n">
        <f aca="false">EDATE(DATA_INICIO,$A74)</f>
        <v>48236</v>
      </c>
      <c r="C74" s="100" t="n">
        <f aca="false">IFERROR(INDEX(Motor!$F$61:$CP$301,$A74+1,($D$5-1)*15+1),0)</f>
        <v>271642.719734031</v>
      </c>
      <c r="D74" s="100" t="n">
        <f aca="false">IFERROR(INDEX(Motor!$F$61:$CP$301,$A74+1,($D$5-1)*15+4),0)</f>
        <v>2577.5615197432</v>
      </c>
      <c r="E74" s="100" t="n">
        <f aca="false">IFERROR(INDEX(Motor!$F$61:$CP$301,$A74+1,($D$5-1)*15+2),0)</f>
        <v>0</v>
      </c>
      <c r="F74" s="100" t="n">
        <f aca="false">IFERROR(INDEX(Motor!$F$61:$CP$301,$A74+1,($D$5-1)*15+3)+INDEX(Motor!$F$61:$CP$301,$A74+1,($D$5-1)*15+5)+INDEX(Motor!$F$61:$CP$301,$A74+1,($D$5-1)*15+6),0)</f>
        <v>45.2737866223385</v>
      </c>
      <c r="G74" s="100" t="n">
        <f aca="false">IFERROR(INDEX(Motor!$F$61:$CP$301,$A74+1,($D$5-1)*15+7),0)</f>
        <v>0</v>
      </c>
      <c r="H74" s="101" t="n">
        <f aca="false">IFERROR(INDEX(Motor!$F$61:$CP$301,$A74+1,($D$5-1)*15+8),0)</f>
        <v>274175.007467152</v>
      </c>
      <c r="I74" s="100" t="n">
        <f aca="false">IFERROR(INDEX(Motor!$F$61:$CP$301,$A74+1,($D$5-1)*15+12),0)</f>
        <v>18626.2511200728</v>
      </c>
      <c r="J74" s="102" t="n">
        <f aca="false">IFERROR(INDEX(Motor!$F$61:$CP$301,$A74+1,($D$5-1)*15+13),0)</f>
        <v>255548.756347079</v>
      </c>
      <c r="K74" s="100" t="n">
        <f aca="false">IFERROR(INDEX(Motor!$F$61:$CP$301,$A74+1,($D$5-1)*15+14),0)</f>
        <v>206637.838610804</v>
      </c>
    </row>
    <row r="75" customFormat="false" ht="12" hidden="false" customHeight="true" outlineLevel="0" collapsed="false">
      <c r="A75" s="55" t="n">
        <v>66</v>
      </c>
      <c r="B75" s="99" t="n">
        <f aca="false">EDATE(DATA_INICIO,$A75)</f>
        <v>48267</v>
      </c>
      <c r="C75" s="100" t="n">
        <f aca="false">IFERROR(INDEX(Motor!$F$61:$CP$301,$A75+1,($D$5-1)*15+1),0)</f>
        <v>274175.007467152</v>
      </c>
      <c r="D75" s="100" t="n">
        <f aca="false">IFERROR(INDEX(Motor!$F$61:$CP$301,$A75+1,($D$5-1)*15+4),0)</f>
        <v>2601.58987369356</v>
      </c>
      <c r="E75" s="100" t="n">
        <f aca="false">IFERROR(INDEX(Motor!$F$61:$CP$301,$A75+1,($D$5-1)*15+2),0)</f>
        <v>0</v>
      </c>
      <c r="F75" s="100" t="n">
        <f aca="false">IFERROR(INDEX(Motor!$F$61:$CP$301,$A75+1,($D$5-1)*15+3)+INDEX(Motor!$F$61:$CP$301,$A75+1,($D$5-1)*15+5)+INDEX(Motor!$F$61:$CP$301,$A75+1,($D$5-1)*15+6),0)</f>
        <v>45.6958345778586</v>
      </c>
      <c r="G75" s="100" t="n">
        <f aca="false">IFERROR(INDEX(Motor!$F$61:$CP$301,$A75+1,($D$5-1)*15+7),0)</f>
        <v>0</v>
      </c>
      <c r="H75" s="101" t="n">
        <f aca="false">IFERROR(INDEX(Motor!$F$61:$CP$301,$A75+1,($D$5-1)*15+8),0)</f>
        <v>276730.901506268</v>
      </c>
      <c r="I75" s="100" t="n">
        <f aca="false">IFERROR(INDEX(Motor!$F$61:$CP$301,$A75+1,($D$5-1)*15+12),0)</f>
        <v>19009.6352259401</v>
      </c>
      <c r="J75" s="102" t="n">
        <f aca="false">IFERROR(INDEX(Motor!$F$61:$CP$301,$A75+1,($D$5-1)*15+13),0)</f>
        <v>257721.266280327</v>
      </c>
      <c r="K75" s="100" t="n">
        <f aca="false">IFERROR(INDEX(Motor!$F$61:$CP$301,$A75+1,($D$5-1)*15+14),0)</f>
        <v>207714.536274535</v>
      </c>
    </row>
    <row r="76" customFormat="false" ht="12" hidden="false" customHeight="true" outlineLevel="0" collapsed="false">
      <c r="A76" s="55" t="n">
        <v>67</v>
      </c>
      <c r="B76" s="99" t="n">
        <f aca="false">EDATE(DATA_INICIO,$A76)</f>
        <v>48296</v>
      </c>
      <c r="C76" s="100" t="n">
        <f aca="false">IFERROR(INDEX(Motor!$F$61:$CP$301,$A76+1,($D$5-1)*15+1),0)</f>
        <v>276730.901506268</v>
      </c>
      <c r="D76" s="100" t="n">
        <f aca="false">IFERROR(INDEX(Motor!$F$61:$CP$301,$A76+1,($D$5-1)*15+4),0)</f>
        <v>2625.84222299347</v>
      </c>
      <c r="E76" s="100" t="n">
        <f aca="false">IFERROR(INDEX(Motor!$F$61:$CP$301,$A76+1,($D$5-1)*15+2),0)</f>
        <v>0</v>
      </c>
      <c r="F76" s="100" t="n">
        <f aca="false">IFERROR(INDEX(Motor!$F$61:$CP$301,$A76+1,($D$5-1)*15+3)+INDEX(Motor!$F$61:$CP$301,$A76+1,($D$5-1)*15+5)+INDEX(Motor!$F$61:$CP$301,$A76+1,($D$5-1)*15+6),0)</f>
        <v>46.1218169177113</v>
      </c>
      <c r="G76" s="100" t="n">
        <f aca="false">IFERROR(INDEX(Motor!$F$61:$CP$301,$A76+1,($D$5-1)*15+7),0)</f>
        <v>0</v>
      </c>
      <c r="H76" s="101" t="n">
        <f aca="false">IFERROR(INDEX(Motor!$F$61:$CP$301,$A76+1,($D$5-1)*15+8),0)</f>
        <v>279310.621912343</v>
      </c>
      <c r="I76" s="100" t="n">
        <f aca="false">IFERROR(INDEX(Motor!$F$61:$CP$301,$A76+1,($D$5-1)*15+12),0)</f>
        <v>19396.5932868515</v>
      </c>
      <c r="J76" s="102" t="n">
        <f aca="false">IFERROR(INDEX(Motor!$F$61:$CP$301,$A76+1,($D$5-1)*15+13),0)</f>
        <v>259914.028625492</v>
      </c>
      <c r="K76" s="100" t="n">
        <f aca="false">IFERROR(INDEX(Motor!$F$61:$CP$301,$A76+1,($D$5-1)*15+14),0)</f>
        <v>208798.276590436</v>
      </c>
    </row>
    <row r="77" customFormat="false" ht="12" hidden="false" customHeight="true" outlineLevel="0" collapsed="false">
      <c r="A77" s="55" t="n">
        <v>68</v>
      </c>
      <c r="B77" s="99" t="n">
        <f aca="false">EDATE(DATA_INICIO,$A77)</f>
        <v>48327</v>
      </c>
      <c r="C77" s="100" t="n">
        <f aca="false">IFERROR(INDEX(Motor!$F$61:$CP$301,$A77+1,($D$5-1)*15+1),0)</f>
        <v>279310.621912343</v>
      </c>
      <c r="D77" s="100" t="n">
        <f aca="false">IFERROR(INDEX(Motor!$F$61:$CP$301,$A77+1,($D$5-1)*15+4),0)</f>
        <v>2650.32065575584</v>
      </c>
      <c r="E77" s="100" t="n">
        <f aca="false">IFERROR(INDEX(Motor!$F$61:$CP$301,$A77+1,($D$5-1)*15+2),0)</f>
        <v>0</v>
      </c>
      <c r="F77" s="100" t="n">
        <f aca="false">IFERROR(INDEX(Motor!$F$61:$CP$301,$A77+1,($D$5-1)*15+3)+INDEX(Motor!$F$61:$CP$301,$A77+1,($D$5-1)*15+5)+INDEX(Motor!$F$61:$CP$301,$A77+1,($D$5-1)*15+6),0)</f>
        <v>46.5517703187239</v>
      </c>
      <c r="G77" s="100" t="n">
        <f aca="false">IFERROR(INDEX(Motor!$F$61:$CP$301,$A77+1,($D$5-1)*15+7),0)</f>
        <v>0</v>
      </c>
      <c r="H77" s="101" t="n">
        <f aca="false">IFERROR(INDEX(Motor!$F$61:$CP$301,$A77+1,($D$5-1)*15+8),0)</f>
        <v>281914.390797781</v>
      </c>
      <c r="I77" s="100" t="n">
        <f aca="false">IFERROR(INDEX(Motor!$F$61:$CP$301,$A77+1,($D$5-1)*15+12),0)</f>
        <v>19787.1586196671</v>
      </c>
      <c r="J77" s="102" t="n">
        <f aca="false">IFERROR(INDEX(Motor!$F$61:$CP$301,$A77+1,($D$5-1)*15+13),0)</f>
        <v>262127.232178113</v>
      </c>
      <c r="K77" s="100" t="n">
        <f aca="false">IFERROR(INDEX(Motor!$F$61:$CP$301,$A77+1,($D$5-1)*15+14),0)</f>
        <v>209889.100216231</v>
      </c>
    </row>
    <row r="78" customFormat="false" ht="12" hidden="false" customHeight="true" outlineLevel="0" collapsed="false">
      <c r="A78" s="55" t="n">
        <v>69</v>
      </c>
      <c r="B78" s="99" t="n">
        <f aca="false">EDATE(DATA_INICIO,$A78)</f>
        <v>48357</v>
      </c>
      <c r="C78" s="100" t="n">
        <f aca="false">IFERROR(INDEX(Motor!$F$61:$CP$301,$A78+1,($D$5-1)*15+1),0)</f>
        <v>281914.390797781</v>
      </c>
      <c r="D78" s="100" t="n">
        <f aca="false">IFERROR(INDEX(Motor!$F$61:$CP$301,$A78+1,($D$5-1)*15+4),0)</f>
        <v>2675.02727955926</v>
      </c>
      <c r="E78" s="100" t="n">
        <f aca="false">IFERROR(INDEX(Motor!$F$61:$CP$301,$A78+1,($D$5-1)*15+2),0)</f>
        <v>0</v>
      </c>
      <c r="F78" s="100" t="n">
        <f aca="false">IFERROR(INDEX(Motor!$F$61:$CP$301,$A78+1,($D$5-1)*15+3)+INDEX(Motor!$F$61:$CP$301,$A78+1,($D$5-1)*15+5)+INDEX(Motor!$F$61:$CP$301,$A78+1,($D$5-1)*15+6),0)</f>
        <v>46.9857317996301</v>
      </c>
      <c r="G78" s="100" t="n">
        <f aca="false">IFERROR(INDEX(Motor!$F$61:$CP$301,$A78+1,($D$5-1)*15+7),0)</f>
        <v>0</v>
      </c>
      <c r="H78" s="101" t="n">
        <f aca="false">IFERROR(INDEX(Motor!$F$61:$CP$301,$A78+1,($D$5-1)*15+8),0)</f>
        <v>284542.43234554</v>
      </c>
      <c r="I78" s="100" t="n">
        <f aca="false">IFERROR(INDEX(Motor!$F$61:$CP$301,$A78+1,($D$5-1)*15+12),0)</f>
        <v>20181.364851831</v>
      </c>
      <c r="J78" s="102" t="n">
        <f aca="false">IFERROR(INDEX(Motor!$F$61:$CP$301,$A78+1,($D$5-1)*15+13),0)</f>
        <v>264361.067493709</v>
      </c>
      <c r="K78" s="100" t="n">
        <f aca="false">IFERROR(INDEX(Motor!$F$61:$CP$301,$A78+1,($D$5-1)*15+14),0)</f>
        <v>210987.048060629</v>
      </c>
    </row>
    <row r="79" customFormat="false" ht="12" hidden="false" customHeight="true" outlineLevel="0" collapsed="false">
      <c r="A79" s="55" t="n">
        <v>70</v>
      </c>
      <c r="B79" s="99" t="n">
        <f aca="false">EDATE(DATA_INICIO,$A79)</f>
        <v>48388</v>
      </c>
      <c r="C79" s="100" t="n">
        <f aca="false">IFERROR(INDEX(Motor!$F$61:$CP$301,$A79+1,($D$5-1)*15+1),0)</f>
        <v>284542.43234554</v>
      </c>
      <c r="D79" s="100" t="n">
        <f aca="false">IFERROR(INDEX(Motor!$F$61:$CP$301,$A79+1,($D$5-1)*15+4),0)</f>
        <v>2699.96422162944</v>
      </c>
      <c r="E79" s="100" t="n">
        <f aca="false">IFERROR(INDEX(Motor!$F$61:$CP$301,$A79+1,($D$5-1)*15+2),0)</f>
        <v>0</v>
      </c>
      <c r="F79" s="100" t="n">
        <f aca="false">IFERROR(INDEX(Motor!$F$61:$CP$301,$A79+1,($D$5-1)*15+3)+INDEX(Motor!$F$61:$CP$301,$A79+1,($D$5-1)*15+5)+INDEX(Motor!$F$61:$CP$301,$A79+1,($D$5-1)*15+6),0)</f>
        <v>47.4237387242567</v>
      </c>
      <c r="G79" s="100" t="n">
        <f aca="false">IFERROR(INDEX(Motor!$F$61:$CP$301,$A79+1,($D$5-1)*15+7),0)</f>
        <v>0</v>
      </c>
      <c r="H79" s="101" t="n">
        <f aca="false">IFERROR(INDEX(Motor!$F$61:$CP$301,$A79+1,($D$5-1)*15+8),0)</f>
        <v>287194.972828445</v>
      </c>
      <c r="I79" s="100" t="n">
        <f aca="false">IFERROR(INDEX(Motor!$F$61:$CP$301,$A79+1,($D$5-1)*15+12),0)</f>
        <v>20579.2459242668</v>
      </c>
      <c r="J79" s="102" t="n">
        <f aca="false">IFERROR(INDEX(Motor!$F$61:$CP$301,$A79+1,($D$5-1)*15+13),0)</f>
        <v>266615.726904179</v>
      </c>
      <c r="K79" s="100" t="n">
        <f aca="false">IFERROR(INDEX(Motor!$F$61:$CP$301,$A79+1,($D$5-1)*15+14),0)</f>
        <v>212092.161284817</v>
      </c>
    </row>
    <row r="80" customFormat="false" ht="12" hidden="false" customHeight="true" outlineLevel="0" collapsed="false">
      <c r="A80" s="55" t="n">
        <v>71</v>
      </c>
      <c r="B80" s="99" t="n">
        <f aca="false">EDATE(DATA_INICIO,$A80)</f>
        <v>48418</v>
      </c>
      <c r="C80" s="100" t="n">
        <f aca="false">IFERROR(INDEX(Motor!$F$61:$CP$301,$A80+1,($D$5-1)*15+1),0)</f>
        <v>287194.972828445</v>
      </c>
      <c r="D80" s="100" t="n">
        <f aca="false">IFERROR(INDEX(Motor!$F$61:$CP$301,$A80+1,($D$5-1)*15+4),0)</f>
        <v>2725.13362902232</v>
      </c>
      <c r="E80" s="100" t="n">
        <f aca="false">IFERROR(INDEX(Motor!$F$61:$CP$301,$A80+1,($D$5-1)*15+2),0)</f>
        <v>0</v>
      </c>
      <c r="F80" s="100" t="n">
        <f aca="false">IFERROR(INDEX(Motor!$F$61:$CP$301,$A80+1,($D$5-1)*15+3)+INDEX(Motor!$F$61:$CP$301,$A80+1,($D$5-1)*15+5)+INDEX(Motor!$F$61:$CP$301,$A80+1,($D$5-1)*15+6),0)</f>
        <v>47.8658288047409</v>
      </c>
      <c r="G80" s="100" t="n">
        <f aca="false">IFERROR(INDEX(Motor!$F$61:$CP$301,$A80+1,($D$5-1)*15+7),0)</f>
        <v>0</v>
      </c>
      <c r="H80" s="101" t="n">
        <f aca="false">IFERROR(INDEX(Motor!$F$61:$CP$301,$A80+1,($D$5-1)*15+8),0)</f>
        <v>289872.240628663</v>
      </c>
      <c r="I80" s="100" t="n">
        <f aca="false">IFERROR(INDEX(Motor!$F$61:$CP$301,$A80+1,($D$5-1)*15+12),0)</f>
        <v>20980.8360942994</v>
      </c>
      <c r="J80" s="102" t="n">
        <f aca="false">IFERROR(INDEX(Motor!$F$61:$CP$301,$A80+1,($D$5-1)*15+13),0)</f>
        <v>268891.404534364</v>
      </c>
      <c r="K80" s="100" t="n">
        <f aca="false">IFERROR(INDEX(Motor!$F$61:$CP$301,$A80+1,($D$5-1)*15+14),0)</f>
        <v>213204.481303963</v>
      </c>
    </row>
    <row r="81" customFormat="false" ht="12" hidden="false" customHeight="true" outlineLevel="0" collapsed="false">
      <c r="A81" s="55" t="n">
        <v>72</v>
      </c>
      <c r="B81" s="99" t="n">
        <f aca="false">EDATE(DATA_INICIO,$A81)</f>
        <v>48449</v>
      </c>
      <c r="C81" s="100" t="n">
        <f aca="false">IFERROR(INDEX(Motor!$F$61:$CP$301,$A81+1,($D$5-1)*15+1),0)</f>
        <v>289872.240628663</v>
      </c>
      <c r="D81" s="100" t="n">
        <f aca="false">IFERROR(INDEX(Motor!$F$61:$CP$301,$A81+1,($D$5-1)*15+4),0)</f>
        <v>2750.53766880901</v>
      </c>
      <c r="E81" s="100" t="n">
        <f aca="false">IFERROR(INDEX(Motor!$F$61:$CP$301,$A81+1,($D$5-1)*15+2),0)</f>
        <v>0</v>
      </c>
      <c r="F81" s="100" t="n">
        <f aca="false">IFERROR(INDEX(Motor!$F$61:$CP$301,$A81+1,($D$5-1)*15+3)+INDEX(Motor!$F$61:$CP$301,$A81+1,($D$5-1)*15+5)+INDEX(Motor!$F$61:$CP$301,$A81+1,($D$5-1)*15+6),0)</f>
        <v>48.3120401047772</v>
      </c>
      <c r="G81" s="100" t="n">
        <f aca="false">IFERROR(INDEX(Motor!$F$61:$CP$301,$A81+1,($D$5-1)*15+7),0)</f>
        <v>0</v>
      </c>
      <c r="H81" s="101" t="n">
        <f aca="false">IFERROR(INDEX(Motor!$F$61:$CP$301,$A81+1,($D$5-1)*15+8),0)</f>
        <v>292574.466257367</v>
      </c>
      <c r="I81" s="100" t="n">
        <f aca="false">IFERROR(INDEX(Motor!$F$61:$CP$301,$A81+1,($D$5-1)*15+12),0)</f>
        <v>21386.1699386051</v>
      </c>
      <c r="J81" s="102" t="n">
        <f aca="false">IFERROR(INDEX(Motor!$F$61:$CP$301,$A81+1,($D$5-1)*15+13),0)</f>
        <v>271188.296318762</v>
      </c>
      <c r="K81" s="100" t="n">
        <f aca="false">IFERROR(INDEX(Motor!$F$61:$CP$301,$A81+1,($D$5-1)*15+14),0)</f>
        <v>214324.049788729</v>
      </c>
    </row>
    <row r="82" customFormat="false" ht="12" hidden="false" customHeight="true" outlineLevel="0" collapsed="false">
      <c r="A82" s="55" t="n">
        <v>73</v>
      </c>
      <c r="B82" s="99" t="n">
        <f aca="false">EDATE(DATA_INICIO,$A82)</f>
        <v>48480</v>
      </c>
      <c r="C82" s="100" t="n">
        <f aca="false">IFERROR(INDEX(Motor!$F$61:$CP$301,$A82+1,($D$5-1)*15+1),0)</f>
        <v>292574.466257367</v>
      </c>
      <c r="D82" s="100" t="n">
        <f aca="false">IFERROR(INDEX(Motor!$F$61:$CP$301,$A82+1,($D$5-1)*15+4),0)</f>
        <v>2776.17852826231</v>
      </c>
      <c r="E82" s="100" t="n">
        <f aca="false">IFERROR(INDEX(Motor!$F$61:$CP$301,$A82+1,($D$5-1)*15+2),0)</f>
        <v>0</v>
      </c>
      <c r="F82" s="100" t="n">
        <f aca="false">IFERROR(INDEX(Motor!$F$61:$CP$301,$A82+1,($D$5-1)*15+3)+INDEX(Motor!$F$61:$CP$301,$A82+1,($D$5-1)*15+5)+INDEX(Motor!$F$61:$CP$301,$A82+1,($D$5-1)*15+6),0)</f>
        <v>48.7624110428945</v>
      </c>
      <c r="G82" s="100" t="n">
        <f aca="false">IFERROR(INDEX(Motor!$F$61:$CP$301,$A82+1,($D$5-1)*15+7),0)</f>
        <v>0</v>
      </c>
      <c r="H82" s="101" t="n">
        <f aca="false">IFERROR(INDEX(Motor!$F$61:$CP$301,$A82+1,($D$5-1)*15+8),0)</f>
        <v>295301.882374587</v>
      </c>
      <c r="I82" s="100" t="n">
        <f aca="false">IFERROR(INDEX(Motor!$F$61:$CP$301,$A82+1,($D$5-1)*15+12),0)</f>
        <v>21795.282356188</v>
      </c>
      <c r="J82" s="102" t="n">
        <f aca="false">IFERROR(INDEX(Motor!$F$61:$CP$301,$A82+1,($D$5-1)*15+13),0)</f>
        <v>273506.600018399</v>
      </c>
      <c r="K82" s="100" t="n">
        <f aca="false">IFERROR(INDEX(Motor!$F$61:$CP$301,$A82+1,($D$5-1)*15+14),0)</f>
        <v>215450.908666792</v>
      </c>
    </row>
    <row r="83" customFormat="false" ht="12" hidden="false" customHeight="true" outlineLevel="0" collapsed="false">
      <c r="A83" s="55" t="n">
        <v>74</v>
      </c>
      <c r="B83" s="99" t="n">
        <f aca="false">EDATE(DATA_INICIO,$A83)</f>
        <v>48510</v>
      </c>
      <c r="C83" s="100" t="n">
        <f aca="false">IFERROR(INDEX(Motor!$F$61:$CP$301,$A83+1,($D$5-1)*15+1),0)</f>
        <v>295301.882374587</v>
      </c>
      <c r="D83" s="100" t="n">
        <f aca="false">IFERROR(INDEX(Motor!$F$61:$CP$301,$A83+1,($D$5-1)*15+4),0)</f>
        <v>2802.05841504505</v>
      </c>
      <c r="E83" s="100" t="n">
        <f aca="false">IFERROR(INDEX(Motor!$F$61:$CP$301,$A83+1,($D$5-1)*15+2),0)</f>
        <v>0</v>
      </c>
      <c r="F83" s="100" t="n">
        <f aca="false">IFERROR(INDEX(Motor!$F$61:$CP$301,$A83+1,($D$5-1)*15+3)+INDEX(Motor!$F$61:$CP$301,$A83+1,($D$5-1)*15+5)+INDEX(Motor!$F$61:$CP$301,$A83+1,($D$5-1)*15+6),0)</f>
        <v>49.2169803957644</v>
      </c>
      <c r="G83" s="100" t="n">
        <f aca="false">IFERROR(INDEX(Motor!$F$61:$CP$301,$A83+1,($D$5-1)*15+7),0)</f>
        <v>0</v>
      </c>
      <c r="H83" s="101" t="n">
        <f aca="false">IFERROR(INDEX(Motor!$F$61:$CP$301,$A83+1,($D$5-1)*15+8),0)</f>
        <v>298054.723809236</v>
      </c>
      <c r="I83" s="100" t="n">
        <f aca="false">IFERROR(INDEX(Motor!$F$61:$CP$301,$A83+1,($D$5-1)*15+12),0)</f>
        <v>22208.2085713854</v>
      </c>
      <c r="J83" s="102" t="n">
        <f aca="false">IFERROR(INDEX(Motor!$F$61:$CP$301,$A83+1,($D$5-1)*15+13),0)</f>
        <v>275846.515237851</v>
      </c>
      <c r="K83" s="100" t="n">
        <f aca="false">IFERROR(INDEX(Motor!$F$61:$CP$301,$A83+1,($D$5-1)*15+14),0)</f>
        <v>216585.100124375</v>
      </c>
    </row>
    <row r="84" customFormat="false" ht="12" hidden="false" customHeight="true" outlineLevel="0" collapsed="false">
      <c r="A84" s="55" t="n">
        <v>75</v>
      </c>
      <c r="B84" s="99" t="n">
        <f aca="false">EDATE(DATA_INICIO,$A84)</f>
        <v>48541</v>
      </c>
      <c r="C84" s="100" t="n">
        <f aca="false">IFERROR(INDEX(Motor!$F$61:$CP$301,$A84+1,($D$5-1)*15+1),0)</f>
        <v>298054.723809236</v>
      </c>
      <c r="D84" s="100" t="n">
        <f aca="false">IFERROR(INDEX(Motor!$F$61:$CP$301,$A84+1,($D$5-1)*15+4),0)</f>
        <v>2828.17955740018</v>
      </c>
      <c r="E84" s="100" t="n">
        <f aca="false">IFERROR(INDEX(Motor!$F$61:$CP$301,$A84+1,($D$5-1)*15+2),0)</f>
        <v>0</v>
      </c>
      <c r="F84" s="100" t="n">
        <f aca="false">IFERROR(INDEX(Motor!$F$61:$CP$301,$A84+1,($D$5-1)*15+3)+INDEX(Motor!$F$61:$CP$301,$A84+1,($D$5-1)*15+5)+INDEX(Motor!$F$61:$CP$301,$A84+1,($D$5-1)*15+6),0)</f>
        <v>49.6757873015393</v>
      </c>
      <c r="G84" s="100" t="n">
        <f aca="false">IFERROR(INDEX(Motor!$F$61:$CP$301,$A84+1,($D$5-1)*15+7),0)</f>
        <v>0</v>
      </c>
      <c r="H84" s="101" t="n">
        <f aca="false">IFERROR(INDEX(Motor!$F$61:$CP$301,$A84+1,($D$5-1)*15+8),0)</f>
        <v>300833.227579334</v>
      </c>
      <c r="I84" s="100" t="n">
        <f aca="false">IFERROR(INDEX(Motor!$F$61:$CP$301,$A84+1,($D$5-1)*15+12),0)</f>
        <v>22624.9841369002</v>
      </c>
      <c r="J84" s="102" t="n">
        <f aca="false">IFERROR(INDEX(Motor!$F$61:$CP$301,$A84+1,($D$5-1)*15+13),0)</f>
        <v>278208.243442434</v>
      </c>
      <c r="K84" s="100" t="n">
        <f aca="false">IFERROR(INDEX(Motor!$F$61:$CP$301,$A84+1,($D$5-1)*15+14),0)</f>
        <v>217726.666607786</v>
      </c>
    </row>
    <row r="85" customFormat="false" ht="12" hidden="false" customHeight="true" outlineLevel="0" collapsed="false">
      <c r="A85" s="55" t="n">
        <v>76</v>
      </c>
      <c r="B85" s="99" t="n">
        <f aca="false">EDATE(DATA_INICIO,$A85)</f>
        <v>48571</v>
      </c>
      <c r="C85" s="100" t="n">
        <f aca="false">IFERROR(INDEX(Motor!$F$61:$CP$301,$A85+1,($D$5-1)*15+1),0)</f>
        <v>300833.227579334</v>
      </c>
      <c r="D85" s="100" t="n">
        <f aca="false">IFERROR(INDEX(Motor!$F$61:$CP$301,$A85+1,($D$5-1)*15+4),0)</f>
        <v>2854.5442043426</v>
      </c>
      <c r="E85" s="100" t="n">
        <f aca="false">IFERROR(INDEX(Motor!$F$61:$CP$301,$A85+1,($D$5-1)*15+2),0)</f>
        <v>0</v>
      </c>
      <c r="F85" s="100" t="n">
        <f aca="false">IFERROR(INDEX(Motor!$F$61:$CP$301,$A85+1,($D$5-1)*15+3)+INDEX(Motor!$F$61:$CP$301,$A85+1,($D$5-1)*15+5)+INDEX(Motor!$F$61:$CP$301,$A85+1,($D$5-1)*15+6),0)</f>
        <v>50.1388712632224</v>
      </c>
      <c r="G85" s="100" t="n">
        <f aca="false">IFERROR(INDEX(Motor!$F$61:$CP$301,$A85+1,($D$5-1)*15+7),0)</f>
        <v>0</v>
      </c>
      <c r="H85" s="101" t="n">
        <f aca="false">IFERROR(INDEX(Motor!$F$61:$CP$301,$A85+1,($D$5-1)*15+8),0)</f>
        <v>303637.632912414</v>
      </c>
      <c r="I85" s="100" t="n">
        <f aca="false">IFERROR(INDEX(Motor!$F$61:$CP$301,$A85+1,($D$5-1)*15+12),0)</f>
        <v>23045.6449368621</v>
      </c>
      <c r="J85" s="102" t="n">
        <f aca="false">IFERROR(INDEX(Motor!$F$61:$CP$301,$A85+1,($D$5-1)*15+13),0)</f>
        <v>280591.987975552</v>
      </c>
      <c r="K85" s="100" t="n">
        <f aca="false">IFERROR(INDEX(Motor!$F$61:$CP$301,$A85+1,($D$5-1)*15+14),0)</f>
        <v>218875.650824967</v>
      </c>
    </row>
    <row r="86" customFormat="false" ht="12" hidden="false" customHeight="true" outlineLevel="0" collapsed="false">
      <c r="A86" s="55" t="n">
        <v>77</v>
      </c>
      <c r="B86" s="99" t="n">
        <f aca="false">EDATE(DATA_INICIO,$A86)</f>
        <v>48602</v>
      </c>
      <c r="C86" s="100" t="n">
        <f aca="false">IFERROR(INDEX(Motor!$F$61:$CP$301,$A86+1,($D$5-1)*15+1),0)</f>
        <v>303637.632912414</v>
      </c>
      <c r="D86" s="100" t="n">
        <f aca="false">IFERROR(INDEX(Motor!$F$61:$CP$301,$A86+1,($D$5-1)*15+4),0)</f>
        <v>2881.15462585283</v>
      </c>
      <c r="E86" s="100" t="n">
        <f aca="false">IFERROR(INDEX(Motor!$F$61:$CP$301,$A86+1,($D$5-1)*15+2),0)</f>
        <v>0</v>
      </c>
      <c r="F86" s="100" t="n">
        <f aca="false">IFERROR(INDEX(Motor!$F$61:$CP$301,$A86+1,($D$5-1)*15+3)+INDEX(Motor!$F$61:$CP$301,$A86+1,($D$5-1)*15+5)+INDEX(Motor!$F$61:$CP$301,$A86+1,($D$5-1)*15+6),0)</f>
        <v>50.606272152069</v>
      </c>
      <c r="G86" s="100" t="n">
        <f aca="false">IFERROR(INDEX(Motor!$F$61:$CP$301,$A86+1,($D$5-1)*15+7),0)</f>
        <v>0</v>
      </c>
      <c r="H86" s="101" t="n">
        <f aca="false">IFERROR(INDEX(Motor!$F$61:$CP$301,$A86+1,($D$5-1)*15+8),0)</f>
        <v>306468.181266115</v>
      </c>
      <c r="I86" s="100" t="n">
        <f aca="false">IFERROR(INDEX(Motor!$F$61:$CP$301,$A86+1,($D$5-1)*15+12),0)</f>
        <v>23470.2271899172</v>
      </c>
      <c r="J86" s="102" t="n">
        <f aca="false">IFERROR(INDEX(Motor!$F$61:$CP$301,$A86+1,($D$5-1)*15+13),0)</f>
        <v>282997.954076197</v>
      </c>
      <c r="K86" s="100" t="n">
        <f aca="false">IFERROR(INDEX(Motor!$F$61:$CP$301,$A86+1,($D$5-1)*15+14),0)</f>
        <v>220032.095747054</v>
      </c>
    </row>
    <row r="87" customFormat="false" ht="12" hidden="false" customHeight="true" outlineLevel="0" collapsed="false">
      <c r="A87" s="55" t="n">
        <v>78</v>
      </c>
      <c r="B87" s="99" t="n">
        <f aca="false">EDATE(DATA_INICIO,$A87)</f>
        <v>48633</v>
      </c>
      <c r="C87" s="100" t="n">
        <f aca="false">IFERROR(INDEX(Motor!$F$61:$CP$301,$A87+1,($D$5-1)*15+1),0)</f>
        <v>306468.181266115</v>
      </c>
      <c r="D87" s="100" t="n">
        <f aca="false">IFERROR(INDEX(Motor!$F$61:$CP$301,$A87+1,($D$5-1)*15+4),0)</f>
        <v>2908.01311307242</v>
      </c>
      <c r="E87" s="100" t="n">
        <f aca="false">IFERROR(INDEX(Motor!$F$61:$CP$301,$A87+1,($D$5-1)*15+2),0)</f>
        <v>0</v>
      </c>
      <c r="F87" s="100" t="n">
        <f aca="false">IFERROR(INDEX(Motor!$F$61:$CP$301,$A87+1,($D$5-1)*15+3)+INDEX(Motor!$F$61:$CP$301,$A87+1,($D$5-1)*15+5)+INDEX(Motor!$F$61:$CP$301,$A87+1,($D$5-1)*15+6),0)</f>
        <v>51.0780302110191</v>
      </c>
      <c r="G87" s="100" t="n">
        <f aca="false">IFERROR(INDEX(Motor!$F$61:$CP$301,$A87+1,($D$5-1)*15+7),0)</f>
        <v>0</v>
      </c>
      <c r="H87" s="101" t="n">
        <f aca="false">IFERROR(INDEX(Motor!$F$61:$CP$301,$A87+1,($D$5-1)*15+8),0)</f>
        <v>309325.116348976</v>
      </c>
      <c r="I87" s="100" t="n">
        <f aca="false">IFERROR(INDEX(Motor!$F$61:$CP$301,$A87+1,($D$5-1)*15+12),0)</f>
        <v>23898.7674523464</v>
      </c>
      <c r="J87" s="102" t="n">
        <f aca="false">IFERROR(INDEX(Motor!$F$61:$CP$301,$A87+1,($D$5-1)*15+13),0)</f>
        <v>285426.34889663</v>
      </c>
      <c r="K87" s="100" t="n">
        <f aca="false">IFERROR(INDEX(Motor!$F$61:$CP$301,$A87+1,($D$5-1)*15+14),0)</f>
        <v>221196.044609942</v>
      </c>
    </row>
    <row r="88" customFormat="false" ht="12" hidden="false" customHeight="true" outlineLevel="0" collapsed="false">
      <c r="A88" s="55" t="n">
        <v>79</v>
      </c>
      <c r="B88" s="99" t="n">
        <f aca="false">EDATE(DATA_INICIO,$A88)</f>
        <v>48661</v>
      </c>
      <c r="C88" s="100" t="n">
        <f aca="false">IFERROR(INDEX(Motor!$F$61:$CP$301,$A88+1,($D$5-1)*15+1),0)</f>
        <v>309325.116348976</v>
      </c>
      <c r="D88" s="100" t="n">
        <f aca="false">IFERROR(INDEX(Motor!$F$61:$CP$301,$A88+1,($D$5-1)*15+4),0)</f>
        <v>2935.12197850124</v>
      </c>
      <c r="E88" s="100" t="n">
        <f aca="false">IFERROR(INDEX(Motor!$F$61:$CP$301,$A88+1,($D$5-1)*15+2),0)</f>
        <v>0</v>
      </c>
      <c r="F88" s="100" t="n">
        <f aca="false">IFERROR(INDEX(Motor!$F$61:$CP$301,$A88+1,($D$5-1)*15+3)+INDEX(Motor!$F$61:$CP$301,$A88+1,($D$5-1)*15+5)+INDEX(Motor!$F$61:$CP$301,$A88+1,($D$5-1)*15+6),0)</f>
        <v>51.5541860581627</v>
      </c>
      <c r="G88" s="100" t="n">
        <f aca="false">IFERROR(INDEX(Motor!$F$61:$CP$301,$A88+1,($D$5-1)*15+7),0)</f>
        <v>0</v>
      </c>
      <c r="H88" s="101" t="n">
        <f aca="false">IFERROR(INDEX(Motor!$F$61:$CP$301,$A88+1,($D$5-1)*15+8),0)</f>
        <v>312208.684141419</v>
      </c>
      <c r="I88" s="100" t="n">
        <f aca="false">IFERROR(INDEX(Motor!$F$61:$CP$301,$A88+1,($D$5-1)*15+12),0)</f>
        <v>24331.3026212129</v>
      </c>
      <c r="J88" s="102" t="n">
        <f aca="false">IFERROR(INDEX(Motor!$F$61:$CP$301,$A88+1,($D$5-1)*15+13),0)</f>
        <v>287877.381520206</v>
      </c>
      <c r="K88" s="100" t="n">
        <f aca="false">IFERROR(INDEX(Motor!$F$61:$CP$301,$A88+1,($D$5-1)*15+14),0)</f>
        <v>222367.540915868</v>
      </c>
    </row>
    <row r="89" customFormat="false" ht="12" hidden="false" customHeight="true" outlineLevel="0" collapsed="false">
      <c r="A89" s="55" t="n">
        <v>80</v>
      </c>
      <c r="B89" s="99" t="n">
        <f aca="false">EDATE(DATA_INICIO,$A89)</f>
        <v>48692</v>
      </c>
      <c r="C89" s="100" t="n">
        <f aca="false">IFERROR(INDEX(Motor!$F$61:$CP$301,$A89+1,($D$5-1)*15+1),0)</f>
        <v>312208.684141419</v>
      </c>
      <c r="D89" s="100" t="n">
        <f aca="false">IFERROR(INDEX(Motor!$F$61:$CP$301,$A89+1,($D$5-1)*15+4),0)</f>
        <v>2962.48355619657</v>
      </c>
      <c r="E89" s="100" t="n">
        <f aca="false">IFERROR(INDEX(Motor!$F$61:$CP$301,$A89+1,($D$5-1)*15+2),0)</f>
        <v>0</v>
      </c>
      <c r="F89" s="100" t="n">
        <f aca="false">IFERROR(INDEX(Motor!$F$61:$CP$301,$A89+1,($D$5-1)*15+3)+INDEX(Motor!$F$61:$CP$301,$A89+1,($D$5-1)*15+5)+INDEX(Motor!$F$61:$CP$301,$A89+1,($D$5-1)*15+6),0)</f>
        <v>52.0347806902365</v>
      </c>
      <c r="G89" s="100" t="n">
        <f aca="false">IFERROR(INDEX(Motor!$F$61:$CP$301,$A89+1,($D$5-1)*15+7),0)</f>
        <v>0</v>
      </c>
      <c r="H89" s="101" t="n">
        <f aca="false">IFERROR(INDEX(Motor!$F$61:$CP$301,$A89+1,($D$5-1)*15+8),0)</f>
        <v>315119.132916925</v>
      </c>
      <c r="I89" s="100" t="n">
        <f aca="false">IFERROR(INDEX(Motor!$F$61:$CP$301,$A89+1,($D$5-1)*15+12),0)</f>
        <v>24767.8699375388</v>
      </c>
      <c r="J89" s="102" t="n">
        <f aca="false">IFERROR(INDEX(Motor!$F$61:$CP$301,$A89+1,($D$5-1)*15+13),0)</f>
        <v>290351.262979387</v>
      </c>
      <c r="K89" s="100" t="n">
        <f aca="false">IFERROR(INDEX(Motor!$F$61:$CP$301,$A89+1,($D$5-1)*15+14),0)</f>
        <v>223546.628434991</v>
      </c>
    </row>
    <row r="90" customFormat="false" ht="12" hidden="false" customHeight="true" outlineLevel="0" collapsed="false">
      <c r="A90" s="55" t="n">
        <v>81</v>
      </c>
      <c r="B90" s="99" t="n">
        <f aca="false">EDATE(DATA_INICIO,$A90)</f>
        <v>48722</v>
      </c>
      <c r="C90" s="100" t="n">
        <f aca="false">IFERROR(INDEX(Motor!$F$61:$CP$301,$A90+1,($D$5-1)*15+1),0)</f>
        <v>315119.132916925</v>
      </c>
      <c r="D90" s="100" t="n">
        <f aca="false">IFERROR(INDEX(Motor!$F$61:$CP$301,$A90+1,($D$5-1)*15+4),0)</f>
        <v>2990.10020197406</v>
      </c>
      <c r="E90" s="100" t="n">
        <f aca="false">IFERROR(INDEX(Motor!$F$61:$CP$301,$A90+1,($D$5-1)*15+2),0)</f>
        <v>0</v>
      </c>
      <c r="F90" s="100" t="n">
        <f aca="false">IFERROR(INDEX(Motor!$F$61:$CP$301,$A90+1,($D$5-1)*15+3)+INDEX(Motor!$F$61:$CP$301,$A90+1,($D$5-1)*15+5)+INDEX(Motor!$F$61:$CP$301,$A90+1,($D$5-1)*15+6),0)</f>
        <v>52.5198554861542</v>
      </c>
      <c r="G90" s="100" t="n">
        <f aca="false">IFERROR(INDEX(Motor!$F$61:$CP$301,$A90+1,($D$5-1)*15+7),0)</f>
        <v>0</v>
      </c>
      <c r="H90" s="101" t="n">
        <f aca="false">IFERROR(INDEX(Motor!$F$61:$CP$301,$A90+1,($D$5-1)*15+8),0)</f>
        <v>318056.713263413</v>
      </c>
      <c r="I90" s="100" t="n">
        <f aca="false">IFERROR(INDEX(Motor!$F$61:$CP$301,$A90+1,($D$5-1)*15+12),0)</f>
        <v>25208.506989512</v>
      </c>
      <c r="J90" s="102" t="n">
        <f aca="false">IFERROR(INDEX(Motor!$F$61:$CP$301,$A90+1,($D$5-1)*15+13),0)</f>
        <v>292848.206273901</v>
      </c>
      <c r="K90" s="100" t="n">
        <f aca="false">IFERROR(INDEX(Motor!$F$61:$CP$301,$A90+1,($D$5-1)*15+14),0)</f>
        <v>224733.351206995</v>
      </c>
    </row>
    <row r="91" customFormat="false" ht="12" hidden="false" customHeight="true" outlineLevel="0" collapsed="false">
      <c r="A91" s="55" t="n">
        <v>82</v>
      </c>
      <c r="B91" s="99" t="n">
        <f aca="false">EDATE(DATA_INICIO,$A91)</f>
        <v>48753</v>
      </c>
      <c r="C91" s="100" t="n">
        <f aca="false">IFERROR(INDEX(Motor!$F$61:$CP$301,$A91+1,($D$5-1)*15+1),0)</f>
        <v>318056.713263413</v>
      </c>
      <c r="D91" s="100" t="n">
        <f aca="false">IFERROR(INDEX(Motor!$F$61:$CP$301,$A91+1,($D$5-1)*15+4),0)</f>
        <v>3017.97429361058</v>
      </c>
      <c r="E91" s="100" t="n">
        <f aca="false">IFERROR(INDEX(Motor!$F$61:$CP$301,$A91+1,($D$5-1)*15+2),0)</f>
        <v>0</v>
      </c>
      <c r="F91" s="100" t="n">
        <f aca="false">IFERROR(INDEX(Motor!$F$61:$CP$301,$A91+1,($D$5-1)*15+3)+INDEX(Motor!$F$61:$CP$301,$A91+1,($D$5-1)*15+5)+INDEX(Motor!$F$61:$CP$301,$A91+1,($D$5-1)*15+6),0)</f>
        <v>53.0094522105689</v>
      </c>
      <c r="G91" s="100" t="n">
        <f aca="false">IFERROR(INDEX(Motor!$F$61:$CP$301,$A91+1,($D$5-1)*15+7),0)</f>
        <v>0</v>
      </c>
      <c r="H91" s="101" t="n">
        <f aca="false">IFERROR(INDEX(Motor!$F$61:$CP$301,$A91+1,($D$5-1)*15+8),0)</f>
        <v>321021.678104813</v>
      </c>
      <c r="I91" s="100" t="n">
        <f aca="false">IFERROR(INDEX(Motor!$F$61:$CP$301,$A91+1,($D$5-1)*15+12),0)</f>
        <v>25653.251715722</v>
      </c>
      <c r="J91" s="102" t="n">
        <f aca="false">IFERROR(INDEX(Motor!$F$61:$CP$301,$A91+1,($D$5-1)*15+13),0)</f>
        <v>295368.426389091</v>
      </c>
      <c r="K91" s="100" t="n">
        <f aca="false">IFERROR(INDEX(Motor!$F$61:$CP$301,$A91+1,($D$5-1)*15+14),0)</f>
        <v>225927.753542693</v>
      </c>
    </row>
    <row r="92" customFormat="false" ht="12" hidden="false" customHeight="true" outlineLevel="0" collapsed="false">
      <c r="A92" s="55" t="n">
        <v>83</v>
      </c>
      <c r="B92" s="99" t="n">
        <f aca="false">EDATE(DATA_INICIO,$A92)</f>
        <v>48783</v>
      </c>
      <c r="C92" s="100" t="n">
        <f aca="false">IFERROR(INDEX(Motor!$F$61:$CP$301,$A92+1,($D$5-1)*15+1),0)</f>
        <v>321021.678104813</v>
      </c>
      <c r="D92" s="100" t="n">
        <f aca="false">IFERROR(INDEX(Motor!$F$61:$CP$301,$A92+1,($D$5-1)*15+4),0)</f>
        <v>3046.10823104895</v>
      </c>
      <c r="E92" s="100" t="n">
        <f aca="false">IFERROR(INDEX(Motor!$F$61:$CP$301,$A92+1,($D$5-1)*15+2),0)</f>
        <v>0</v>
      </c>
      <c r="F92" s="100" t="n">
        <f aca="false">IFERROR(INDEX(Motor!$F$61:$CP$301,$A92+1,($D$5-1)*15+3)+INDEX(Motor!$F$61:$CP$301,$A92+1,($D$5-1)*15+5)+INDEX(Motor!$F$61:$CP$301,$A92+1,($D$5-1)*15+6),0)</f>
        <v>53.5036130174689</v>
      </c>
      <c r="G92" s="100" t="n">
        <f aca="false">IFERROR(INDEX(Motor!$F$61:$CP$301,$A92+1,($D$5-1)*15+7),0)</f>
        <v>0</v>
      </c>
      <c r="H92" s="101" t="n">
        <f aca="false">IFERROR(INDEX(Motor!$F$61:$CP$301,$A92+1,($D$5-1)*15+8),0)</f>
        <v>324014.282722845</v>
      </c>
      <c r="I92" s="100" t="n">
        <f aca="false">IFERROR(INDEX(Motor!$F$61:$CP$301,$A92+1,($D$5-1)*15+12),0)</f>
        <v>26102.1424084267</v>
      </c>
      <c r="J92" s="102" t="n">
        <f aca="false">IFERROR(INDEX(Motor!$F$61:$CP$301,$A92+1,($D$5-1)*15+13),0)</f>
        <v>297912.140314418</v>
      </c>
      <c r="K92" s="100" t="n">
        <f aca="false">IFERROR(INDEX(Motor!$F$61:$CP$301,$A92+1,($D$5-1)*15+14),0)</f>
        <v>227129.880025642</v>
      </c>
    </row>
    <row r="93" customFormat="false" ht="12" hidden="false" customHeight="true" outlineLevel="0" collapsed="false">
      <c r="A93" s="55" t="n">
        <v>84</v>
      </c>
      <c r="B93" s="99" t="n">
        <f aca="false">EDATE(DATA_INICIO,$A93)</f>
        <v>48814</v>
      </c>
      <c r="C93" s="100" t="n">
        <f aca="false">IFERROR(INDEX(Motor!$F$61:$CP$301,$A93+1,($D$5-1)*15+1),0)</f>
        <v>324014.282722845</v>
      </c>
      <c r="D93" s="100" t="n">
        <f aca="false">IFERROR(INDEX(Motor!$F$61:$CP$301,$A93+1,($D$5-1)*15+4),0)</f>
        <v>3074.50443660452</v>
      </c>
      <c r="E93" s="100" t="n">
        <f aca="false">IFERROR(INDEX(Motor!$F$61:$CP$301,$A93+1,($D$5-1)*15+2),0)</f>
        <v>0</v>
      </c>
      <c r="F93" s="100" t="n">
        <f aca="false">IFERROR(INDEX(Motor!$F$61:$CP$301,$A93+1,($D$5-1)*15+3)+INDEX(Motor!$F$61:$CP$301,$A93+1,($D$5-1)*15+5)+INDEX(Motor!$F$61:$CP$301,$A93+1,($D$5-1)*15+6),0)</f>
        <v>54.0023804538075</v>
      </c>
      <c r="G93" s="100" t="n">
        <f aca="false">IFERROR(INDEX(Motor!$F$61:$CP$301,$A93+1,($D$5-1)*15+7),0)</f>
        <v>0</v>
      </c>
      <c r="H93" s="101" t="n">
        <f aca="false">IFERROR(INDEX(Motor!$F$61:$CP$301,$A93+1,($D$5-1)*15+8),0)</f>
        <v>327034.784778996</v>
      </c>
      <c r="I93" s="100" t="n">
        <f aca="false">IFERROR(INDEX(Motor!$F$61:$CP$301,$A93+1,($D$5-1)*15+12),0)</f>
        <v>26555.2177168493</v>
      </c>
      <c r="J93" s="102" t="n">
        <f aca="false">IFERROR(INDEX(Motor!$F$61:$CP$301,$A93+1,($D$5-1)*15+13),0)</f>
        <v>300479.567062146</v>
      </c>
      <c r="K93" s="100" t="n">
        <f aca="false">IFERROR(INDEX(Motor!$F$61:$CP$301,$A93+1,($D$5-1)*15+14),0)</f>
        <v>228339.775513769</v>
      </c>
    </row>
    <row r="94" customFormat="false" ht="12" hidden="false" customHeight="true" outlineLevel="0" collapsed="false">
      <c r="A94" s="55" t="n">
        <v>85</v>
      </c>
      <c r="B94" s="99" t="n">
        <f aca="false">EDATE(DATA_INICIO,$A94)</f>
        <v>48845</v>
      </c>
      <c r="C94" s="100" t="n">
        <f aca="false">IFERROR(INDEX(Motor!$F$61:$CP$301,$A94+1,($D$5-1)*15+1),0)</f>
        <v>327034.784778996</v>
      </c>
      <c r="D94" s="100" t="n">
        <f aca="false">IFERROR(INDEX(Motor!$F$61:$CP$301,$A94+1,($D$5-1)*15+4),0)</f>
        <v>3103.16535517382</v>
      </c>
      <c r="E94" s="100" t="n">
        <f aca="false">IFERROR(INDEX(Motor!$F$61:$CP$301,$A94+1,($D$5-1)*15+2),0)</f>
        <v>0</v>
      </c>
      <c r="F94" s="100" t="n">
        <f aca="false">IFERROR(INDEX(Motor!$F$61:$CP$301,$A94+1,($D$5-1)*15+3)+INDEX(Motor!$F$61:$CP$301,$A94+1,($D$5-1)*15+5)+INDEX(Motor!$F$61:$CP$301,$A94+1,($D$5-1)*15+6),0)</f>
        <v>54.5057974631659</v>
      </c>
      <c r="G94" s="100" t="n">
        <f aca="false">IFERROR(INDEX(Motor!$F$61:$CP$301,$A94+1,($D$5-1)*15+7),0)</f>
        <v>0</v>
      </c>
      <c r="H94" s="101" t="n">
        <f aca="false">IFERROR(INDEX(Motor!$F$61:$CP$301,$A94+1,($D$5-1)*15+8),0)</f>
        <v>330083.444336706</v>
      </c>
      <c r="I94" s="100" t="n">
        <f aca="false">IFERROR(INDEX(Motor!$F$61:$CP$301,$A94+1,($D$5-1)*15+12),0)</f>
        <v>27012.5166505059</v>
      </c>
      <c r="J94" s="102" t="n">
        <f aca="false">IFERROR(INDEX(Motor!$F$61:$CP$301,$A94+1,($D$5-1)*15+13),0)</f>
        <v>303070.9276862</v>
      </c>
      <c r="K94" s="100" t="n">
        <f aca="false">IFERROR(INDEX(Motor!$F$61:$CP$301,$A94+1,($D$5-1)*15+14),0)</f>
        <v>229557.48514101</v>
      </c>
    </row>
    <row r="95" customFormat="false" ht="12" hidden="false" customHeight="true" outlineLevel="0" collapsed="false">
      <c r="A95" s="55" t="n">
        <v>86</v>
      </c>
      <c r="B95" s="99" t="n">
        <f aca="false">EDATE(DATA_INICIO,$A95)</f>
        <v>48875</v>
      </c>
      <c r="C95" s="100" t="n">
        <f aca="false">IFERROR(INDEX(Motor!$F$61:$CP$301,$A95+1,($D$5-1)*15+1),0)</f>
        <v>330083.444336706</v>
      </c>
      <c r="D95" s="100" t="n">
        <f aca="false">IFERROR(INDEX(Motor!$F$61:$CP$301,$A95+1,($D$5-1)*15+4),0)</f>
        <v>3132.09345444497</v>
      </c>
      <c r="E95" s="100" t="n">
        <f aca="false">IFERROR(INDEX(Motor!$F$61:$CP$301,$A95+1,($D$5-1)*15+2),0)</f>
        <v>0</v>
      </c>
      <c r="F95" s="100" t="n">
        <f aca="false">IFERROR(INDEX(Motor!$F$61:$CP$301,$A95+1,($D$5-1)*15+3)+INDEX(Motor!$F$61:$CP$301,$A95+1,($D$5-1)*15+5)+INDEX(Motor!$F$61:$CP$301,$A95+1,($D$5-1)*15+6),0)</f>
        <v>55.013907389451</v>
      </c>
      <c r="G95" s="100" t="n">
        <f aca="false">IFERROR(INDEX(Motor!$F$61:$CP$301,$A95+1,($D$5-1)*15+7),0)</f>
        <v>0</v>
      </c>
      <c r="H95" s="101" t="n">
        <f aca="false">IFERROR(INDEX(Motor!$F$61:$CP$301,$A95+1,($D$5-1)*15+8),0)</f>
        <v>333160.523883762</v>
      </c>
      <c r="I95" s="100" t="n">
        <f aca="false">IFERROR(INDEX(Motor!$F$61:$CP$301,$A95+1,($D$5-1)*15+12),0)</f>
        <v>27474.0785825643</v>
      </c>
      <c r="J95" s="102" t="n">
        <f aca="false">IFERROR(INDEX(Motor!$F$61:$CP$301,$A95+1,($D$5-1)*15+13),0)</f>
        <v>305686.445301197</v>
      </c>
      <c r="K95" s="100" t="n">
        <f aca="false">IFERROR(INDEX(Motor!$F$61:$CP$301,$A95+1,($D$5-1)*15+14),0)</f>
        <v>230783.054318954</v>
      </c>
    </row>
    <row r="96" customFormat="false" ht="12" hidden="false" customHeight="true" outlineLevel="0" collapsed="false">
      <c r="A96" s="55" t="n">
        <v>87</v>
      </c>
      <c r="B96" s="99" t="n">
        <f aca="false">EDATE(DATA_INICIO,$A96)</f>
        <v>48906</v>
      </c>
      <c r="C96" s="100" t="n">
        <f aca="false">IFERROR(INDEX(Motor!$F$61:$CP$301,$A96+1,($D$5-1)*15+1),0)</f>
        <v>333160.523883762</v>
      </c>
      <c r="D96" s="100" t="n">
        <f aca="false">IFERROR(INDEX(Motor!$F$61:$CP$301,$A96+1,($D$5-1)*15+4),0)</f>
        <v>3161.29122511022</v>
      </c>
      <c r="E96" s="100" t="n">
        <f aca="false">IFERROR(INDEX(Motor!$F$61:$CP$301,$A96+1,($D$5-1)*15+2),0)</f>
        <v>0</v>
      </c>
      <c r="F96" s="100" t="n">
        <f aca="false">IFERROR(INDEX(Motor!$F$61:$CP$301,$A96+1,($D$5-1)*15+3)+INDEX(Motor!$F$61:$CP$301,$A96+1,($D$5-1)*15+5)+INDEX(Motor!$F$61:$CP$301,$A96+1,($D$5-1)*15+6),0)</f>
        <v>55.526753980627</v>
      </c>
      <c r="G96" s="100" t="n">
        <f aca="false">IFERROR(INDEX(Motor!$F$61:$CP$301,$A96+1,($D$5-1)*15+7),0)</f>
        <v>0</v>
      </c>
      <c r="H96" s="101" t="n">
        <f aca="false">IFERROR(INDEX(Motor!$F$61:$CP$301,$A96+1,($D$5-1)*15+8),0)</f>
        <v>336266.288354891</v>
      </c>
      <c r="I96" s="100" t="n">
        <f aca="false">IFERROR(INDEX(Motor!$F$61:$CP$301,$A96+1,($D$5-1)*15+12),0)</f>
        <v>27939.9432532337</v>
      </c>
      <c r="J96" s="102" t="n">
        <f aca="false">IFERROR(INDEX(Motor!$F$61:$CP$301,$A96+1,($D$5-1)*15+13),0)</f>
        <v>308326.345101658</v>
      </c>
      <c r="K96" s="100" t="n">
        <f aca="false">IFERROR(INDEX(Motor!$F$61:$CP$301,$A96+1,($D$5-1)*15+14),0)</f>
        <v>232016.528738495</v>
      </c>
    </row>
    <row r="97" customFormat="false" ht="12" hidden="false" customHeight="true" outlineLevel="0" collapsed="false">
      <c r="A97" s="55" t="n">
        <v>88</v>
      </c>
      <c r="B97" s="99" t="n">
        <f aca="false">EDATE(DATA_INICIO,$A97)</f>
        <v>48936</v>
      </c>
      <c r="C97" s="100" t="n">
        <f aca="false">IFERROR(INDEX(Motor!$F$61:$CP$301,$A97+1,($D$5-1)*15+1),0)</f>
        <v>336266.288354891</v>
      </c>
      <c r="D97" s="100" t="n">
        <f aca="false">IFERROR(INDEX(Motor!$F$61:$CP$301,$A97+1,($D$5-1)*15+4),0)</f>
        <v>3190.76118108036</v>
      </c>
      <c r="E97" s="100" t="n">
        <f aca="false">IFERROR(INDEX(Motor!$F$61:$CP$301,$A97+1,($D$5-1)*15+2),0)</f>
        <v>0</v>
      </c>
      <c r="F97" s="100" t="n">
        <f aca="false">IFERROR(INDEX(Motor!$F$61:$CP$301,$A97+1,($D$5-1)*15+3)+INDEX(Motor!$F$61:$CP$301,$A97+1,($D$5-1)*15+5)+INDEX(Motor!$F$61:$CP$301,$A97+1,($D$5-1)*15+6),0)</f>
        <v>56.0443813924819</v>
      </c>
      <c r="G97" s="100" t="n">
        <f aca="false">IFERROR(INDEX(Motor!$F$61:$CP$301,$A97+1,($D$5-1)*15+7),0)</f>
        <v>0</v>
      </c>
      <c r="H97" s="101" t="n">
        <f aca="false">IFERROR(INDEX(Motor!$F$61:$CP$301,$A97+1,($D$5-1)*15+8),0)</f>
        <v>339401.005154579</v>
      </c>
      <c r="I97" s="100" t="n">
        <f aca="false">IFERROR(INDEX(Motor!$F$61:$CP$301,$A97+1,($D$5-1)*15+12),0)</f>
        <v>28410.1507731869</v>
      </c>
      <c r="J97" s="102" t="n">
        <f aca="false">IFERROR(INDEX(Motor!$F$61:$CP$301,$A97+1,($D$5-1)*15+13),0)</f>
        <v>310990.854381392</v>
      </c>
      <c r="K97" s="100" t="n">
        <f aca="false">IFERROR(INDEX(Motor!$F$61:$CP$301,$A97+1,($D$5-1)*15+14),0)</f>
        <v>233257.954371506</v>
      </c>
    </row>
    <row r="98" customFormat="false" ht="12" hidden="false" customHeight="true" outlineLevel="0" collapsed="false">
      <c r="A98" s="55" t="n">
        <v>89</v>
      </c>
      <c r="B98" s="99" t="n">
        <f aca="false">EDATE(DATA_INICIO,$A98)</f>
        <v>48967</v>
      </c>
      <c r="C98" s="100" t="n">
        <f aca="false">IFERROR(INDEX(Motor!$F$61:$CP$301,$A98+1,($D$5-1)*15+1),0)</f>
        <v>339401.005154579</v>
      </c>
      <c r="D98" s="100" t="n">
        <f aca="false">IFERROR(INDEX(Motor!$F$61:$CP$301,$A98+1,($D$5-1)*15+4),0)</f>
        <v>3220.50585970116</v>
      </c>
      <c r="E98" s="100" t="n">
        <f aca="false">IFERROR(INDEX(Motor!$F$61:$CP$301,$A98+1,($D$5-1)*15+2),0)</f>
        <v>0</v>
      </c>
      <c r="F98" s="100" t="n">
        <f aca="false">IFERROR(INDEX(Motor!$F$61:$CP$301,$A98+1,($D$5-1)*15+3)+INDEX(Motor!$F$61:$CP$301,$A98+1,($D$5-1)*15+5)+INDEX(Motor!$F$61:$CP$301,$A98+1,($D$5-1)*15+6),0)</f>
        <v>56.5668341924299</v>
      </c>
      <c r="G98" s="100" t="n">
        <f aca="false">IFERROR(INDEX(Motor!$F$61:$CP$301,$A98+1,($D$5-1)*15+7),0)</f>
        <v>0</v>
      </c>
      <c r="H98" s="101" t="n">
        <f aca="false">IFERROR(INDEX(Motor!$F$61:$CP$301,$A98+1,($D$5-1)*15+8),0)</f>
        <v>342564.944180088</v>
      </c>
      <c r="I98" s="100" t="n">
        <f aca="false">IFERROR(INDEX(Motor!$F$61:$CP$301,$A98+1,($D$5-1)*15+12),0)</f>
        <v>28884.7416270132</v>
      </c>
      <c r="J98" s="102" t="n">
        <f aca="false">IFERROR(INDEX(Motor!$F$61:$CP$301,$A98+1,($D$5-1)*15+13),0)</f>
        <v>313680.202553075</v>
      </c>
      <c r="K98" s="100" t="n">
        <f aca="false">IFERROR(INDEX(Motor!$F$61:$CP$301,$A98+1,($D$5-1)*15+14),0)</f>
        <v>234507.377472505</v>
      </c>
    </row>
    <row r="99" customFormat="false" ht="12" hidden="false" customHeight="true" outlineLevel="0" collapsed="false">
      <c r="A99" s="55" t="n">
        <v>90</v>
      </c>
      <c r="B99" s="99" t="n">
        <f aca="false">EDATE(DATA_INICIO,$A99)</f>
        <v>48998</v>
      </c>
      <c r="C99" s="100" t="n">
        <f aca="false">IFERROR(INDEX(Motor!$F$61:$CP$301,$A99+1,($D$5-1)*15+1),0)</f>
        <v>342564.944180088</v>
      </c>
      <c r="D99" s="100" t="n">
        <f aca="false">IFERROR(INDEX(Motor!$F$61:$CP$301,$A99+1,($D$5-1)*15+4),0)</f>
        <v>3250.52782197185</v>
      </c>
      <c r="E99" s="100" t="n">
        <f aca="false">IFERROR(INDEX(Motor!$F$61:$CP$301,$A99+1,($D$5-1)*15+2),0)</f>
        <v>0</v>
      </c>
      <c r="F99" s="100" t="n">
        <f aca="false">IFERROR(INDEX(Motor!$F$61:$CP$301,$A99+1,($D$5-1)*15+3)+INDEX(Motor!$F$61:$CP$301,$A99+1,($D$5-1)*15+5)+INDEX(Motor!$F$61:$CP$301,$A99+1,($D$5-1)*15+6),0)</f>
        <v>57.094157363348</v>
      </c>
      <c r="G99" s="100" t="n">
        <f aca="false">IFERROR(INDEX(Motor!$F$61:$CP$301,$A99+1,($D$5-1)*15+7),0)</f>
        <v>0</v>
      </c>
      <c r="H99" s="101" t="n">
        <f aca="false">IFERROR(INDEX(Motor!$F$61:$CP$301,$A99+1,($D$5-1)*15+8),0)</f>
        <v>345758.377844696</v>
      </c>
      <c r="I99" s="100" t="n">
        <f aca="false">IFERROR(INDEX(Motor!$F$61:$CP$301,$A99+1,($D$5-1)*15+12),0)</f>
        <v>29363.7566767045</v>
      </c>
      <c r="J99" s="102" t="n">
        <f aca="false">IFERROR(INDEX(Motor!$F$61:$CP$301,$A99+1,($D$5-1)*15+13),0)</f>
        <v>316394.621167992</v>
      </c>
      <c r="K99" s="100" t="n">
        <f aca="false">IFERROR(INDEX(Motor!$F$61:$CP$301,$A99+1,($D$5-1)*15+14),0)</f>
        <v>235764.844580351</v>
      </c>
    </row>
    <row r="100" customFormat="false" ht="12" hidden="false" customHeight="true" outlineLevel="0" collapsed="false">
      <c r="A100" s="55" t="n">
        <v>91</v>
      </c>
      <c r="B100" s="99" t="n">
        <f aca="false">EDATE(DATA_INICIO,$A100)</f>
        <v>49026</v>
      </c>
      <c r="C100" s="100" t="n">
        <f aca="false">IFERROR(INDEX(Motor!$F$61:$CP$301,$A100+1,($D$5-1)*15+1),0)</f>
        <v>345758.377844696</v>
      </c>
      <c r="D100" s="100" t="n">
        <f aca="false">IFERROR(INDEX(Motor!$F$61:$CP$301,$A100+1,($D$5-1)*15+4),0)</f>
        <v>3280.82965276565</v>
      </c>
      <c r="E100" s="100" t="n">
        <f aca="false">IFERROR(INDEX(Motor!$F$61:$CP$301,$A100+1,($D$5-1)*15+2),0)</f>
        <v>0</v>
      </c>
      <c r="F100" s="100" t="n">
        <f aca="false">IFERROR(INDEX(Motor!$F$61:$CP$301,$A100+1,($D$5-1)*15+3)+INDEX(Motor!$F$61:$CP$301,$A100+1,($D$5-1)*15+5)+INDEX(Motor!$F$61:$CP$301,$A100+1,($D$5-1)*15+6),0)</f>
        <v>57.6263963074494</v>
      </c>
      <c r="G100" s="100" t="n">
        <f aca="false">IFERROR(INDEX(Motor!$F$61:$CP$301,$A100+1,($D$5-1)*15+7),0)</f>
        <v>0</v>
      </c>
      <c r="H100" s="101" t="n">
        <f aca="false">IFERROR(INDEX(Motor!$F$61:$CP$301,$A100+1,($D$5-1)*15+8),0)</f>
        <v>348981.581101155</v>
      </c>
      <c r="I100" s="100" t="n">
        <f aca="false">IFERROR(INDEX(Motor!$F$61:$CP$301,$A100+1,($D$5-1)*15+12),0)</f>
        <v>29847.2371651732</v>
      </c>
      <c r="J100" s="102" t="n">
        <f aca="false">IFERROR(INDEX(Motor!$F$61:$CP$301,$A100+1,($D$5-1)*15+13),0)</f>
        <v>319134.343935981</v>
      </c>
      <c r="K100" s="100" t="n">
        <f aca="false">IFERROR(INDEX(Motor!$F$61:$CP$301,$A100+1,($D$5-1)*15+14),0)</f>
        <v>237030.402519931</v>
      </c>
    </row>
    <row r="101" customFormat="false" ht="12" hidden="false" customHeight="true" outlineLevel="0" collapsed="false">
      <c r="A101" s="55" t="n">
        <v>92</v>
      </c>
      <c r="B101" s="99" t="n">
        <f aca="false">EDATE(DATA_INICIO,$A101)</f>
        <v>49057</v>
      </c>
      <c r="C101" s="100" t="n">
        <f aca="false">IFERROR(INDEX(Motor!$F$61:$CP$301,$A101+1,($D$5-1)*15+1),0)</f>
        <v>348981.581101155</v>
      </c>
      <c r="D101" s="100" t="n">
        <f aca="false">IFERROR(INDEX(Motor!$F$61:$CP$301,$A101+1,($D$5-1)*15+4),0)</f>
        <v>3311.41396105226</v>
      </c>
      <c r="E101" s="100" t="n">
        <f aca="false">IFERROR(INDEX(Motor!$F$61:$CP$301,$A101+1,($D$5-1)*15+2),0)</f>
        <v>0</v>
      </c>
      <c r="F101" s="100" t="n">
        <f aca="false">IFERROR(INDEX(Motor!$F$61:$CP$301,$A101+1,($D$5-1)*15+3)+INDEX(Motor!$F$61:$CP$301,$A101+1,($D$5-1)*15+5)+INDEX(Motor!$F$61:$CP$301,$A101+1,($D$5-1)*15+6),0)</f>
        <v>58.1635968501924</v>
      </c>
      <c r="G101" s="100" t="n">
        <f aca="false">IFERROR(INDEX(Motor!$F$61:$CP$301,$A101+1,($D$5-1)*15+7),0)</f>
        <v>0</v>
      </c>
      <c r="H101" s="101" t="n">
        <f aca="false">IFERROR(INDEX(Motor!$F$61:$CP$301,$A101+1,($D$5-1)*15+8),0)</f>
        <v>352234.831465357</v>
      </c>
      <c r="I101" s="100" t="n">
        <f aca="false">IFERROR(INDEX(Motor!$F$61:$CP$301,$A101+1,($D$5-1)*15+12),0)</f>
        <v>30335.2247198035</v>
      </c>
      <c r="J101" s="102" t="n">
        <f aca="false">IFERROR(INDEX(Motor!$F$61:$CP$301,$A101+1,($D$5-1)*15+13),0)</f>
        <v>321899.606745553</v>
      </c>
      <c r="K101" s="100" t="n">
        <f aca="false">IFERROR(INDEX(Motor!$F$61:$CP$301,$A101+1,($D$5-1)*15+14),0)</f>
        <v>238304.098403874</v>
      </c>
    </row>
    <row r="102" customFormat="false" ht="12" hidden="false" customHeight="true" outlineLevel="0" collapsed="false">
      <c r="A102" s="55" t="n">
        <v>93</v>
      </c>
      <c r="B102" s="99" t="n">
        <f aca="false">EDATE(DATA_INICIO,$A102)</f>
        <v>49087</v>
      </c>
      <c r="C102" s="100" t="n">
        <f aca="false">IFERROR(INDEX(Motor!$F$61:$CP$301,$A102+1,($D$5-1)*15+1),0)</f>
        <v>352234.831465357</v>
      </c>
      <c r="D102" s="100" t="n">
        <f aca="false">IFERROR(INDEX(Motor!$F$61:$CP$301,$A102+1,($D$5-1)*15+4),0)</f>
        <v>3342.28338012253</v>
      </c>
      <c r="E102" s="100" t="n">
        <f aca="false">IFERROR(INDEX(Motor!$F$61:$CP$301,$A102+1,($D$5-1)*15+2),0)</f>
        <v>0</v>
      </c>
      <c r="F102" s="100" t="n">
        <f aca="false">IFERROR(INDEX(Motor!$F$61:$CP$301,$A102+1,($D$5-1)*15+3)+INDEX(Motor!$F$61:$CP$301,$A102+1,($D$5-1)*15+5)+INDEX(Motor!$F$61:$CP$301,$A102+1,($D$5-1)*15+6),0)</f>
        <v>58.7058052442261</v>
      </c>
      <c r="G102" s="100" t="n">
        <f aca="false">IFERROR(INDEX(Motor!$F$61:$CP$301,$A102+1,($D$5-1)*15+7),0)</f>
        <v>0</v>
      </c>
      <c r="H102" s="101" t="n">
        <f aca="false">IFERROR(INDEX(Motor!$F$61:$CP$301,$A102+1,($D$5-1)*15+8),0)</f>
        <v>355518.409040235</v>
      </c>
      <c r="I102" s="100" t="n">
        <f aca="false">IFERROR(INDEX(Motor!$F$61:$CP$301,$A102+1,($D$5-1)*15+12),0)</f>
        <v>30827.7613560353</v>
      </c>
      <c r="J102" s="102" t="n">
        <f aca="false">IFERROR(INDEX(Motor!$F$61:$CP$301,$A102+1,($D$5-1)*15+13),0)</f>
        <v>324690.6476842</v>
      </c>
      <c r="K102" s="100" t="n">
        <f aca="false">IFERROR(INDEX(Motor!$F$61:$CP$301,$A102+1,($D$5-1)*15+14),0)</f>
        <v>239585.979634263</v>
      </c>
    </row>
    <row r="103" customFormat="false" ht="12" hidden="false" customHeight="true" outlineLevel="0" collapsed="false">
      <c r="A103" s="55" t="n">
        <v>94</v>
      </c>
      <c r="B103" s="99" t="n">
        <f aca="false">EDATE(DATA_INICIO,$A103)</f>
        <v>49118</v>
      </c>
      <c r="C103" s="100" t="n">
        <f aca="false">IFERROR(INDEX(Motor!$F$61:$CP$301,$A103+1,($D$5-1)*15+1),0)</f>
        <v>355518.409040235</v>
      </c>
      <c r="D103" s="100" t="n">
        <f aca="false">IFERROR(INDEX(Motor!$F$61:$CP$301,$A103+1,($D$5-1)*15+4),0)</f>
        <v>3373.44056781519</v>
      </c>
      <c r="E103" s="100" t="n">
        <f aca="false">IFERROR(INDEX(Motor!$F$61:$CP$301,$A103+1,($D$5-1)*15+2),0)</f>
        <v>0</v>
      </c>
      <c r="F103" s="100" t="n">
        <f aca="false">IFERROR(INDEX(Motor!$F$61:$CP$301,$A103+1,($D$5-1)*15+3)+INDEX(Motor!$F$61:$CP$301,$A103+1,($D$5-1)*15+5)+INDEX(Motor!$F$61:$CP$301,$A103+1,($D$5-1)*15+6),0)</f>
        <v>59.2530681733725</v>
      </c>
      <c r="G103" s="100" t="n">
        <f aca="false">IFERROR(INDEX(Motor!$F$61:$CP$301,$A103+1,($D$5-1)*15+7),0)</f>
        <v>0</v>
      </c>
      <c r="H103" s="101" t="n">
        <f aca="false">IFERROR(INDEX(Motor!$F$61:$CP$301,$A103+1,($D$5-1)*15+8),0)</f>
        <v>358832.596539877</v>
      </c>
      <c r="I103" s="100" t="n">
        <f aca="false">IFERROR(INDEX(Motor!$F$61:$CP$301,$A103+1,($D$5-1)*15+12),0)</f>
        <v>31324.8894809815</v>
      </c>
      <c r="J103" s="102" t="n">
        <f aca="false">IFERROR(INDEX(Motor!$F$61:$CP$301,$A103+1,($D$5-1)*15+13),0)</f>
        <v>327507.707058895</v>
      </c>
      <c r="K103" s="100" t="n">
        <f aca="false">IFERROR(INDEX(Motor!$F$61:$CP$301,$A103+1,($D$5-1)*15+14),0)</f>
        <v>240876.093904365</v>
      </c>
    </row>
    <row r="104" customFormat="false" ht="12" hidden="false" customHeight="true" outlineLevel="0" collapsed="false">
      <c r="A104" s="55" t="n">
        <v>95</v>
      </c>
      <c r="B104" s="99" t="n">
        <f aca="false">EDATE(DATA_INICIO,$A104)</f>
        <v>49148</v>
      </c>
      <c r="C104" s="100" t="n">
        <f aca="false">IFERROR(INDEX(Motor!$F$61:$CP$301,$A104+1,($D$5-1)*15+1),0)</f>
        <v>358832.596539877</v>
      </c>
      <c r="D104" s="100" t="n">
        <f aca="false">IFERROR(INDEX(Motor!$F$61:$CP$301,$A104+1,($D$5-1)*15+4),0)</f>
        <v>3404.88820674567</v>
      </c>
      <c r="E104" s="100" t="n">
        <f aca="false">IFERROR(INDEX(Motor!$F$61:$CP$301,$A104+1,($D$5-1)*15+2),0)</f>
        <v>0</v>
      </c>
      <c r="F104" s="100" t="n">
        <f aca="false">IFERROR(INDEX(Motor!$F$61:$CP$301,$A104+1,($D$5-1)*15+3)+INDEX(Motor!$F$61:$CP$301,$A104+1,($D$5-1)*15+5)+INDEX(Motor!$F$61:$CP$301,$A104+1,($D$5-1)*15+6),0)</f>
        <v>59.8054327566462</v>
      </c>
      <c r="G104" s="100" t="n">
        <f aca="false">IFERROR(INDEX(Motor!$F$61:$CP$301,$A104+1,($D$5-1)*15+7),0)</f>
        <v>0</v>
      </c>
      <c r="H104" s="101" t="n">
        <f aca="false">IFERROR(INDEX(Motor!$F$61:$CP$301,$A104+1,($D$5-1)*15+8),0)</f>
        <v>362177.679313866</v>
      </c>
      <c r="I104" s="100" t="n">
        <f aca="false">IFERROR(INDEX(Motor!$F$61:$CP$301,$A104+1,($D$5-1)*15+12),0)</f>
        <v>31826.6518970799</v>
      </c>
      <c r="J104" s="102" t="n">
        <f aca="false">IFERROR(INDEX(Motor!$F$61:$CP$301,$A104+1,($D$5-1)*15+13),0)</f>
        <v>330351.027416786</v>
      </c>
      <c r="K104" s="100" t="n">
        <f aca="false">IFERROR(INDEX(Motor!$F$61:$CP$301,$A104+1,($D$5-1)*15+14),0)</f>
        <v>242174.489200369</v>
      </c>
    </row>
    <row r="105" customFormat="false" ht="12" hidden="false" customHeight="true" outlineLevel="0" collapsed="false">
      <c r="A105" s="55" t="n">
        <v>96</v>
      </c>
      <c r="B105" s="99" t="n">
        <f aca="false">EDATE(DATA_INICIO,$A105)</f>
        <v>49179</v>
      </c>
      <c r="C105" s="100" t="n">
        <f aca="false">IFERROR(INDEX(Motor!$F$61:$CP$301,$A105+1,($D$5-1)*15+1),0)</f>
        <v>362177.679313866</v>
      </c>
      <c r="D105" s="100" t="n">
        <f aca="false">IFERROR(INDEX(Motor!$F$61:$CP$301,$A105+1,($D$5-1)*15+4),0)</f>
        <v>3436.62900453709</v>
      </c>
      <c r="E105" s="100" t="n">
        <f aca="false">IFERROR(INDEX(Motor!$F$61:$CP$301,$A105+1,($D$5-1)*15+2),0)</f>
        <v>0</v>
      </c>
      <c r="F105" s="100" t="n">
        <f aca="false">IFERROR(INDEX(Motor!$F$61:$CP$301,$A105+1,($D$5-1)*15+3)+INDEX(Motor!$F$61:$CP$301,$A105+1,($D$5-1)*15+5)+INDEX(Motor!$F$61:$CP$301,$A105+1,($D$5-1)*15+6),0)</f>
        <v>60.362946552311</v>
      </c>
      <c r="G105" s="100" t="n">
        <f aca="false">IFERROR(INDEX(Motor!$F$61:$CP$301,$A105+1,($D$5-1)*15+7),0)</f>
        <v>0</v>
      </c>
      <c r="H105" s="101" t="n">
        <f aca="false">IFERROR(INDEX(Motor!$F$61:$CP$301,$A105+1,($D$5-1)*15+8),0)</f>
        <v>365553.945371851</v>
      </c>
      <c r="I105" s="100" t="n">
        <f aca="false">IFERROR(INDEX(Motor!$F$61:$CP$301,$A105+1,($D$5-1)*15+12),0)</f>
        <v>32333.0918057776</v>
      </c>
      <c r="J105" s="102" t="n">
        <f aca="false">IFERROR(INDEX(Motor!$F$61:$CP$301,$A105+1,($D$5-1)*15+13),0)</f>
        <v>333220.853566073</v>
      </c>
      <c r="K105" s="100" t="n">
        <f aca="false">IFERROR(INDEX(Motor!$F$61:$CP$301,$A105+1,($D$5-1)*15+14),0)</f>
        <v>243481.21380313</v>
      </c>
    </row>
    <row r="106" customFormat="false" ht="12" hidden="false" customHeight="true" outlineLevel="0" collapsed="false">
      <c r="A106" s="55" t="n">
        <v>97</v>
      </c>
      <c r="B106" s="99" t="n">
        <f aca="false">EDATE(DATA_INICIO,$A106)</f>
        <v>49210</v>
      </c>
      <c r="C106" s="100" t="n">
        <f aca="false">IFERROR(INDEX(Motor!$F$61:$CP$301,$A106+1,($D$5-1)*15+1),0)</f>
        <v>365553.945371851</v>
      </c>
      <c r="D106" s="100" t="n">
        <f aca="false">IFERROR(INDEX(Motor!$F$61:$CP$301,$A106+1,($D$5-1)*15+4),0)</f>
        <v>3468.66569405337</v>
      </c>
      <c r="E106" s="100" t="n">
        <f aca="false">IFERROR(INDEX(Motor!$F$61:$CP$301,$A106+1,($D$5-1)*15+2),0)</f>
        <v>0</v>
      </c>
      <c r="F106" s="100" t="n">
        <f aca="false">IFERROR(INDEX(Motor!$F$61:$CP$301,$A106+1,($D$5-1)*15+3)+INDEX(Motor!$F$61:$CP$301,$A106+1,($D$5-1)*15+5)+INDEX(Motor!$F$61:$CP$301,$A106+1,($D$5-1)*15+6),0)</f>
        <v>60.9256575619751</v>
      </c>
      <c r="G106" s="100" t="n">
        <f aca="false">IFERROR(INDEX(Motor!$F$61:$CP$301,$A106+1,($D$5-1)*15+7),0)</f>
        <v>0</v>
      </c>
      <c r="H106" s="101" t="n">
        <f aca="false">IFERROR(INDEX(Motor!$F$61:$CP$301,$A106+1,($D$5-1)*15+8),0)</f>
        <v>368961.685408342</v>
      </c>
      <c r="I106" s="100" t="n">
        <f aca="false">IFERROR(INDEX(Motor!$F$61:$CP$301,$A106+1,($D$5-1)*15+12),0)</f>
        <v>32844.2528112513</v>
      </c>
      <c r="J106" s="102" t="n">
        <f aca="false">IFERROR(INDEX(Motor!$F$61:$CP$301,$A106+1,($D$5-1)*15+13),0)</f>
        <v>336117.432597091</v>
      </c>
      <c r="K106" s="100" t="n">
        <f aca="false">IFERROR(INDEX(Motor!$F$61:$CP$301,$A106+1,($D$5-1)*15+14),0)</f>
        <v>244796.316289935</v>
      </c>
    </row>
    <row r="107" customFormat="false" ht="12" hidden="false" customHeight="true" outlineLevel="0" collapsed="false">
      <c r="A107" s="55" t="n">
        <v>98</v>
      </c>
      <c r="B107" s="99" t="n">
        <f aca="false">EDATE(DATA_INICIO,$A107)</f>
        <v>49240</v>
      </c>
      <c r="C107" s="100" t="n">
        <f aca="false">IFERROR(INDEX(Motor!$F$61:$CP$301,$A107+1,($D$5-1)*15+1),0)</f>
        <v>368961.685408342</v>
      </c>
      <c r="D107" s="100" t="n">
        <f aca="false">IFERROR(INDEX(Motor!$F$61:$CP$301,$A107+1,($D$5-1)*15+4),0)</f>
        <v>3501.00103363453</v>
      </c>
      <c r="E107" s="100" t="n">
        <f aca="false">IFERROR(INDEX(Motor!$F$61:$CP$301,$A107+1,($D$5-1)*15+2),0)</f>
        <v>0</v>
      </c>
      <c r="F107" s="100" t="n">
        <f aca="false">IFERROR(INDEX(Motor!$F$61:$CP$301,$A107+1,($D$5-1)*15+3)+INDEX(Motor!$F$61:$CP$301,$A107+1,($D$5-1)*15+5)+INDEX(Motor!$F$61:$CP$301,$A107+1,($D$5-1)*15+6),0)</f>
        <v>61.4936142347237</v>
      </c>
      <c r="G107" s="100" t="n">
        <f aca="false">IFERROR(INDEX(Motor!$F$61:$CP$301,$A107+1,($D$5-1)*15+7),0)</f>
        <v>0</v>
      </c>
      <c r="H107" s="101" t="n">
        <f aca="false">IFERROR(INDEX(Motor!$F$61:$CP$301,$A107+1,($D$5-1)*15+8),0)</f>
        <v>372401.192827742</v>
      </c>
      <c r="I107" s="100" t="n">
        <f aca="false">IFERROR(INDEX(Motor!$F$61:$CP$301,$A107+1,($D$5-1)*15+12),0)</f>
        <v>33360.1789241613</v>
      </c>
      <c r="J107" s="102" t="n">
        <f aca="false">IFERROR(INDEX(Motor!$F$61:$CP$301,$A107+1,($D$5-1)*15+13),0)</f>
        <v>339041.013903581</v>
      </c>
      <c r="K107" s="100" t="n">
        <f aca="false">IFERROR(INDEX(Motor!$F$61:$CP$301,$A107+1,($D$5-1)*15+14),0)</f>
        <v>246119.845536265</v>
      </c>
    </row>
    <row r="108" customFormat="false" ht="12" hidden="false" customHeight="true" outlineLevel="0" collapsed="false">
      <c r="A108" s="55" t="n">
        <v>99</v>
      </c>
      <c r="B108" s="99" t="n">
        <f aca="false">EDATE(DATA_INICIO,$A108)</f>
        <v>49271</v>
      </c>
      <c r="C108" s="100" t="n">
        <f aca="false">IFERROR(INDEX(Motor!$F$61:$CP$301,$A108+1,($D$5-1)*15+1),0)</f>
        <v>372401.192827742</v>
      </c>
      <c r="D108" s="100" t="n">
        <f aca="false">IFERROR(INDEX(Motor!$F$61:$CP$301,$A108+1,($D$5-1)*15+4),0)</f>
        <v>3533.63780733418</v>
      </c>
      <c r="E108" s="100" t="n">
        <f aca="false">IFERROR(INDEX(Motor!$F$61:$CP$301,$A108+1,($D$5-1)*15+2),0)</f>
        <v>0</v>
      </c>
      <c r="F108" s="100" t="n">
        <f aca="false">IFERROR(INDEX(Motor!$F$61:$CP$301,$A108+1,($D$5-1)*15+3)+INDEX(Motor!$F$61:$CP$301,$A108+1,($D$5-1)*15+5)+INDEX(Motor!$F$61:$CP$301,$A108+1,($D$5-1)*15+6),0)</f>
        <v>62.0668654712903</v>
      </c>
      <c r="G108" s="100" t="n">
        <f aca="false">IFERROR(INDEX(Motor!$F$61:$CP$301,$A108+1,($D$5-1)*15+7),0)</f>
        <v>0</v>
      </c>
      <c r="H108" s="101" t="n">
        <f aca="false">IFERROR(INDEX(Motor!$F$61:$CP$301,$A108+1,($D$5-1)*15+8),0)</f>
        <v>375872.763769605</v>
      </c>
      <c r="I108" s="100" t="n">
        <f aca="false">IFERROR(INDEX(Motor!$F$61:$CP$301,$A108+1,($D$5-1)*15+12),0)</f>
        <v>33880.9145654407</v>
      </c>
      <c r="J108" s="102" t="n">
        <f aca="false">IFERROR(INDEX(Motor!$F$61:$CP$301,$A108+1,($D$5-1)*15+13),0)</f>
        <v>341991.849204164</v>
      </c>
      <c r="K108" s="100" t="n">
        <f aca="false">IFERROR(INDEX(Motor!$F$61:$CP$301,$A108+1,($D$5-1)*15+14),0)</f>
        <v>247451.850717583</v>
      </c>
    </row>
    <row r="109" customFormat="false" ht="12" hidden="false" customHeight="true" outlineLevel="0" collapsed="false">
      <c r="A109" s="55" t="n">
        <v>100</v>
      </c>
      <c r="B109" s="99" t="n">
        <f aca="false">EDATE(DATA_INICIO,$A109)</f>
        <v>49301</v>
      </c>
      <c r="C109" s="100" t="n">
        <f aca="false">IFERROR(INDEX(Motor!$F$61:$CP$301,$A109+1,($D$5-1)*15+1),0)</f>
        <v>375872.763769605</v>
      </c>
      <c r="D109" s="100" t="n">
        <f aca="false">IFERROR(INDEX(Motor!$F$61:$CP$301,$A109+1,($D$5-1)*15+4),0)</f>
        <v>3566.57882515923</v>
      </c>
      <c r="E109" s="100" t="n">
        <f aca="false">IFERROR(INDEX(Motor!$F$61:$CP$301,$A109+1,($D$5-1)*15+2),0)</f>
        <v>0</v>
      </c>
      <c r="F109" s="100" t="n">
        <f aca="false">IFERROR(INDEX(Motor!$F$61:$CP$301,$A109+1,($D$5-1)*15+3)+INDEX(Motor!$F$61:$CP$301,$A109+1,($D$5-1)*15+5)+INDEX(Motor!$F$61:$CP$301,$A109+1,($D$5-1)*15+6),0)</f>
        <v>62.6454606282675</v>
      </c>
      <c r="G109" s="100" t="n">
        <f aca="false">IFERROR(INDEX(Motor!$F$61:$CP$301,$A109+1,($D$5-1)*15+7),0)</f>
        <v>0</v>
      </c>
      <c r="H109" s="101" t="n">
        <f aca="false">IFERROR(INDEX(Motor!$F$61:$CP$301,$A109+1,($D$5-1)*15+8),0)</f>
        <v>379376.697134136</v>
      </c>
      <c r="I109" s="100" t="n">
        <f aca="false">IFERROR(INDEX(Motor!$F$61:$CP$301,$A109+1,($D$5-1)*15+12),0)</f>
        <v>34406.5045701204</v>
      </c>
      <c r="J109" s="102" t="n">
        <f aca="false">IFERROR(INDEX(Motor!$F$61:$CP$301,$A109+1,($D$5-1)*15+13),0)</f>
        <v>344970.192564015</v>
      </c>
      <c r="K109" s="100" t="n">
        <f aca="false">IFERROR(INDEX(Motor!$F$61:$CP$301,$A109+1,($D$5-1)*15+14),0)</f>
        <v>248792.381311118</v>
      </c>
    </row>
    <row r="110" customFormat="false" ht="12" hidden="false" customHeight="true" outlineLevel="0" collapsed="false">
      <c r="A110" s="55" t="n">
        <v>101</v>
      </c>
      <c r="B110" s="99" t="n">
        <f aca="false">EDATE(DATA_INICIO,$A110)</f>
        <v>49332</v>
      </c>
      <c r="C110" s="100" t="n">
        <f aca="false">IFERROR(INDEX(Motor!$F$61:$CP$301,$A110+1,($D$5-1)*15+1),0)</f>
        <v>379376.697134136</v>
      </c>
      <c r="D110" s="100" t="n">
        <f aca="false">IFERROR(INDEX(Motor!$F$61:$CP$301,$A110+1,($D$5-1)*15+4),0)</f>
        <v>3599.82692331184</v>
      </c>
      <c r="E110" s="100" t="n">
        <f aca="false">IFERROR(INDEX(Motor!$F$61:$CP$301,$A110+1,($D$5-1)*15+2),0)</f>
        <v>0</v>
      </c>
      <c r="F110" s="100" t="n">
        <f aca="false">IFERROR(INDEX(Motor!$F$61:$CP$301,$A110+1,($D$5-1)*15+3)+INDEX(Motor!$F$61:$CP$301,$A110+1,($D$5-1)*15+5)+INDEX(Motor!$F$61:$CP$301,$A110+1,($D$5-1)*15+6),0)</f>
        <v>63.229449522356</v>
      </c>
      <c r="G110" s="100" t="n">
        <f aca="false">IFERROR(INDEX(Motor!$F$61:$CP$301,$A110+1,($D$5-1)*15+7),0)</f>
        <v>0</v>
      </c>
      <c r="H110" s="101" t="n">
        <f aca="false">IFERROR(INDEX(Motor!$F$61:$CP$301,$A110+1,($D$5-1)*15+8),0)</f>
        <v>382913.294607925</v>
      </c>
      <c r="I110" s="100" t="n">
        <f aca="false">IFERROR(INDEX(Motor!$F$61:$CP$301,$A110+1,($D$5-1)*15+12),0)</f>
        <v>34936.9941911888</v>
      </c>
      <c r="J110" s="102" t="n">
        <f aca="false">IFERROR(INDEX(Motor!$F$61:$CP$301,$A110+1,($D$5-1)*15+13),0)</f>
        <v>347976.300416737</v>
      </c>
      <c r="K110" s="100" t="n">
        <f aca="false">IFERROR(INDEX(Motor!$F$61:$CP$301,$A110+1,($D$5-1)*15+14),0)</f>
        <v>250141.48709767</v>
      </c>
    </row>
    <row r="111" customFormat="false" ht="12" hidden="false" customHeight="true" outlineLevel="0" collapsed="false">
      <c r="A111" s="55" t="n">
        <v>102</v>
      </c>
      <c r="B111" s="99" t="n">
        <f aca="false">EDATE(DATA_INICIO,$A111)</f>
        <v>49363</v>
      </c>
      <c r="C111" s="100" t="n">
        <f aca="false">IFERROR(INDEX(Motor!$F$61:$CP$301,$A111+1,($D$5-1)*15+1),0)</f>
        <v>382913.294607925</v>
      </c>
      <c r="D111" s="100" t="n">
        <f aca="false">IFERROR(INDEX(Motor!$F$61:$CP$301,$A111+1,($D$5-1)*15+4),0)</f>
        <v>3633.3849644336</v>
      </c>
      <c r="E111" s="100" t="n">
        <f aca="false">IFERROR(INDEX(Motor!$F$61:$CP$301,$A111+1,($D$5-1)*15+2),0)</f>
        <v>0</v>
      </c>
      <c r="F111" s="100" t="n">
        <f aca="false">IFERROR(INDEX(Motor!$F$61:$CP$301,$A111+1,($D$5-1)*15+3)+INDEX(Motor!$F$61:$CP$301,$A111+1,($D$5-1)*15+5)+INDEX(Motor!$F$61:$CP$301,$A111+1,($D$5-1)*15+6),0)</f>
        <v>63.8188824346542</v>
      </c>
      <c r="G111" s="100" t="n">
        <f aca="false">IFERROR(INDEX(Motor!$F$61:$CP$301,$A111+1,($D$5-1)*15+7),0)</f>
        <v>0</v>
      </c>
      <c r="H111" s="101" t="n">
        <f aca="false">IFERROR(INDEX(Motor!$F$61:$CP$301,$A111+1,($D$5-1)*15+8),0)</f>
        <v>386482.860689924</v>
      </c>
      <c r="I111" s="100" t="n">
        <f aca="false">IFERROR(INDEX(Motor!$F$61:$CP$301,$A111+1,($D$5-1)*15+12),0)</f>
        <v>35472.4291034886</v>
      </c>
      <c r="J111" s="102" t="n">
        <f aca="false">IFERROR(INDEX(Motor!$F$61:$CP$301,$A111+1,($D$5-1)*15+13),0)</f>
        <v>351010.431586436</v>
      </c>
      <c r="K111" s="100" t="n">
        <f aca="false">IFERROR(INDEX(Motor!$F$61:$CP$301,$A111+1,($D$5-1)*15+14),0)</f>
        <v>251499.218163426</v>
      </c>
    </row>
    <row r="112" customFormat="false" ht="12" hidden="false" customHeight="true" outlineLevel="0" collapsed="false">
      <c r="A112" s="55" t="n">
        <v>103</v>
      </c>
      <c r="B112" s="99" t="n">
        <f aca="false">EDATE(DATA_INICIO,$A112)</f>
        <v>49391</v>
      </c>
      <c r="C112" s="100" t="n">
        <f aca="false">IFERROR(INDEX(Motor!$F$61:$CP$301,$A112+1,($D$5-1)*15+1),0)</f>
        <v>386482.860689924</v>
      </c>
      <c r="D112" s="100" t="n">
        <f aca="false">IFERROR(INDEX(Motor!$F$61:$CP$301,$A112+1,($D$5-1)*15+4),0)</f>
        <v>3667.255837852</v>
      </c>
      <c r="E112" s="100" t="n">
        <f aca="false">IFERROR(INDEX(Motor!$F$61:$CP$301,$A112+1,($D$5-1)*15+2),0)</f>
        <v>0</v>
      </c>
      <c r="F112" s="100" t="n">
        <f aca="false">IFERROR(INDEX(Motor!$F$61:$CP$301,$A112+1,($D$5-1)*15+3)+INDEX(Motor!$F$61:$CP$301,$A112+1,($D$5-1)*15+5)+INDEX(Motor!$F$61:$CP$301,$A112+1,($D$5-1)*15+6),0)</f>
        <v>64.4138101149874</v>
      </c>
      <c r="G112" s="100" t="n">
        <f aca="false">IFERROR(INDEX(Motor!$F$61:$CP$301,$A112+1,($D$5-1)*15+7),0)</f>
        <v>0</v>
      </c>
      <c r="H112" s="101" t="n">
        <f aca="false">IFERROR(INDEX(Motor!$F$61:$CP$301,$A112+1,($D$5-1)*15+8),0)</f>
        <v>390085.702717661</v>
      </c>
      <c r="I112" s="100" t="n">
        <f aca="false">IFERROR(INDEX(Motor!$F$61:$CP$301,$A112+1,($D$5-1)*15+12),0)</f>
        <v>36012.8554076492</v>
      </c>
      <c r="J112" s="102" t="n">
        <f aca="false">IFERROR(INDEX(Motor!$F$61:$CP$301,$A112+1,($D$5-1)*15+13),0)</f>
        <v>354072.847310012</v>
      </c>
      <c r="K112" s="100" t="n">
        <f aca="false">IFERROR(INDEX(Motor!$F$61:$CP$301,$A112+1,($D$5-1)*15+14),0)</f>
        <v>252865.624901777</v>
      </c>
    </row>
    <row r="113" customFormat="false" ht="12" hidden="false" customHeight="true" outlineLevel="0" collapsed="false">
      <c r="A113" s="55" t="n">
        <v>104</v>
      </c>
      <c r="B113" s="99" t="n">
        <f aca="false">EDATE(DATA_INICIO,$A113)</f>
        <v>49422</v>
      </c>
      <c r="C113" s="100" t="n">
        <f aca="false">IFERROR(INDEX(Motor!$F$61:$CP$301,$A113+1,($D$5-1)*15+1),0)</f>
        <v>390085.702717661</v>
      </c>
      <c r="D113" s="100" t="n">
        <f aca="false">IFERROR(INDEX(Motor!$F$61:$CP$301,$A113+1,($D$5-1)*15+4),0)</f>
        <v>3701.44245982921</v>
      </c>
      <c r="E113" s="100" t="n">
        <f aca="false">IFERROR(INDEX(Motor!$F$61:$CP$301,$A113+1,($D$5-1)*15+2),0)</f>
        <v>0</v>
      </c>
      <c r="F113" s="100" t="n">
        <f aca="false">IFERROR(INDEX(Motor!$F$61:$CP$301,$A113+1,($D$5-1)*15+3)+INDEX(Motor!$F$61:$CP$301,$A113+1,($D$5-1)*15+5)+INDEX(Motor!$F$61:$CP$301,$A113+1,($D$5-1)*15+6),0)</f>
        <v>65.0142837862769</v>
      </c>
      <c r="G113" s="100" t="n">
        <f aca="false">IFERROR(INDEX(Motor!$F$61:$CP$301,$A113+1,($D$5-1)*15+7),0)</f>
        <v>0</v>
      </c>
      <c r="H113" s="101" t="n">
        <f aca="false">IFERROR(INDEX(Motor!$F$61:$CP$301,$A113+1,($D$5-1)*15+8),0)</f>
        <v>393722.130893704</v>
      </c>
      <c r="I113" s="100" t="n">
        <f aca="false">IFERROR(INDEX(Motor!$F$61:$CP$301,$A113+1,($D$5-1)*15+12),0)</f>
        <v>36558.3196340556</v>
      </c>
      <c r="J113" s="102" t="n">
        <f aca="false">IFERROR(INDEX(Motor!$F$61:$CP$301,$A113+1,($D$5-1)*15+13),0)</f>
        <v>357163.811259649</v>
      </c>
      <c r="K113" s="100" t="n">
        <f aca="false">IFERROR(INDEX(Motor!$F$61:$CP$301,$A113+1,($D$5-1)*15+14),0)</f>
        <v>254240.758015159</v>
      </c>
    </row>
    <row r="114" customFormat="false" ht="12" hidden="false" customHeight="true" outlineLevel="0" collapsed="false">
      <c r="A114" s="55" t="n">
        <v>105</v>
      </c>
      <c r="B114" s="99" t="n">
        <f aca="false">EDATE(DATA_INICIO,$A114)</f>
        <v>49452</v>
      </c>
      <c r="C114" s="100" t="n">
        <f aca="false">IFERROR(INDEX(Motor!$F$61:$CP$301,$A114+1,($D$5-1)*15+1),0)</f>
        <v>393722.130893704</v>
      </c>
      <c r="D114" s="100" t="n">
        <f aca="false">IFERROR(INDEX(Motor!$F$61:$CP$301,$A114+1,($D$5-1)*15+4),0)</f>
        <v>3735.94777381316</v>
      </c>
      <c r="E114" s="100" t="n">
        <f aca="false">IFERROR(INDEX(Motor!$F$61:$CP$301,$A114+1,($D$5-1)*15+2),0)</f>
        <v>0</v>
      </c>
      <c r="F114" s="100" t="n">
        <f aca="false">IFERROR(INDEX(Motor!$F$61:$CP$301,$A114+1,($D$5-1)*15+3)+INDEX(Motor!$F$61:$CP$301,$A114+1,($D$5-1)*15+5)+INDEX(Motor!$F$61:$CP$301,$A114+1,($D$5-1)*15+6),0)</f>
        <v>65.6203551489507</v>
      </c>
      <c r="G114" s="100" t="n">
        <f aca="false">IFERROR(INDEX(Motor!$F$61:$CP$301,$A114+1,($D$5-1)*15+7),0)</f>
        <v>0</v>
      </c>
      <c r="H114" s="101" t="n">
        <f aca="false">IFERROR(INDEX(Motor!$F$61:$CP$301,$A114+1,($D$5-1)*15+8),0)</f>
        <v>397392.458312368</v>
      </c>
      <c r="I114" s="100" t="n">
        <f aca="false">IFERROR(INDEX(Motor!$F$61:$CP$301,$A114+1,($D$5-1)*15+12),0)</f>
        <v>37108.8687468553</v>
      </c>
      <c r="J114" s="102" t="n">
        <f aca="false">IFERROR(INDEX(Motor!$F$61:$CP$301,$A114+1,($D$5-1)*15+13),0)</f>
        <v>360283.589565513</v>
      </c>
      <c r="K114" s="100" t="n">
        <f aca="false">IFERROR(INDEX(Motor!$F$61:$CP$301,$A114+1,($D$5-1)*15+14),0)</f>
        <v>255624.668516896</v>
      </c>
    </row>
    <row r="115" customFormat="false" ht="12" hidden="false" customHeight="true" outlineLevel="0" collapsed="false">
      <c r="A115" s="55" t="n">
        <v>106</v>
      </c>
      <c r="B115" s="99" t="n">
        <f aca="false">EDATE(DATA_INICIO,$A115)</f>
        <v>49483</v>
      </c>
      <c r="C115" s="100" t="n">
        <f aca="false">IFERROR(INDEX(Motor!$F$61:$CP$301,$A115+1,($D$5-1)*15+1),0)</f>
        <v>397392.458312368</v>
      </c>
      <c r="D115" s="100" t="n">
        <f aca="false">IFERROR(INDEX(Motor!$F$61:$CP$301,$A115+1,($D$5-1)*15+4),0)</f>
        <v>3770.77475069099</v>
      </c>
      <c r="E115" s="100" t="n">
        <f aca="false">IFERROR(INDEX(Motor!$F$61:$CP$301,$A115+1,($D$5-1)*15+2),0)</f>
        <v>0</v>
      </c>
      <c r="F115" s="100" t="n">
        <f aca="false">IFERROR(INDEX(Motor!$F$61:$CP$301,$A115+1,($D$5-1)*15+3)+INDEX(Motor!$F$61:$CP$301,$A115+1,($D$5-1)*15+5)+INDEX(Motor!$F$61:$CP$301,$A115+1,($D$5-1)*15+6),0)</f>
        <v>66.2320763853947</v>
      </c>
      <c r="G115" s="100" t="n">
        <f aca="false">IFERROR(INDEX(Motor!$F$61:$CP$301,$A115+1,($D$5-1)*15+7),0)</f>
        <v>0</v>
      </c>
      <c r="H115" s="101" t="n">
        <f aca="false">IFERROR(INDEX(Motor!$F$61:$CP$301,$A115+1,($D$5-1)*15+8),0)</f>
        <v>401097.000986674</v>
      </c>
      <c r="I115" s="100" t="n">
        <f aca="false">IFERROR(INDEX(Motor!$F$61:$CP$301,$A115+1,($D$5-1)*15+12),0)</f>
        <v>37664.5501480011</v>
      </c>
      <c r="J115" s="102" t="n">
        <f aca="false">IFERROR(INDEX(Motor!$F$61:$CP$301,$A115+1,($D$5-1)*15+13),0)</f>
        <v>363432.450838673</v>
      </c>
      <c r="K115" s="100" t="n">
        <f aca="false">IFERROR(INDEX(Motor!$F$61:$CP$301,$A115+1,($D$5-1)*15+14),0)</f>
        <v>257017.407733057</v>
      </c>
    </row>
    <row r="116" customFormat="false" ht="12" hidden="false" customHeight="true" outlineLevel="0" collapsed="false">
      <c r="A116" s="55" t="n">
        <v>107</v>
      </c>
      <c r="B116" s="99" t="n">
        <f aca="false">EDATE(DATA_INICIO,$A116)</f>
        <v>49513</v>
      </c>
      <c r="C116" s="100" t="n">
        <f aca="false">IFERROR(INDEX(Motor!$F$61:$CP$301,$A116+1,($D$5-1)*15+1),0)</f>
        <v>401097.000986674</v>
      </c>
      <c r="D116" s="100" t="n">
        <f aca="false">IFERROR(INDEX(Motor!$F$61:$CP$301,$A116+1,($D$5-1)*15+4),0)</f>
        <v>3805.9263890448</v>
      </c>
      <c r="E116" s="100" t="n">
        <f aca="false">IFERROR(INDEX(Motor!$F$61:$CP$301,$A116+1,($D$5-1)*15+2),0)</f>
        <v>0</v>
      </c>
      <c r="F116" s="100" t="n">
        <f aca="false">IFERROR(INDEX(Motor!$F$61:$CP$301,$A116+1,($D$5-1)*15+3)+INDEX(Motor!$F$61:$CP$301,$A116+1,($D$5-1)*15+5)+INDEX(Motor!$F$61:$CP$301,$A116+1,($D$5-1)*15+6),0)</f>
        <v>66.8495001644457</v>
      </c>
      <c r="G116" s="100" t="n">
        <f aca="false">IFERROR(INDEX(Motor!$F$61:$CP$301,$A116+1,($D$5-1)*15+7),0)</f>
        <v>0</v>
      </c>
      <c r="H116" s="101" t="n">
        <f aca="false">IFERROR(INDEX(Motor!$F$61:$CP$301,$A116+1,($D$5-1)*15+8),0)</f>
        <v>404836.077875554</v>
      </c>
      <c r="I116" s="100" t="n">
        <f aca="false">IFERROR(INDEX(Motor!$F$61:$CP$301,$A116+1,($D$5-1)*15+12),0)</f>
        <v>38225.4116813332</v>
      </c>
      <c r="J116" s="102" t="n">
        <f aca="false">IFERROR(INDEX(Motor!$F$61:$CP$301,$A116+1,($D$5-1)*15+13),0)</f>
        <v>366610.666194221</v>
      </c>
      <c r="K116" s="100" t="n">
        <f aca="false">IFERROR(INDEX(Motor!$F$61:$CP$301,$A116+1,($D$5-1)*15+14),0)</f>
        <v>258419.027304328</v>
      </c>
    </row>
    <row r="117" customFormat="false" ht="12" hidden="false" customHeight="true" outlineLevel="0" collapsed="false">
      <c r="A117" s="55" t="n">
        <v>108</v>
      </c>
      <c r="B117" s="99" t="n">
        <f aca="false">EDATE(DATA_INICIO,$A117)</f>
        <v>49544</v>
      </c>
      <c r="C117" s="100" t="n">
        <f aca="false">IFERROR(INDEX(Motor!$F$61:$CP$301,$A117+1,($D$5-1)*15+1),0)</f>
        <v>404836.077875554</v>
      </c>
      <c r="D117" s="100" t="n">
        <f aca="false">IFERROR(INDEX(Motor!$F$61:$CP$301,$A117+1,($D$5-1)*15+4),0)</f>
        <v>3841.40571540987</v>
      </c>
      <c r="E117" s="100" t="n">
        <f aca="false">IFERROR(INDEX(Motor!$F$61:$CP$301,$A117+1,($D$5-1)*15+2),0)</f>
        <v>0</v>
      </c>
      <c r="F117" s="100" t="n">
        <f aca="false">IFERROR(INDEX(Motor!$F$61:$CP$301,$A117+1,($D$5-1)*15+3)+INDEX(Motor!$F$61:$CP$301,$A117+1,($D$5-1)*15+5)+INDEX(Motor!$F$61:$CP$301,$A117+1,($D$5-1)*15+6),0)</f>
        <v>67.4726796459257</v>
      </c>
      <c r="G117" s="100" t="n">
        <f aca="false">IFERROR(INDEX(Motor!$F$61:$CP$301,$A117+1,($D$5-1)*15+7),0)</f>
        <v>0</v>
      </c>
      <c r="H117" s="101" t="n">
        <f aca="false">IFERROR(INDEX(Motor!$F$61:$CP$301,$A117+1,($D$5-1)*15+8),0)</f>
        <v>408610.010911318</v>
      </c>
      <c r="I117" s="100" t="n">
        <f aca="false">IFERROR(INDEX(Motor!$F$61:$CP$301,$A117+1,($D$5-1)*15+12),0)</f>
        <v>38791.5016366977</v>
      </c>
      <c r="J117" s="102" t="n">
        <f aca="false">IFERROR(INDEX(Motor!$F$61:$CP$301,$A117+1,($D$5-1)*15+13),0)</f>
        <v>369818.509274621</v>
      </c>
      <c r="K117" s="100" t="n">
        <f aca="false">IFERROR(INDEX(Motor!$F$61:$CP$301,$A117+1,($D$5-1)*15+14),0)</f>
        <v>259829.579187885</v>
      </c>
    </row>
    <row r="118" customFormat="false" ht="12" hidden="false" customHeight="true" outlineLevel="0" collapsed="false">
      <c r="A118" s="55" t="n">
        <v>109</v>
      </c>
      <c r="B118" s="99" t="n">
        <f aca="false">EDATE(DATA_INICIO,$A118)</f>
        <v>49575</v>
      </c>
      <c r="C118" s="100" t="n">
        <f aca="false">IFERROR(INDEX(Motor!$F$61:$CP$301,$A118+1,($D$5-1)*15+1),0)</f>
        <v>408610.010911318</v>
      </c>
      <c r="D118" s="100" t="n">
        <f aca="false">IFERROR(INDEX(Motor!$F$61:$CP$301,$A118+1,($D$5-1)*15+4),0)</f>
        <v>3877.21578453522</v>
      </c>
      <c r="E118" s="100" t="n">
        <f aca="false">IFERROR(INDEX(Motor!$F$61:$CP$301,$A118+1,($D$5-1)*15+2),0)</f>
        <v>0</v>
      </c>
      <c r="F118" s="100" t="n">
        <f aca="false">IFERROR(INDEX(Motor!$F$61:$CP$301,$A118+1,($D$5-1)*15+3)+INDEX(Motor!$F$61:$CP$301,$A118+1,($D$5-1)*15+5)+INDEX(Motor!$F$61:$CP$301,$A118+1,($D$5-1)*15+6),0)</f>
        <v>68.1016684852197</v>
      </c>
      <c r="G118" s="100" t="n">
        <f aca="false">IFERROR(INDEX(Motor!$F$61:$CP$301,$A118+1,($D$5-1)*15+7),0)</f>
        <v>0</v>
      </c>
      <c r="H118" s="101" t="n">
        <f aca="false">IFERROR(INDEX(Motor!$F$61:$CP$301,$A118+1,($D$5-1)*15+8),0)</f>
        <v>412419.125027368</v>
      </c>
      <c r="I118" s="100" t="n">
        <f aca="false">IFERROR(INDEX(Motor!$F$61:$CP$301,$A118+1,($D$5-1)*15+12),0)</f>
        <v>39362.8687541052</v>
      </c>
      <c r="J118" s="102" t="n">
        <f aca="false">IFERROR(INDEX(Motor!$F$61:$CP$301,$A118+1,($D$5-1)*15+13),0)</f>
        <v>373056.256273263</v>
      </c>
      <c r="K118" s="100" t="n">
        <f aca="false">IFERROR(INDEX(Motor!$F$61:$CP$301,$A118+1,($D$5-1)*15+14),0)</f>
        <v>261249.115659293</v>
      </c>
    </row>
    <row r="119" customFormat="false" ht="12" hidden="false" customHeight="true" outlineLevel="0" collapsed="false">
      <c r="A119" s="55" t="n">
        <v>110</v>
      </c>
      <c r="B119" s="99" t="n">
        <f aca="false">EDATE(DATA_INICIO,$A119)</f>
        <v>49605</v>
      </c>
      <c r="C119" s="100" t="n">
        <f aca="false">IFERROR(INDEX(Motor!$F$61:$CP$301,$A119+1,($D$5-1)*15+1),0)</f>
        <v>412419.125027368</v>
      </c>
      <c r="D119" s="100" t="n">
        <f aca="false">IFERROR(INDEX(Motor!$F$61:$CP$301,$A119+1,($D$5-1)*15+4),0)</f>
        <v>3913.35967964661</v>
      </c>
      <c r="E119" s="100" t="n">
        <f aca="false">IFERROR(INDEX(Motor!$F$61:$CP$301,$A119+1,($D$5-1)*15+2),0)</f>
        <v>0</v>
      </c>
      <c r="F119" s="100" t="n">
        <f aca="false">IFERROR(INDEX(Motor!$F$61:$CP$301,$A119+1,($D$5-1)*15+3)+INDEX(Motor!$F$61:$CP$301,$A119+1,($D$5-1)*15+5)+INDEX(Motor!$F$61:$CP$301,$A119+1,($D$5-1)*15+6),0)</f>
        <v>68.7365208378947</v>
      </c>
      <c r="G119" s="100" t="n">
        <f aca="false">IFERROR(INDEX(Motor!$F$61:$CP$301,$A119+1,($D$5-1)*15+7),0)</f>
        <v>0</v>
      </c>
      <c r="H119" s="101" t="n">
        <f aca="false">IFERROR(INDEX(Motor!$F$61:$CP$301,$A119+1,($D$5-1)*15+8),0)</f>
        <v>416263.748186177</v>
      </c>
      <c r="I119" s="100" t="n">
        <f aca="false">IFERROR(INDEX(Motor!$F$61:$CP$301,$A119+1,($D$5-1)*15+12),0)</f>
        <v>39939.5622279266</v>
      </c>
      <c r="J119" s="102" t="n">
        <f aca="false">IFERROR(INDEX(Motor!$F$61:$CP$301,$A119+1,($D$5-1)*15+13),0)</f>
        <v>376324.185958251</v>
      </c>
      <c r="K119" s="100" t="n">
        <f aca="false">IFERROR(INDEX(Motor!$F$61:$CP$301,$A119+1,($D$5-1)*15+14),0)</f>
        <v>262677.689314404</v>
      </c>
    </row>
    <row r="120" customFormat="false" ht="12" hidden="false" customHeight="true" outlineLevel="0" collapsed="false">
      <c r="A120" s="55" t="n">
        <v>111</v>
      </c>
      <c r="B120" s="99" t="n">
        <f aca="false">EDATE(DATA_INICIO,$A120)</f>
        <v>49636</v>
      </c>
      <c r="C120" s="100" t="n">
        <f aca="false">IFERROR(INDEX(Motor!$F$61:$CP$301,$A120+1,($D$5-1)*15+1),0)</f>
        <v>416263.748186177</v>
      </c>
      <c r="D120" s="100" t="n">
        <f aca="false">IFERROR(INDEX(Motor!$F$61:$CP$301,$A120+1,($D$5-1)*15+4),0)</f>
        <v>3949.84051271205</v>
      </c>
      <c r="E120" s="100" t="n">
        <f aca="false">IFERROR(INDEX(Motor!$F$61:$CP$301,$A120+1,($D$5-1)*15+2),0)</f>
        <v>0</v>
      </c>
      <c r="F120" s="100" t="n">
        <f aca="false">IFERROR(INDEX(Motor!$F$61:$CP$301,$A120+1,($D$5-1)*15+3)+INDEX(Motor!$F$61:$CP$301,$A120+1,($D$5-1)*15+5)+INDEX(Motor!$F$61:$CP$301,$A120+1,($D$5-1)*15+6),0)</f>
        <v>69.3772913643628</v>
      </c>
      <c r="G120" s="100" t="n">
        <f aca="false">IFERROR(INDEX(Motor!$F$61:$CP$301,$A120+1,($D$5-1)*15+7),0)</f>
        <v>0</v>
      </c>
      <c r="H120" s="101" t="n">
        <f aca="false">IFERROR(INDEX(Motor!$F$61:$CP$301,$A120+1,($D$5-1)*15+8),0)</f>
        <v>420144.211407525</v>
      </c>
      <c r="I120" s="100" t="n">
        <f aca="false">IFERROR(INDEX(Motor!$F$61:$CP$301,$A120+1,($D$5-1)*15+12),0)</f>
        <v>40521.6317111287</v>
      </c>
      <c r="J120" s="102" t="n">
        <f aca="false">IFERROR(INDEX(Motor!$F$61:$CP$301,$A120+1,($D$5-1)*15+13),0)</f>
        <v>379622.579696396</v>
      </c>
      <c r="K120" s="100" t="n">
        <f aca="false">IFERROR(INDEX(Motor!$F$61:$CP$301,$A120+1,($D$5-1)*15+14),0)</f>
        <v>264115.35307127</v>
      </c>
    </row>
    <row r="121" customFormat="false" ht="12" hidden="false" customHeight="true" outlineLevel="0" collapsed="false">
      <c r="A121" s="55" t="n">
        <v>112</v>
      </c>
      <c r="B121" s="99" t="n">
        <f aca="false">EDATE(DATA_INICIO,$A121)</f>
        <v>49666</v>
      </c>
      <c r="C121" s="100" t="n">
        <f aca="false">IFERROR(INDEX(Motor!$F$61:$CP$301,$A121+1,($D$5-1)*15+1),0)</f>
        <v>420144.211407525</v>
      </c>
      <c r="D121" s="100" t="n">
        <f aca="false">IFERROR(INDEX(Motor!$F$61:$CP$301,$A121+1,($D$5-1)*15+4),0)</f>
        <v>3986.66142470969</v>
      </c>
      <c r="E121" s="100" t="n">
        <f aca="false">IFERROR(INDEX(Motor!$F$61:$CP$301,$A121+1,($D$5-1)*15+2),0)</f>
        <v>0</v>
      </c>
      <c r="F121" s="100" t="n">
        <f aca="false">IFERROR(INDEX(Motor!$F$61:$CP$301,$A121+1,($D$5-1)*15+3)+INDEX(Motor!$F$61:$CP$301,$A121+1,($D$5-1)*15+5)+INDEX(Motor!$F$61:$CP$301,$A121+1,($D$5-1)*15+6),0)</f>
        <v>70.0240352345875</v>
      </c>
      <c r="G121" s="100" t="n">
        <f aca="false">IFERROR(INDEX(Motor!$F$61:$CP$301,$A121+1,($D$5-1)*15+7),0)</f>
        <v>0</v>
      </c>
      <c r="H121" s="101" t="n">
        <f aca="false">IFERROR(INDEX(Motor!$F$61:$CP$301,$A121+1,($D$5-1)*15+8),0)</f>
        <v>424060.848797</v>
      </c>
      <c r="I121" s="100" t="n">
        <f aca="false">IFERROR(INDEX(Motor!$F$61:$CP$301,$A121+1,($D$5-1)*15+12),0)</f>
        <v>41109.12731955</v>
      </c>
      <c r="J121" s="102" t="n">
        <f aca="false">IFERROR(INDEX(Motor!$F$61:$CP$301,$A121+1,($D$5-1)*15+13),0)</f>
        <v>382951.72147745</v>
      </c>
      <c r="K121" s="100" t="n">
        <f aca="false">IFERROR(INDEX(Motor!$F$61:$CP$301,$A121+1,($D$5-1)*15+14),0)</f>
        <v>265562.160172072</v>
      </c>
    </row>
    <row r="122" customFormat="false" ht="12" hidden="false" customHeight="true" outlineLevel="0" collapsed="false">
      <c r="A122" s="55" t="n">
        <v>113</v>
      </c>
      <c r="B122" s="99" t="n">
        <f aca="false">EDATE(DATA_INICIO,$A122)</f>
        <v>49697</v>
      </c>
      <c r="C122" s="100" t="n">
        <f aca="false">IFERROR(INDEX(Motor!$F$61:$CP$301,$A122+1,($D$5-1)*15+1),0)</f>
        <v>424060.848797</v>
      </c>
      <c r="D122" s="100" t="n">
        <f aca="false">IFERROR(INDEX(Motor!$F$61:$CP$301,$A122+1,($D$5-1)*15+4),0)</f>
        <v>4023.82558589826</v>
      </c>
      <c r="E122" s="100" t="n">
        <f aca="false">IFERROR(INDEX(Motor!$F$61:$CP$301,$A122+1,($D$5-1)*15+2),0)</f>
        <v>0</v>
      </c>
      <c r="F122" s="100" t="n">
        <f aca="false">IFERROR(INDEX(Motor!$F$61:$CP$301,$A122+1,($D$5-1)*15+3)+INDEX(Motor!$F$61:$CP$301,$A122+1,($D$5-1)*15+5)+INDEX(Motor!$F$61:$CP$301,$A122+1,($D$5-1)*15+6),0)</f>
        <v>70.6768081328333</v>
      </c>
      <c r="G122" s="100" t="n">
        <f aca="false">IFERROR(INDEX(Motor!$F$61:$CP$301,$A122+1,($D$5-1)*15+7),0)</f>
        <v>0</v>
      </c>
      <c r="H122" s="101" t="n">
        <f aca="false">IFERROR(INDEX(Motor!$F$61:$CP$301,$A122+1,($D$5-1)*15+8),0)</f>
        <v>428013.997574765</v>
      </c>
      <c r="I122" s="100" t="n">
        <f aca="false">IFERROR(INDEX(Motor!$F$61:$CP$301,$A122+1,($D$5-1)*15+12),0)</f>
        <v>41702.0996362148</v>
      </c>
      <c r="J122" s="102" t="n">
        <f aca="false">IFERROR(INDEX(Motor!$F$61:$CP$301,$A122+1,($D$5-1)*15+13),0)</f>
        <v>386311.89793855</v>
      </c>
      <c r="K122" s="100" t="n">
        <f aca="false">IFERROR(INDEX(Motor!$F$61:$CP$301,$A122+1,($D$5-1)*15+14),0)</f>
        <v>267018.164185058</v>
      </c>
    </row>
    <row r="123" customFormat="false" ht="12" hidden="false" customHeight="true" outlineLevel="0" collapsed="false">
      <c r="A123" s="55" t="n">
        <v>114</v>
      </c>
      <c r="B123" s="99" t="n">
        <f aca="false">EDATE(DATA_INICIO,$A123)</f>
        <v>49728</v>
      </c>
      <c r="C123" s="100" t="n">
        <f aca="false">IFERROR(INDEX(Motor!$F$61:$CP$301,$A123+1,($D$5-1)*15+1),0)</f>
        <v>428013.997574765</v>
      </c>
      <c r="D123" s="100" t="n">
        <f aca="false">IFERROR(INDEX(Motor!$F$61:$CP$301,$A123+1,($D$5-1)*15+4),0)</f>
        <v>4061.33619609008</v>
      </c>
      <c r="E123" s="100" t="n">
        <f aca="false">IFERROR(INDEX(Motor!$F$61:$CP$301,$A123+1,($D$5-1)*15+2),0)</f>
        <v>0</v>
      </c>
      <c r="F123" s="100" t="n">
        <f aca="false">IFERROR(INDEX(Motor!$F$61:$CP$301,$A123+1,($D$5-1)*15+3)+INDEX(Motor!$F$61:$CP$301,$A123+1,($D$5-1)*15+5)+INDEX(Motor!$F$61:$CP$301,$A123+1,($D$5-1)*15+6),0)</f>
        <v>71.3356662624609</v>
      </c>
      <c r="G123" s="100" t="n">
        <f aca="false">IFERROR(INDEX(Motor!$F$61:$CP$301,$A123+1,($D$5-1)*15+7),0)</f>
        <v>0</v>
      </c>
      <c r="H123" s="101" t="n">
        <f aca="false">IFERROR(INDEX(Motor!$F$61:$CP$301,$A123+1,($D$5-1)*15+8),0)</f>
        <v>432003.998104593</v>
      </c>
      <c r="I123" s="100" t="n">
        <f aca="false">IFERROR(INDEX(Motor!$F$61:$CP$301,$A123+1,($D$5-1)*15+12),0)</f>
        <v>42300.5997156889</v>
      </c>
      <c r="J123" s="102" t="n">
        <f aca="false">IFERROR(INDEX(Motor!$F$61:$CP$301,$A123+1,($D$5-1)*15+13),0)</f>
        <v>389703.398388904</v>
      </c>
      <c r="K123" s="100" t="n">
        <f aca="false">IFERROR(INDEX(Motor!$F$61:$CP$301,$A123+1,($D$5-1)*15+14),0)</f>
        <v>268483.419006487</v>
      </c>
    </row>
    <row r="124" customFormat="false" ht="12" hidden="false" customHeight="true" outlineLevel="0" collapsed="false">
      <c r="A124" s="55" t="n">
        <v>115</v>
      </c>
      <c r="B124" s="99" t="n">
        <f aca="false">EDATE(DATA_INICIO,$A124)</f>
        <v>49757</v>
      </c>
      <c r="C124" s="100" t="n">
        <f aca="false">IFERROR(INDEX(Motor!$F$61:$CP$301,$A124+1,($D$5-1)*15+1),0)</f>
        <v>432003.998104593</v>
      </c>
      <c r="D124" s="100" t="n">
        <f aca="false">IFERROR(INDEX(Motor!$F$61:$CP$301,$A124+1,($D$5-1)*15+4),0)</f>
        <v>4099.19648492649</v>
      </c>
      <c r="E124" s="100" t="n">
        <f aca="false">IFERROR(INDEX(Motor!$F$61:$CP$301,$A124+1,($D$5-1)*15+2),0)</f>
        <v>0</v>
      </c>
      <c r="F124" s="100" t="n">
        <f aca="false">IFERROR(INDEX(Motor!$F$61:$CP$301,$A124+1,($D$5-1)*15+3)+INDEX(Motor!$F$61:$CP$301,$A124+1,($D$5-1)*15+5)+INDEX(Motor!$F$61:$CP$301,$A124+1,($D$5-1)*15+6),0)</f>
        <v>72.0006663507655</v>
      </c>
      <c r="G124" s="100" t="n">
        <f aca="false">IFERROR(INDEX(Motor!$F$61:$CP$301,$A124+1,($D$5-1)*15+7),0)</f>
        <v>0</v>
      </c>
      <c r="H124" s="101" t="n">
        <f aca="false">IFERROR(INDEX(Motor!$F$61:$CP$301,$A124+1,($D$5-1)*15+8),0)</f>
        <v>436031.193923169</v>
      </c>
      <c r="I124" s="100" t="n">
        <f aca="false">IFERROR(INDEX(Motor!$F$61:$CP$301,$A124+1,($D$5-1)*15+12),0)</f>
        <v>42904.6790884753</v>
      </c>
      <c r="J124" s="102" t="n">
        <f aca="false">IFERROR(INDEX(Motor!$F$61:$CP$301,$A124+1,($D$5-1)*15+13),0)</f>
        <v>393126.514834693</v>
      </c>
      <c r="K124" s="100" t="n">
        <f aca="false">IFERROR(INDEX(Motor!$F$61:$CP$301,$A124+1,($D$5-1)*15+14),0)</f>
        <v>269957.978862595</v>
      </c>
    </row>
    <row r="125" customFormat="false" ht="12" hidden="false" customHeight="true" outlineLevel="0" collapsed="false">
      <c r="A125" s="55" t="n">
        <v>116</v>
      </c>
      <c r="B125" s="99" t="n">
        <f aca="false">EDATE(DATA_INICIO,$A125)</f>
        <v>49788</v>
      </c>
      <c r="C125" s="100" t="n">
        <f aca="false">IFERROR(INDEX(Motor!$F$61:$CP$301,$A125+1,($D$5-1)*15+1),0)</f>
        <v>436031.193923169</v>
      </c>
      <c r="D125" s="100" t="n">
        <f aca="false">IFERROR(INDEX(Motor!$F$61:$CP$301,$A125+1,($D$5-1)*15+4),0)</f>
        <v>4137.40971215597</v>
      </c>
      <c r="E125" s="100" t="n">
        <f aca="false">IFERROR(INDEX(Motor!$F$61:$CP$301,$A125+1,($D$5-1)*15+2),0)</f>
        <v>0</v>
      </c>
      <c r="F125" s="100" t="n">
        <f aca="false">IFERROR(INDEX(Motor!$F$61:$CP$301,$A125+1,($D$5-1)*15+3)+INDEX(Motor!$F$61:$CP$301,$A125+1,($D$5-1)*15+5)+INDEX(Motor!$F$61:$CP$301,$A125+1,($D$5-1)*15+6),0)</f>
        <v>72.6718656538614</v>
      </c>
      <c r="G125" s="100" t="n">
        <f aca="false">IFERROR(INDEX(Motor!$F$61:$CP$301,$A125+1,($D$5-1)*15+7),0)</f>
        <v>0</v>
      </c>
      <c r="H125" s="101" t="n">
        <f aca="false">IFERROR(INDEX(Motor!$F$61:$CP$301,$A125+1,($D$5-1)*15+8),0)</f>
        <v>440095.931769671</v>
      </c>
      <c r="I125" s="100" t="n">
        <f aca="false">IFERROR(INDEX(Motor!$F$61:$CP$301,$A125+1,($D$5-1)*15+12),0)</f>
        <v>43514.3897654506</v>
      </c>
      <c r="J125" s="102" t="n">
        <f aca="false">IFERROR(INDEX(Motor!$F$61:$CP$301,$A125+1,($D$5-1)*15+13),0)</f>
        <v>396581.54200422</v>
      </c>
      <c r="K125" s="100" t="n">
        <f aca="false">IFERROR(INDEX(Motor!$F$61:$CP$301,$A125+1,($D$5-1)*15+14),0)</f>
        <v>271441.898311566</v>
      </c>
    </row>
    <row r="126" customFormat="false" ht="12" hidden="false" customHeight="true" outlineLevel="0" collapsed="false">
      <c r="A126" s="55" t="n">
        <v>117</v>
      </c>
      <c r="B126" s="99" t="n">
        <f aca="false">EDATE(DATA_INICIO,$A126)</f>
        <v>49818</v>
      </c>
      <c r="C126" s="100" t="n">
        <f aca="false">IFERROR(INDEX(Motor!$F$61:$CP$301,$A126+1,($D$5-1)*15+1),0)</f>
        <v>440095.931769671</v>
      </c>
      <c r="D126" s="100" t="n">
        <f aca="false">IFERROR(INDEX(Motor!$F$61:$CP$301,$A126+1,($D$5-1)*15+4),0)</f>
        <v>4175.97916791479</v>
      </c>
      <c r="E126" s="100" t="n">
        <f aca="false">IFERROR(INDEX(Motor!$F$61:$CP$301,$A126+1,($D$5-1)*15+2),0)</f>
        <v>0</v>
      </c>
      <c r="F126" s="100" t="n">
        <f aca="false">IFERROR(INDEX(Motor!$F$61:$CP$301,$A126+1,($D$5-1)*15+3)+INDEX(Motor!$F$61:$CP$301,$A126+1,($D$5-1)*15+5)+INDEX(Motor!$F$61:$CP$301,$A126+1,($D$5-1)*15+6),0)</f>
        <v>73.3493219616118</v>
      </c>
      <c r="G126" s="100" t="n">
        <f aca="false">IFERROR(INDEX(Motor!$F$61:$CP$301,$A126+1,($D$5-1)*15+7),0)</f>
        <v>0</v>
      </c>
      <c r="H126" s="101" t="n">
        <f aca="false">IFERROR(INDEX(Motor!$F$61:$CP$301,$A126+1,($D$5-1)*15+8),0)</f>
        <v>444198.561615624</v>
      </c>
      <c r="I126" s="100" t="n">
        <f aca="false">IFERROR(INDEX(Motor!$F$61:$CP$301,$A126+1,($D$5-1)*15+12),0)</f>
        <v>44129.7842423436</v>
      </c>
      <c r="J126" s="102" t="n">
        <f aca="false">IFERROR(INDEX(Motor!$F$61:$CP$301,$A126+1,($D$5-1)*15+13),0)</f>
        <v>400068.77737328</v>
      </c>
      <c r="K126" s="100" t="n">
        <f aca="false">IFERROR(INDEX(Motor!$F$61:$CP$301,$A126+1,($D$5-1)*15+14),0)</f>
        <v>272935.232245517</v>
      </c>
    </row>
    <row r="127" customFormat="false" ht="12" hidden="false" customHeight="true" outlineLevel="0" collapsed="false">
      <c r="A127" s="55" t="n">
        <v>118</v>
      </c>
      <c r="B127" s="99" t="n">
        <f aca="false">EDATE(DATA_INICIO,$A127)</f>
        <v>49849</v>
      </c>
      <c r="C127" s="100" t="n">
        <f aca="false">IFERROR(INDEX(Motor!$F$61:$CP$301,$A127+1,($D$5-1)*15+1),0)</f>
        <v>444198.561615624</v>
      </c>
      <c r="D127" s="100" t="n">
        <f aca="false">IFERROR(INDEX(Motor!$F$61:$CP$301,$A127+1,($D$5-1)*15+4),0)</f>
        <v>4214.90817301028</v>
      </c>
      <c r="E127" s="100" t="n">
        <f aca="false">IFERROR(INDEX(Motor!$F$61:$CP$301,$A127+1,($D$5-1)*15+2),0)</f>
        <v>0</v>
      </c>
      <c r="F127" s="100" t="n">
        <f aca="false">IFERROR(INDEX(Motor!$F$61:$CP$301,$A127+1,($D$5-1)*15+3)+INDEX(Motor!$F$61:$CP$301,$A127+1,($D$5-1)*15+5)+INDEX(Motor!$F$61:$CP$301,$A127+1,($D$5-1)*15+6),0)</f>
        <v>74.033093602604</v>
      </c>
      <c r="G127" s="100" t="n">
        <f aca="false">IFERROR(INDEX(Motor!$F$61:$CP$301,$A127+1,($D$5-1)*15+7),0)</f>
        <v>0</v>
      </c>
      <c r="H127" s="101" t="n">
        <f aca="false">IFERROR(INDEX(Motor!$F$61:$CP$301,$A127+1,($D$5-1)*15+8),0)</f>
        <v>448339.436695032</v>
      </c>
      <c r="I127" s="100" t="n">
        <f aca="false">IFERROR(INDEX(Motor!$F$61:$CP$301,$A127+1,($D$5-1)*15+12),0)</f>
        <v>44750.9155042547</v>
      </c>
      <c r="J127" s="102" t="n">
        <f aca="false">IFERROR(INDEX(Motor!$F$61:$CP$301,$A127+1,($D$5-1)*15+13),0)</f>
        <v>403588.521190777</v>
      </c>
      <c r="K127" s="100" t="n">
        <f aca="false">IFERROR(INDEX(Motor!$F$61:$CP$301,$A127+1,($D$5-1)*15+14),0)</f>
        <v>274438.035892495</v>
      </c>
    </row>
    <row r="128" customFormat="false" ht="12" hidden="false" customHeight="true" outlineLevel="0" collapsed="false">
      <c r="A128" s="55" t="n">
        <v>119</v>
      </c>
      <c r="B128" s="99" t="n">
        <f aca="false">EDATE(DATA_INICIO,$A128)</f>
        <v>49879</v>
      </c>
      <c r="C128" s="100" t="n">
        <f aca="false">IFERROR(INDEX(Motor!$F$61:$CP$301,$A128+1,($D$5-1)*15+1),0)</f>
        <v>448339.436695032</v>
      </c>
      <c r="D128" s="100" t="n">
        <f aca="false">IFERROR(INDEX(Motor!$F$61:$CP$301,$A128+1,($D$5-1)*15+4),0)</f>
        <v>4254.20007920676</v>
      </c>
      <c r="E128" s="100" t="n">
        <f aca="false">IFERROR(INDEX(Motor!$F$61:$CP$301,$A128+1,($D$5-1)*15+2),0)</f>
        <v>0</v>
      </c>
      <c r="F128" s="100" t="n">
        <f aca="false">IFERROR(INDEX(Motor!$F$61:$CP$301,$A128+1,($D$5-1)*15+3)+INDEX(Motor!$F$61:$CP$301,$A128+1,($D$5-1)*15+5)+INDEX(Motor!$F$61:$CP$301,$A128+1,($D$5-1)*15+6),0)</f>
        <v>74.7232394491719</v>
      </c>
      <c r="G128" s="100" t="n">
        <f aca="false">IFERROR(INDEX(Motor!$F$61:$CP$301,$A128+1,($D$5-1)*15+7),0)</f>
        <v>0</v>
      </c>
      <c r="H128" s="101" t="n">
        <f aca="false">IFERROR(INDEX(Motor!$F$61:$CP$301,$A128+1,($D$5-1)*15+8),0)</f>
        <v>452518.913534789</v>
      </c>
      <c r="I128" s="100" t="n">
        <f aca="false">IFERROR(INDEX(Motor!$F$61:$CP$301,$A128+1,($D$5-1)*15+12),0)</f>
        <v>45377.8370302184</v>
      </c>
      <c r="J128" s="102" t="n">
        <f aca="false">IFERROR(INDEX(Motor!$F$61:$CP$301,$A128+1,($D$5-1)*15+13),0)</f>
        <v>407141.076504571</v>
      </c>
      <c r="K128" s="100" t="n">
        <f aca="false">IFERROR(INDEX(Motor!$F$61:$CP$301,$A128+1,($D$5-1)*15+14),0)</f>
        <v>275950.364818483</v>
      </c>
    </row>
    <row r="129" customFormat="false" ht="12" hidden="false" customHeight="true" outlineLevel="0" collapsed="false">
      <c r="A129" s="55" t="n">
        <v>120</v>
      </c>
      <c r="B129" s="99" t="n">
        <f aca="false">EDATE(DATA_INICIO,$A129)</f>
        <v>49910</v>
      </c>
      <c r="C129" s="100" t="n">
        <f aca="false">IFERROR(INDEX(Motor!$F$61:$CP$301,$A129+1,($D$5-1)*15+1),0)</f>
        <v>452518.913534789</v>
      </c>
      <c r="D129" s="100" t="n">
        <f aca="false">IFERROR(INDEX(Motor!$F$61:$CP$301,$A129+1,($D$5-1)*15+4),0)</f>
        <v>4293.8582695141</v>
      </c>
      <c r="E129" s="100" t="n">
        <f aca="false">IFERROR(INDEX(Motor!$F$61:$CP$301,$A129+1,($D$5-1)*15+2),0)</f>
        <v>0</v>
      </c>
      <c r="F129" s="100" t="n">
        <f aca="false">IFERROR(INDEX(Motor!$F$61:$CP$301,$A129+1,($D$5-1)*15+3)+INDEX(Motor!$F$61:$CP$301,$A129+1,($D$5-1)*15+5)+INDEX(Motor!$F$61:$CP$301,$A129+1,($D$5-1)*15+6),0)</f>
        <v>75.4198189224649</v>
      </c>
      <c r="G129" s="100" t="n">
        <f aca="false">IFERROR(INDEX(Motor!$F$61:$CP$301,$A129+1,($D$5-1)*15+7),0)</f>
        <v>0</v>
      </c>
      <c r="H129" s="101" t="n">
        <f aca="false">IFERROR(INDEX(Motor!$F$61:$CP$301,$A129+1,($D$5-1)*15+8),0)</f>
        <v>456737.351985381</v>
      </c>
      <c r="I129" s="100" t="n">
        <f aca="false">IFERROR(INDEX(Motor!$F$61:$CP$301,$A129+1,($D$5-1)*15+12),0)</f>
        <v>46010.6027978071</v>
      </c>
      <c r="J129" s="102" t="n">
        <f aca="false">IFERROR(INDEX(Motor!$F$61:$CP$301,$A129+1,($D$5-1)*15+13),0)</f>
        <v>410726.749187574</v>
      </c>
      <c r="K129" s="100" t="n">
        <f aca="false">IFERROR(INDEX(Motor!$F$61:$CP$301,$A129+1,($D$5-1)*15+14),0)</f>
        <v>277472.274929425</v>
      </c>
    </row>
    <row r="130" customFormat="false" ht="12" hidden="false" customHeight="true" outlineLevel="0" collapsed="false">
      <c r="A130" s="55" t="n">
        <v>121</v>
      </c>
      <c r="B130" s="99" t="n">
        <f aca="false">EDATE(DATA_INICIO,$A130)</f>
        <v>49941</v>
      </c>
      <c r="C130" s="100" t="n">
        <f aca="false">IFERROR(INDEX(Motor!$F$61:$CP$301,$A130+1,($D$5-1)*15+1),0)</f>
        <v>456737.351985381</v>
      </c>
      <c r="D130" s="100" t="n">
        <f aca="false">IFERROR(INDEX(Motor!$F$61:$CP$301,$A130+1,($D$5-1)*15+4),0)</f>
        <v>4333.88615847905</v>
      </c>
      <c r="E130" s="100" t="n">
        <f aca="false">IFERROR(INDEX(Motor!$F$61:$CP$301,$A130+1,($D$5-1)*15+2),0)</f>
        <v>0</v>
      </c>
      <c r="F130" s="100" t="n">
        <f aca="false">IFERROR(INDEX(Motor!$F$61:$CP$301,$A130+1,($D$5-1)*15+3)+INDEX(Motor!$F$61:$CP$301,$A130+1,($D$5-1)*15+5)+INDEX(Motor!$F$61:$CP$301,$A130+1,($D$5-1)*15+6),0)</f>
        <v>76.1228919975635</v>
      </c>
      <c r="G130" s="100" t="n">
        <f aca="false">IFERROR(INDEX(Motor!$F$61:$CP$301,$A130+1,($D$5-1)*15+7),0)</f>
        <v>0</v>
      </c>
      <c r="H130" s="101" t="n">
        <f aca="false">IFERROR(INDEX(Motor!$F$61:$CP$301,$A130+1,($D$5-1)*15+8),0)</f>
        <v>460995.115251862</v>
      </c>
      <c r="I130" s="100" t="n">
        <f aca="false">IFERROR(INDEX(Motor!$F$61:$CP$301,$A130+1,($D$5-1)*15+12),0)</f>
        <v>46649.2672877793</v>
      </c>
      <c r="J130" s="102" t="n">
        <f aca="false">IFERROR(INDEX(Motor!$F$61:$CP$301,$A130+1,($D$5-1)*15+13),0)</f>
        <v>414345.847964083</v>
      </c>
      <c r="K130" s="100" t="n">
        <f aca="false">IFERROR(INDEX(Motor!$F$61:$CP$301,$A130+1,($D$5-1)*15+14),0)</f>
        <v>279003.82247326</v>
      </c>
    </row>
    <row r="131" customFormat="false" ht="12" hidden="false" customHeight="true" outlineLevel="0" collapsed="false">
      <c r="A131" s="55" t="n">
        <v>122</v>
      </c>
      <c r="B131" s="99" t="n">
        <f aca="false">EDATE(DATA_INICIO,$A131)</f>
        <v>49971</v>
      </c>
      <c r="C131" s="100" t="n">
        <f aca="false">IFERROR(INDEX(Motor!$F$61:$CP$301,$A131+1,($D$5-1)*15+1),0)</f>
        <v>460995.115251862</v>
      </c>
      <c r="D131" s="100" t="n">
        <f aca="false">IFERROR(INDEX(Motor!$F$61:$CP$301,$A131+1,($D$5-1)*15+4),0)</f>
        <v>4374.28719247917</v>
      </c>
      <c r="E131" s="100" t="n">
        <f aca="false">IFERROR(INDEX(Motor!$F$61:$CP$301,$A131+1,($D$5-1)*15+2),0)</f>
        <v>0</v>
      </c>
      <c r="F131" s="100" t="n">
        <f aca="false">IFERROR(INDEX(Motor!$F$61:$CP$301,$A131+1,($D$5-1)*15+3)+INDEX(Motor!$F$61:$CP$301,$A131+1,($D$5-1)*15+5)+INDEX(Motor!$F$61:$CP$301,$A131+1,($D$5-1)*15+6),0)</f>
        <v>76.8325192086437</v>
      </c>
      <c r="G131" s="100" t="n">
        <f aca="false">IFERROR(INDEX(Motor!$F$61:$CP$301,$A131+1,($D$5-1)*15+7),0)</f>
        <v>0</v>
      </c>
      <c r="H131" s="101" t="n">
        <f aca="false">IFERROR(INDEX(Motor!$F$61:$CP$301,$A131+1,($D$5-1)*15+8),0)</f>
        <v>465292.569925133</v>
      </c>
      <c r="I131" s="100" t="n">
        <f aca="false">IFERROR(INDEX(Motor!$F$61:$CP$301,$A131+1,($D$5-1)*15+12),0)</f>
        <v>47293.8854887699</v>
      </c>
      <c r="J131" s="102" t="n">
        <f aca="false">IFERROR(INDEX(Motor!$F$61:$CP$301,$A131+1,($D$5-1)*15+13),0)</f>
        <v>417998.684436363</v>
      </c>
      <c r="K131" s="100" t="n">
        <f aca="false">IFERROR(INDEX(Motor!$F$61:$CP$301,$A131+1,($D$5-1)*15+14),0)</f>
        <v>280545.064041962</v>
      </c>
    </row>
    <row r="132" customFormat="false" ht="12" hidden="false" customHeight="true" outlineLevel="0" collapsed="false">
      <c r="A132" s="55" t="n">
        <v>123</v>
      </c>
      <c r="B132" s="99" t="n">
        <f aca="false">EDATE(DATA_INICIO,$A132)</f>
        <v>50002</v>
      </c>
      <c r="C132" s="100" t="n">
        <f aca="false">IFERROR(INDEX(Motor!$F$61:$CP$301,$A132+1,($D$5-1)*15+1),0)</f>
        <v>465292.569925133</v>
      </c>
      <c r="D132" s="100" t="n">
        <f aca="false">IFERROR(INDEX(Motor!$F$61:$CP$301,$A132+1,($D$5-1)*15+4),0)</f>
        <v>4415.06485001959</v>
      </c>
      <c r="E132" s="100" t="n">
        <f aca="false">IFERROR(INDEX(Motor!$F$61:$CP$301,$A132+1,($D$5-1)*15+2),0)</f>
        <v>0</v>
      </c>
      <c r="F132" s="100" t="n">
        <f aca="false">IFERROR(INDEX(Motor!$F$61:$CP$301,$A132+1,($D$5-1)*15+3)+INDEX(Motor!$F$61:$CP$301,$A132+1,($D$5-1)*15+5)+INDEX(Motor!$F$61:$CP$301,$A132+1,($D$5-1)*15+6),0)</f>
        <v>77.5487616541888</v>
      </c>
      <c r="G132" s="100" t="n">
        <f aca="false">IFERROR(INDEX(Motor!$F$61:$CP$301,$A132+1,($D$5-1)*15+7),0)</f>
        <v>0</v>
      </c>
      <c r="H132" s="101" t="n">
        <f aca="false">IFERROR(INDEX(Motor!$F$61:$CP$301,$A132+1,($D$5-1)*15+8),0)</f>
        <v>469630.086013498</v>
      </c>
      <c r="I132" s="100" t="n">
        <f aca="false">IFERROR(INDEX(Motor!$F$61:$CP$301,$A132+1,($D$5-1)*15+12),0)</f>
        <v>47944.5129020247</v>
      </c>
      <c r="J132" s="102" t="n">
        <f aca="false">IFERROR(INDEX(Motor!$F$61:$CP$301,$A132+1,($D$5-1)*15+13),0)</f>
        <v>421685.573111473</v>
      </c>
      <c r="K132" s="100" t="n">
        <f aca="false">IFERROR(INDEX(Motor!$F$61:$CP$301,$A132+1,($D$5-1)*15+14),0)</f>
        <v>282096.056573603</v>
      </c>
    </row>
    <row r="133" customFormat="false" ht="12" hidden="false" customHeight="true" outlineLevel="0" collapsed="false">
      <c r="A133" s="55" t="n">
        <v>124</v>
      </c>
      <c r="B133" s="99" t="n">
        <f aca="false">EDATE(DATA_INICIO,$A133)</f>
        <v>50032</v>
      </c>
      <c r="C133" s="100" t="n">
        <f aca="false">IFERROR(INDEX(Motor!$F$61:$CP$301,$A133+1,($D$5-1)*15+1),0)</f>
        <v>469630.086013498</v>
      </c>
      <c r="D133" s="100" t="n">
        <f aca="false">IFERROR(INDEX(Motor!$F$61:$CP$301,$A133+1,($D$5-1)*15+4),0)</f>
        <v>4456.22264203251</v>
      </c>
      <c r="E133" s="100" t="n">
        <f aca="false">IFERROR(INDEX(Motor!$F$61:$CP$301,$A133+1,($D$5-1)*15+2),0)</f>
        <v>0</v>
      </c>
      <c r="F133" s="100" t="n">
        <f aca="false">IFERROR(INDEX(Motor!$F$61:$CP$301,$A133+1,($D$5-1)*15+3)+INDEX(Motor!$F$61:$CP$301,$A133+1,($D$5-1)*15+5)+INDEX(Motor!$F$61:$CP$301,$A133+1,($D$5-1)*15+6),0)</f>
        <v>78.2716810022497</v>
      </c>
      <c r="G133" s="100" t="n">
        <f aca="false">IFERROR(INDEX(Motor!$F$61:$CP$301,$A133+1,($D$5-1)*15+7),0)</f>
        <v>0</v>
      </c>
      <c r="H133" s="101" t="n">
        <f aca="false">IFERROR(INDEX(Motor!$F$61:$CP$301,$A133+1,($D$5-1)*15+8),0)</f>
        <v>474008.036974528</v>
      </c>
      <c r="I133" s="100" t="n">
        <f aca="false">IFERROR(INDEX(Motor!$F$61:$CP$301,$A133+1,($D$5-1)*15+12),0)</f>
        <v>48601.2055461793</v>
      </c>
      <c r="J133" s="102" t="n">
        <f aca="false">IFERROR(INDEX(Motor!$F$61:$CP$301,$A133+1,($D$5-1)*15+13),0)</f>
        <v>425406.831428349</v>
      </c>
      <c r="K133" s="100" t="n">
        <f aca="false">IFERROR(INDEX(Motor!$F$61:$CP$301,$A133+1,($D$5-1)*15+14),0)</f>
        <v>283656.85735442</v>
      </c>
    </row>
    <row r="134" customFormat="false" ht="12" hidden="false" customHeight="true" outlineLevel="0" collapsed="false">
      <c r="A134" s="55" t="n">
        <v>125</v>
      </c>
      <c r="B134" s="99" t="n">
        <f aca="false">EDATE(DATA_INICIO,$A134)</f>
        <v>50063</v>
      </c>
      <c r="C134" s="100" t="n">
        <f aca="false">IFERROR(INDEX(Motor!$F$61:$CP$301,$A134+1,($D$5-1)*15+1),0)</f>
        <v>474008.036974528</v>
      </c>
      <c r="D134" s="100" t="n">
        <f aca="false">IFERROR(INDEX(Motor!$F$61:$CP$301,$A134+1,($D$5-1)*15+4),0)</f>
        <v>4497.76411217948</v>
      </c>
      <c r="E134" s="100" t="n">
        <f aca="false">IFERROR(INDEX(Motor!$F$61:$CP$301,$A134+1,($D$5-1)*15+2),0)</f>
        <v>0</v>
      </c>
      <c r="F134" s="100" t="n">
        <f aca="false">IFERROR(INDEX(Motor!$F$61:$CP$301,$A134+1,($D$5-1)*15+3)+INDEX(Motor!$F$61:$CP$301,$A134+1,($D$5-1)*15+5)+INDEX(Motor!$F$61:$CP$301,$A134+1,($D$5-1)*15+6),0)</f>
        <v>79.0013394957547</v>
      </c>
      <c r="G134" s="100" t="n">
        <f aca="false">IFERROR(INDEX(Motor!$F$61:$CP$301,$A134+1,($D$5-1)*15+7),0)</f>
        <v>0</v>
      </c>
      <c r="H134" s="101" t="n">
        <f aca="false">IFERROR(INDEX(Motor!$F$61:$CP$301,$A134+1,($D$5-1)*15+8),0)</f>
        <v>478426.799747212</v>
      </c>
      <c r="I134" s="100" t="n">
        <f aca="false">IFERROR(INDEX(Motor!$F$61:$CP$301,$A134+1,($D$5-1)*15+12),0)</f>
        <v>49264.0199620818</v>
      </c>
      <c r="J134" s="102" t="n">
        <f aca="false">IFERROR(INDEX(Motor!$F$61:$CP$301,$A134+1,($D$5-1)*15+13),0)</f>
        <v>429162.77978513</v>
      </c>
      <c r="K134" s="100" t="n">
        <f aca="false">IFERROR(INDEX(Motor!$F$61:$CP$301,$A134+1,($D$5-1)*15+14),0)</f>
        <v>285227.524020903</v>
      </c>
    </row>
    <row r="135" customFormat="false" ht="12" hidden="false" customHeight="true" outlineLevel="0" collapsed="false">
      <c r="A135" s="55" t="n">
        <v>126</v>
      </c>
      <c r="B135" s="99" t="n">
        <f aca="false">EDATE(DATA_INICIO,$A135)</f>
        <v>50094</v>
      </c>
      <c r="C135" s="100" t="n">
        <f aca="false">IFERROR(INDEX(Motor!$F$61:$CP$301,$A135+1,($D$5-1)*15+1),0)</f>
        <v>478426.799747212</v>
      </c>
      <c r="D135" s="100" t="n">
        <f aca="false">IFERROR(INDEX(Motor!$F$61:$CP$301,$A135+1,($D$5-1)*15+4),0)</f>
        <v>4539.69283715652</v>
      </c>
      <c r="E135" s="100" t="n">
        <f aca="false">IFERROR(INDEX(Motor!$F$61:$CP$301,$A135+1,($D$5-1)*15+2),0)</f>
        <v>0</v>
      </c>
      <c r="F135" s="100" t="n">
        <f aca="false">IFERROR(INDEX(Motor!$F$61:$CP$301,$A135+1,($D$5-1)*15+3)+INDEX(Motor!$F$61:$CP$301,$A135+1,($D$5-1)*15+5)+INDEX(Motor!$F$61:$CP$301,$A135+1,($D$5-1)*15+6),0)</f>
        <v>79.7377999578687</v>
      </c>
      <c r="G135" s="100" t="n">
        <f aca="false">IFERROR(INDEX(Motor!$F$61:$CP$301,$A135+1,($D$5-1)*15+7),0)</f>
        <v>0</v>
      </c>
      <c r="H135" s="101" t="n">
        <f aca="false">IFERROR(INDEX(Motor!$F$61:$CP$301,$A135+1,($D$5-1)*15+8),0)</f>
        <v>482886.754784411</v>
      </c>
      <c r="I135" s="100" t="n">
        <f aca="false">IFERROR(INDEX(Motor!$F$61:$CP$301,$A135+1,($D$5-1)*15+12),0)</f>
        <v>49933.0132176616</v>
      </c>
      <c r="J135" s="102" t="n">
        <f aca="false">IFERROR(INDEX(Motor!$F$61:$CP$301,$A135+1,($D$5-1)*15+13),0)</f>
        <v>432953.741566749</v>
      </c>
      <c r="K135" s="100" t="n">
        <f aca="false">IFERROR(INDEX(Motor!$F$61:$CP$301,$A135+1,($D$5-1)*15+14),0)</f>
        <v>286808.114561884</v>
      </c>
    </row>
    <row r="136" customFormat="false" ht="12" hidden="false" customHeight="true" outlineLevel="0" collapsed="false">
      <c r="A136" s="55" t="n">
        <v>127</v>
      </c>
      <c r="B136" s="99" t="n">
        <f aca="false">EDATE(DATA_INICIO,$A136)</f>
        <v>50122</v>
      </c>
      <c r="C136" s="100" t="n">
        <f aca="false">IFERROR(INDEX(Motor!$F$61:$CP$301,$A136+1,($D$5-1)*15+1),0)</f>
        <v>482886.754784411</v>
      </c>
      <c r="D136" s="100" t="n">
        <f aca="false">IFERROR(INDEX(Motor!$F$61:$CP$301,$A136+1,($D$5-1)*15+4),0)</f>
        <v>4582.01242700205</v>
      </c>
      <c r="E136" s="100" t="n">
        <f aca="false">IFERROR(INDEX(Motor!$F$61:$CP$301,$A136+1,($D$5-1)*15+2),0)</f>
        <v>0</v>
      </c>
      <c r="F136" s="100" t="n">
        <f aca="false">IFERROR(INDEX(Motor!$F$61:$CP$301,$A136+1,($D$5-1)*15+3)+INDEX(Motor!$F$61:$CP$301,$A136+1,($D$5-1)*15+5)+INDEX(Motor!$F$61:$CP$301,$A136+1,($D$5-1)*15+6),0)</f>
        <v>80.4811257974018</v>
      </c>
      <c r="G136" s="100" t="n">
        <f aca="false">IFERROR(INDEX(Motor!$F$61:$CP$301,$A136+1,($D$5-1)*15+7),0)</f>
        <v>0</v>
      </c>
      <c r="H136" s="101" t="n">
        <f aca="false">IFERROR(INDEX(Motor!$F$61:$CP$301,$A136+1,($D$5-1)*15+8),0)</f>
        <v>487388.286085615</v>
      </c>
      <c r="I136" s="100" t="n">
        <f aca="false">IFERROR(INDEX(Motor!$F$61:$CP$301,$A136+1,($D$5-1)*15+12),0)</f>
        <v>50608.2429128423</v>
      </c>
      <c r="J136" s="102" t="n">
        <f aca="false">IFERROR(INDEX(Motor!$F$61:$CP$301,$A136+1,($D$5-1)*15+13),0)</f>
        <v>436780.043172773</v>
      </c>
      <c r="K136" s="100" t="n">
        <f aca="false">IFERROR(INDEX(Motor!$F$61:$CP$301,$A136+1,($D$5-1)*15+14),0)</f>
        <v>288398.687320651</v>
      </c>
    </row>
    <row r="137" customFormat="false" ht="12" hidden="false" customHeight="true" outlineLevel="0" collapsed="false">
      <c r="A137" s="55" t="n">
        <v>128</v>
      </c>
      <c r="B137" s="99" t="n">
        <f aca="false">EDATE(DATA_INICIO,$A137)</f>
        <v>50153</v>
      </c>
      <c r="C137" s="100" t="n">
        <f aca="false">IFERROR(INDEX(Motor!$F$61:$CP$301,$A137+1,($D$5-1)*15+1),0)</f>
        <v>487388.286085615</v>
      </c>
      <c r="D137" s="100" t="n">
        <f aca="false">IFERROR(INDEX(Motor!$F$61:$CP$301,$A137+1,($D$5-1)*15+4),0)</f>
        <v>4624.72652540773</v>
      </c>
      <c r="E137" s="100" t="n">
        <f aca="false">IFERROR(INDEX(Motor!$F$61:$CP$301,$A137+1,($D$5-1)*15+2),0)</f>
        <v>0</v>
      </c>
      <c r="F137" s="100" t="n">
        <f aca="false">IFERROR(INDEX(Motor!$F$61:$CP$301,$A137+1,($D$5-1)*15+3)+INDEX(Motor!$F$61:$CP$301,$A137+1,($D$5-1)*15+5)+INDEX(Motor!$F$61:$CP$301,$A137+1,($D$5-1)*15+6),0)</f>
        <v>81.2313810142693</v>
      </c>
      <c r="G137" s="100" t="n">
        <f aca="false">IFERROR(INDEX(Motor!$F$61:$CP$301,$A137+1,($D$5-1)*15+7),0)</f>
        <v>0</v>
      </c>
      <c r="H137" s="101" t="n">
        <f aca="false">IFERROR(INDEX(Motor!$F$61:$CP$301,$A137+1,($D$5-1)*15+8),0)</f>
        <v>491931.781230009</v>
      </c>
      <c r="I137" s="100" t="n">
        <f aca="false">IFERROR(INDEX(Motor!$F$61:$CP$301,$A137+1,($D$5-1)*15+12),0)</f>
        <v>51289.7671845013</v>
      </c>
      <c r="J137" s="102" t="n">
        <f aca="false">IFERROR(INDEX(Motor!$F$61:$CP$301,$A137+1,($D$5-1)*15+13),0)</f>
        <v>440642.014045508</v>
      </c>
      <c r="K137" s="100" t="n">
        <f aca="false">IFERROR(INDEX(Motor!$F$61:$CP$301,$A137+1,($D$5-1)*15+14),0)</f>
        <v>289999.300997065</v>
      </c>
    </row>
    <row r="138" customFormat="false" ht="12" hidden="false" customHeight="true" outlineLevel="0" collapsed="false">
      <c r="A138" s="55" t="n">
        <v>129</v>
      </c>
      <c r="B138" s="99" t="n">
        <f aca="false">EDATE(DATA_INICIO,$A138)</f>
        <v>50183</v>
      </c>
      <c r="C138" s="100" t="n">
        <f aca="false">IFERROR(INDEX(Motor!$F$61:$CP$301,$A138+1,($D$5-1)*15+1),0)</f>
        <v>491931.781230009</v>
      </c>
      <c r="D138" s="100" t="n">
        <f aca="false">IFERROR(INDEX(Motor!$F$61:$CP$301,$A138+1,($D$5-1)*15+4),0)</f>
        <v>4667.83881003216</v>
      </c>
      <c r="E138" s="100" t="n">
        <f aca="false">IFERROR(INDEX(Motor!$F$61:$CP$301,$A138+1,($D$5-1)*15+2),0)</f>
        <v>0</v>
      </c>
      <c r="F138" s="100" t="n">
        <f aca="false">IFERROR(INDEX(Motor!$F$61:$CP$301,$A138+1,($D$5-1)*15+3)+INDEX(Motor!$F$61:$CP$301,$A138+1,($D$5-1)*15+5)+INDEX(Motor!$F$61:$CP$301,$A138+1,($D$5-1)*15+6),0)</f>
        <v>81.9886302050015</v>
      </c>
      <c r="G138" s="100" t="n">
        <f aca="false">IFERROR(INDEX(Motor!$F$61:$CP$301,$A138+1,($D$5-1)*15+7),0)</f>
        <v>0</v>
      </c>
      <c r="H138" s="101" t="n">
        <f aca="false">IFERROR(INDEX(Motor!$F$61:$CP$301,$A138+1,($D$5-1)*15+8),0)</f>
        <v>496517.631409836</v>
      </c>
      <c r="I138" s="100" t="n">
        <f aca="false">IFERROR(INDEX(Motor!$F$61:$CP$301,$A138+1,($D$5-1)*15+12),0)</f>
        <v>51977.6447114754</v>
      </c>
      <c r="J138" s="102" t="n">
        <f aca="false">IFERROR(INDEX(Motor!$F$61:$CP$301,$A138+1,($D$5-1)*15+13),0)</f>
        <v>444539.986698361</v>
      </c>
      <c r="K138" s="100" t="n">
        <f aca="false">IFERROR(INDEX(Motor!$F$61:$CP$301,$A138+1,($D$5-1)*15+14),0)</f>
        <v>291610.014649695</v>
      </c>
    </row>
    <row r="139" customFormat="false" ht="12" hidden="false" customHeight="true" outlineLevel="0" collapsed="false">
      <c r="A139" s="55" t="n">
        <v>130</v>
      </c>
      <c r="B139" s="99" t="n">
        <f aca="false">EDATE(DATA_INICIO,$A139)</f>
        <v>50214</v>
      </c>
      <c r="C139" s="100" t="n">
        <f aca="false">IFERROR(INDEX(Motor!$F$61:$CP$301,$A139+1,($D$5-1)*15+1),0)</f>
        <v>496517.631409836</v>
      </c>
      <c r="D139" s="100" t="n">
        <f aca="false">IFERROR(INDEX(Motor!$F$61:$CP$301,$A139+1,($D$5-1)*15+4),0)</f>
        <v>4711.35299281756</v>
      </c>
      <c r="E139" s="100" t="n">
        <f aca="false">IFERROR(INDEX(Motor!$F$61:$CP$301,$A139+1,($D$5-1)*15+2),0)</f>
        <v>0</v>
      </c>
      <c r="F139" s="100" t="n">
        <f aca="false">IFERROR(INDEX(Motor!$F$61:$CP$301,$A139+1,($D$5-1)*15+3)+INDEX(Motor!$F$61:$CP$301,$A139+1,($D$5-1)*15+5)+INDEX(Motor!$F$61:$CP$301,$A139+1,($D$5-1)*15+6),0)</f>
        <v>82.752938568306</v>
      </c>
      <c r="G139" s="100" t="n">
        <f aca="false">IFERROR(INDEX(Motor!$F$61:$CP$301,$A139+1,($D$5-1)*15+7),0)</f>
        <v>0</v>
      </c>
      <c r="H139" s="101" t="n">
        <f aca="false">IFERROR(INDEX(Motor!$F$61:$CP$301,$A139+1,($D$5-1)*15+8),0)</f>
        <v>501146.231464085</v>
      </c>
      <c r="I139" s="100" t="n">
        <f aca="false">IFERROR(INDEX(Motor!$F$61:$CP$301,$A139+1,($D$5-1)*15+12),0)</f>
        <v>52671.9347196128</v>
      </c>
      <c r="J139" s="102" t="n">
        <f aca="false">IFERROR(INDEX(Motor!$F$61:$CP$301,$A139+1,($D$5-1)*15+13),0)</f>
        <v>448474.296744473</v>
      </c>
      <c r="K139" s="100" t="n">
        <f aca="false">IFERROR(INDEX(Motor!$F$61:$CP$301,$A139+1,($D$5-1)*15+14),0)</f>
        <v>293230.887697968</v>
      </c>
    </row>
    <row r="140" customFormat="false" ht="12" hidden="false" customHeight="true" outlineLevel="0" collapsed="false">
      <c r="A140" s="55" t="n">
        <v>131</v>
      </c>
      <c r="B140" s="99" t="n">
        <f aca="false">EDATE(DATA_INICIO,$A140)</f>
        <v>50244</v>
      </c>
      <c r="C140" s="100" t="n">
        <f aca="false">IFERROR(INDEX(Motor!$F$61:$CP$301,$A140+1,($D$5-1)*15+1),0)</f>
        <v>501146.231464085</v>
      </c>
      <c r="D140" s="100" t="n">
        <f aca="false">IFERROR(INDEX(Motor!$F$61:$CP$301,$A140+1,($D$5-1)*15+4),0)</f>
        <v>4755.27282030933</v>
      </c>
      <c r="E140" s="100" t="n">
        <f aca="false">IFERROR(INDEX(Motor!$F$61:$CP$301,$A140+1,($D$5-1)*15+2),0)</f>
        <v>0</v>
      </c>
      <c r="F140" s="100" t="n">
        <f aca="false">IFERROR(INDEX(Motor!$F$61:$CP$301,$A140+1,($D$5-1)*15+3)+INDEX(Motor!$F$61:$CP$301,$A140+1,($D$5-1)*15+5)+INDEX(Motor!$F$61:$CP$301,$A140+1,($D$5-1)*15+6),0)</f>
        <v>83.5243719106809</v>
      </c>
      <c r="G140" s="100" t="n">
        <f aca="false">IFERROR(INDEX(Motor!$F$61:$CP$301,$A140+1,($D$5-1)*15+7),0)</f>
        <v>0</v>
      </c>
      <c r="H140" s="101" t="n">
        <f aca="false">IFERROR(INDEX(Motor!$F$61:$CP$301,$A140+1,($D$5-1)*15+8),0)</f>
        <v>505817.979912484</v>
      </c>
      <c r="I140" s="100" t="n">
        <f aca="false">IFERROR(INDEX(Motor!$F$61:$CP$301,$A140+1,($D$5-1)*15+12),0)</f>
        <v>53372.6969868726</v>
      </c>
      <c r="J140" s="102" t="n">
        <f aca="false">IFERROR(INDEX(Motor!$F$61:$CP$301,$A140+1,($D$5-1)*15+13),0)</f>
        <v>452445.282925612</v>
      </c>
      <c r="K140" s="100" t="n">
        <f aca="false">IFERROR(INDEX(Motor!$F$61:$CP$301,$A140+1,($D$5-1)*15+14),0)</f>
        <v>294861.979924322</v>
      </c>
    </row>
    <row r="141" customFormat="false" ht="12" hidden="false" customHeight="true" outlineLevel="0" collapsed="false">
      <c r="A141" s="55" t="n">
        <v>132</v>
      </c>
      <c r="B141" s="99" t="n">
        <f aca="false">EDATE(DATA_INICIO,$A141)</f>
        <v>50275</v>
      </c>
      <c r="C141" s="100" t="n">
        <f aca="false">IFERROR(INDEX(Motor!$F$61:$CP$301,$A141+1,($D$5-1)*15+1),0)</f>
        <v>505817.979912484</v>
      </c>
      <c r="D141" s="100" t="n">
        <f aca="false">IFERROR(INDEX(Motor!$F$61:$CP$301,$A141+1,($D$5-1)*15+4),0)</f>
        <v>4799.60207397865</v>
      </c>
      <c r="E141" s="100" t="n">
        <f aca="false">IFERROR(INDEX(Motor!$F$61:$CP$301,$A141+1,($D$5-1)*15+2),0)</f>
        <v>0</v>
      </c>
      <c r="F141" s="100" t="n">
        <f aca="false">IFERROR(INDEX(Motor!$F$61:$CP$301,$A141+1,($D$5-1)*15+3)+INDEX(Motor!$F$61:$CP$301,$A141+1,($D$5-1)*15+5)+INDEX(Motor!$F$61:$CP$301,$A141+1,($D$5-1)*15+6),0)</f>
        <v>84.3029966520807</v>
      </c>
      <c r="G141" s="100" t="n">
        <f aca="false">IFERROR(INDEX(Motor!$F$61:$CP$301,$A141+1,($D$5-1)*15+7),0)</f>
        <v>0</v>
      </c>
      <c r="H141" s="101" t="n">
        <f aca="false">IFERROR(INDEX(Motor!$F$61:$CP$301,$A141+1,($D$5-1)*15+8),0)</f>
        <v>510533.278989811</v>
      </c>
      <c r="I141" s="100" t="n">
        <f aca="false">IFERROR(INDEX(Motor!$F$61:$CP$301,$A141+1,($D$5-1)*15+12),0)</f>
        <v>54079.9918484716</v>
      </c>
      <c r="J141" s="102" t="n">
        <f aca="false">IFERROR(INDEX(Motor!$F$61:$CP$301,$A141+1,($D$5-1)*15+13),0)</f>
        <v>456453.287141339</v>
      </c>
      <c r="K141" s="100" t="n">
        <f aca="false">IFERROR(INDEX(Motor!$F$61:$CP$301,$A141+1,($D$5-1)*15+14),0)</f>
        <v>296503.351476387</v>
      </c>
    </row>
    <row r="142" customFormat="false" ht="12" hidden="false" customHeight="true" outlineLevel="0" collapsed="false">
      <c r="A142" s="55" t="n">
        <v>133</v>
      </c>
      <c r="B142" s="99" t="n">
        <f aca="false">EDATE(DATA_INICIO,$A142)</f>
        <v>50306</v>
      </c>
      <c r="C142" s="100" t="n">
        <f aca="false">IFERROR(INDEX(Motor!$F$61:$CP$301,$A142+1,($D$5-1)*15+1),0)</f>
        <v>510533.278989811</v>
      </c>
      <c r="D142" s="100" t="n">
        <f aca="false">IFERROR(INDEX(Motor!$F$61:$CP$301,$A142+1,($D$5-1)*15+4),0)</f>
        <v>4844.34457054803</v>
      </c>
      <c r="E142" s="100" t="n">
        <f aca="false">IFERROR(INDEX(Motor!$F$61:$CP$301,$A142+1,($D$5-1)*15+2),0)</f>
        <v>0</v>
      </c>
      <c r="F142" s="100" t="n">
        <f aca="false">IFERROR(INDEX(Motor!$F$61:$CP$301,$A142+1,($D$5-1)*15+3)+INDEX(Motor!$F$61:$CP$301,$A142+1,($D$5-1)*15+5)+INDEX(Motor!$F$61:$CP$301,$A142+1,($D$5-1)*15+6),0)</f>
        <v>85.0888798316351</v>
      </c>
      <c r="G142" s="100" t="n">
        <f aca="false">IFERROR(INDEX(Motor!$F$61:$CP$301,$A142+1,($D$5-1)*15+7),0)</f>
        <v>0</v>
      </c>
      <c r="H142" s="101" t="n">
        <f aca="false">IFERROR(INDEX(Motor!$F$61:$CP$301,$A142+1,($D$5-1)*15+8),0)</f>
        <v>515292.534680527</v>
      </c>
      <c r="I142" s="100" t="n">
        <f aca="false">IFERROR(INDEX(Motor!$F$61:$CP$301,$A142+1,($D$5-1)*15+12),0)</f>
        <v>54793.880202079</v>
      </c>
      <c r="J142" s="102" t="n">
        <f aca="false">IFERROR(INDEX(Motor!$F$61:$CP$301,$A142+1,($D$5-1)*15+13),0)</f>
        <v>460498.654478448</v>
      </c>
      <c r="K142" s="100" t="n">
        <f aca="false">IFERROR(INDEX(Motor!$F$61:$CP$301,$A142+1,($D$5-1)*15+14),0)</f>
        <v>298155.062869163</v>
      </c>
    </row>
    <row r="143" customFormat="false" ht="12" hidden="false" customHeight="true" outlineLevel="0" collapsed="false">
      <c r="A143" s="55" t="n">
        <v>134</v>
      </c>
      <c r="B143" s="99" t="n">
        <f aca="false">EDATE(DATA_INICIO,$A143)</f>
        <v>50336</v>
      </c>
      <c r="C143" s="100" t="n">
        <f aca="false">IFERROR(INDEX(Motor!$F$61:$CP$301,$A143+1,($D$5-1)*15+1),0)</f>
        <v>515292.534680527</v>
      </c>
      <c r="D143" s="100" t="n">
        <f aca="false">IFERROR(INDEX(Motor!$F$61:$CP$301,$A143+1,($D$5-1)*15+4),0)</f>
        <v>4889.50416231997</v>
      </c>
      <c r="E143" s="100" t="n">
        <f aca="false">IFERROR(INDEX(Motor!$F$61:$CP$301,$A143+1,($D$5-1)*15+2),0)</f>
        <v>0</v>
      </c>
      <c r="F143" s="100" t="n">
        <f aca="false">IFERROR(INDEX(Motor!$F$61:$CP$301,$A143+1,($D$5-1)*15+3)+INDEX(Motor!$F$61:$CP$301,$A143+1,($D$5-1)*15+5)+INDEX(Motor!$F$61:$CP$301,$A143+1,($D$5-1)*15+6),0)</f>
        <v>85.8820891134212</v>
      </c>
      <c r="G143" s="100" t="n">
        <f aca="false">IFERROR(INDEX(Motor!$F$61:$CP$301,$A143+1,($D$5-1)*15+7),0)</f>
        <v>0</v>
      </c>
      <c r="H143" s="101" t="n">
        <f aca="false">IFERROR(INDEX(Motor!$F$61:$CP$301,$A143+1,($D$5-1)*15+8),0)</f>
        <v>520096.156753734</v>
      </c>
      <c r="I143" s="100" t="n">
        <f aca="false">IFERROR(INDEX(Motor!$F$61:$CP$301,$A143+1,($D$5-1)*15+12),0)</f>
        <v>55514.42351306</v>
      </c>
      <c r="J143" s="102" t="n">
        <f aca="false">IFERROR(INDEX(Motor!$F$61:$CP$301,$A143+1,($D$5-1)*15+13),0)</f>
        <v>464581.733240674</v>
      </c>
      <c r="K143" s="100" t="n">
        <f aca="false">IFERROR(INDEX(Motor!$F$61:$CP$301,$A143+1,($D$5-1)*15+14),0)</f>
        <v>299817.174987225</v>
      </c>
    </row>
    <row r="144" customFormat="false" ht="12" hidden="false" customHeight="true" outlineLevel="0" collapsed="false">
      <c r="A144" s="55" t="n">
        <v>135</v>
      </c>
      <c r="B144" s="99" t="n">
        <f aca="false">EDATE(DATA_INICIO,$A144)</f>
        <v>50367</v>
      </c>
      <c r="C144" s="100" t="n">
        <f aca="false">IFERROR(INDEX(Motor!$F$61:$CP$301,$A144+1,($D$5-1)*15+1),0)</f>
        <v>520096.156753734</v>
      </c>
      <c r="D144" s="100" t="n">
        <f aca="false">IFERROR(INDEX(Motor!$F$61:$CP$301,$A144+1,($D$5-1)*15+4),0)</f>
        <v>4935.08473750862</v>
      </c>
      <c r="E144" s="100" t="n">
        <f aca="false">IFERROR(INDEX(Motor!$F$61:$CP$301,$A144+1,($D$5-1)*15+2),0)</f>
        <v>0</v>
      </c>
      <c r="F144" s="100" t="n">
        <f aca="false">IFERROR(INDEX(Motor!$F$61:$CP$301,$A144+1,($D$5-1)*15+3)+INDEX(Motor!$F$61:$CP$301,$A144+1,($D$5-1)*15+5)+INDEX(Motor!$F$61:$CP$301,$A144+1,($D$5-1)*15+6),0)</f>
        <v>86.6826927922889</v>
      </c>
      <c r="G144" s="100" t="n">
        <f aca="false">IFERROR(INDEX(Motor!$F$61:$CP$301,$A144+1,($D$5-1)*15+7),0)</f>
        <v>0</v>
      </c>
      <c r="H144" s="101" t="n">
        <f aca="false">IFERROR(INDEX(Motor!$F$61:$CP$301,$A144+1,($D$5-1)*15+8),0)</f>
        <v>524944.55879845</v>
      </c>
      <c r="I144" s="100" t="n">
        <f aca="false">IFERROR(INDEX(Motor!$F$61:$CP$301,$A144+1,($D$5-1)*15+12),0)</f>
        <v>56241.6838197675</v>
      </c>
      <c r="J144" s="102" t="n">
        <f aca="false">IFERROR(INDEX(Motor!$F$61:$CP$301,$A144+1,($D$5-1)*15+13),0)</f>
        <v>468702.874978682</v>
      </c>
      <c r="K144" s="100" t="n">
        <f aca="false">IFERROR(INDEX(Motor!$F$61:$CP$301,$A144+1,($D$5-1)*15+14),0)</f>
        <v>301489.749086934</v>
      </c>
    </row>
    <row r="145" customFormat="false" ht="12" hidden="false" customHeight="true" outlineLevel="0" collapsed="false">
      <c r="A145" s="55" t="n">
        <v>136</v>
      </c>
      <c r="B145" s="99" t="n">
        <f aca="false">EDATE(DATA_INICIO,$A145)</f>
        <v>50397</v>
      </c>
      <c r="C145" s="100" t="n">
        <f aca="false">IFERROR(INDEX(Motor!$F$61:$CP$301,$A145+1,($D$5-1)*15+1),0)</f>
        <v>524944.55879845</v>
      </c>
      <c r="D145" s="100" t="n">
        <f aca="false">IFERROR(INDEX(Motor!$F$61:$CP$301,$A145+1,($D$5-1)*15+4),0)</f>
        <v>4981.09022057455</v>
      </c>
      <c r="E145" s="100" t="n">
        <f aca="false">IFERROR(INDEX(Motor!$F$61:$CP$301,$A145+1,($D$5-1)*15+2),0)</f>
        <v>0</v>
      </c>
      <c r="F145" s="100" t="n">
        <f aca="false">IFERROR(INDEX(Motor!$F$61:$CP$301,$A145+1,($D$5-1)*15+3)+INDEX(Motor!$F$61:$CP$301,$A145+1,($D$5-1)*15+5)+INDEX(Motor!$F$61:$CP$301,$A145+1,($D$5-1)*15+6),0)</f>
        <v>87.4907597997417</v>
      </c>
      <c r="G145" s="100" t="n">
        <f aca="false">IFERROR(INDEX(Motor!$F$61:$CP$301,$A145+1,($D$5-1)*15+7),0)</f>
        <v>0</v>
      </c>
      <c r="H145" s="101" t="n">
        <f aca="false">IFERROR(INDEX(Motor!$F$61:$CP$301,$A145+1,($D$5-1)*15+8),0)</f>
        <v>529838.158259225</v>
      </c>
      <c r="I145" s="100" t="n">
        <f aca="false">IFERROR(INDEX(Motor!$F$61:$CP$301,$A145+1,($D$5-1)*15+12),0)</f>
        <v>56975.7237388837</v>
      </c>
      <c r="J145" s="102" t="n">
        <f aca="false">IFERROR(INDEX(Motor!$F$61:$CP$301,$A145+1,($D$5-1)*15+13),0)</f>
        <v>472862.434520341</v>
      </c>
      <c r="K145" s="100" t="n">
        <f aca="false">IFERROR(INDEX(Motor!$F$61:$CP$301,$A145+1,($D$5-1)*15+14),0)</f>
        <v>303172.846798662</v>
      </c>
    </row>
    <row r="146" customFormat="false" ht="12" hidden="false" customHeight="true" outlineLevel="0" collapsed="false">
      <c r="A146" s="55" t="n">
        <v>137</v>
      </c>
      <c r="B146" s="99" t="n">
        <f aca="false">EDATE(DATA_INICIO,$A146)</f>
        <v>50428</v>
      </c>
      <c r="C146" s="100" t="n">
        <f aca="false">IFERROR(INDEX(Motor!$F$61:$CP$301,$A146+1,($D$5-1)*15+1),0)</f>
        <v>529838.158259225</v>
      </c>
      <c r="D146" s="100" t="n">
        <f aca="false">IFERROR(INDEX(Motor!$F$61:$CP$301,$A146+1,($D$5-1)*15+4),0)</f>
        <v>5027.52457256263</v>
      </c>
      <c r="E146" s="100" t="n">
        <f aca="false">IFERROR(INDEX(Motor!$F$61:$CP$301,$A146+1,($D$5-1)*15+2),0)</f>
        <v>0</v>
      </c>
      <c r="F146" s="100" t="n">
        <f aca="false">IFERROR(INDEX(Motor!$F$61:$CP$301,$A146+1,($D$5-1)*15+3)+INDEX(Motor!$F$61:$CP$301,$A146+1,($D$5-1)*15+5)+INDEX(Motor!$F$61:$CP$301,$A146+1,($D$5-1)*15+6),0)</f>
        <v>88.3063597098708</v>
      </c>
      <c r="G146" s="100" t="n">
        <f aca="false">IFERROR(INDEX(Motor!$F$61:$CP$301,$A146+1,($D$5-1)*15+7),0)</f>
        <v>0</v>
      </c>
      <c r="H146" s="101" t="n">
        <f aca="false">IFERROR(INDEX(Motor!$F$61:$CP$301,$A146+1,($D$5-1)*15+8),0)</f>
        <v>534777.376472078</v>
      </c>
      <c r="I146" s="100" t="n">
        <f aca="false">IFERROR(INDEX(Motor!$F$61:$CP$301,$A146+1,($D$5-1)*15+12),0)</f>
        <v>57716.6064708116</v>
      </c>
      <c r="J146" s="102" t="n">
        <f aca="false">IFERROR(INDEX(Motor!$F$61:$CP$301,$A146+1,($D$5-1)*15+13),0)</f>
        <v>477060.770001266</v>
      </c>
      <c r="K146" s="100" t="n">
        <f aca="false">IFERROR(INDEX(Motor!$F$61:$CP$301,$A146+1,($D$5-1)*15+14),0)</f>
        <v>304866.53012903</v>
      </c>
    </row>
    <row r="147" customFormat="false" ht="12" hidden="false" customHeight="true" outlineLevel="0" collapsed="false">
      <c r="A147" s="55" t="n">
        <v>138</v>
      </c>
      <c r="B147" s="99" t="n">
        <f aca="false">EDATE(DATA_INICIO,$A147)</f>
        <v>50459</v>
      </c>
      <c r="C147" s="100" t="n">
        <f aca="false">IFERROR(INDEX(Motor!$F$61:$CP$301,$A147+1,($D$5-1)*15+1),0)</f>
        <v>534777.376472078</v>
      </c>
      <c r="D147" s="100" t="n">
        <f aca="false">IFERROR(INDEX(Motor!$F$61:$CP$301,$A147+1,($D$5-1)*15+4),0)</f>
        <v>5074.39179144311</v>
      </c>
      <c r="E147" s="100" t="n">
        <f aca="false">IFERROR(INDEX(Motor!$F$61:$CP$301,$A147+1,($D$5-1)*15+2),0)</f>
        <v>0</v>
      </c>
      <c r="F147" s="100" t="n">
        <f aca="false">IFERROR(INDEX(Motor!$F$61:$CP$301,$A147+1,($D$5-1)*15+3)+INDEX(Motor!$F$61:$CP$301,$A147+1,($D$5-1)*15+5)+INDEX(Motor!$F$61:$CP$301,$A147+1,($D$5-1)*15+6),0)</f>
        <v>89.1295627453463</v>
      </c>
      <c r="G147" s="100" t="n">
        <f aca="false">IFERROR(INDEX(Motor!$F$61:$CP$301,$A147+1,($D$5-1)*15+7),0)</f>
        <v>0</v>
      </c>
      <c r="H147" s="101" t="n">
        <f aca="false">IFERROR(INDEX(Motor!$F$61:$CP$301,$A147+1,($D$5-1)*15+8),0)</f>
        <v>539762.638700775</v>
      </c>
      <c r="I147" s="100" t="n">
        <f aca="false">IFERROR(INDEX(Motor!$F$61:$CP$301,$A147+1,($D$5-1)*15+12),0)</f>
        <v>58464.3958051163</v>
      </c>
      <c r="J147" s="102" t="n">
        <f aca="false">IFERROR(INDEX(Motor!$F$61:$CP$301,$A147+1,($D$5-1)*15+13),0)</f>
        <v>481298.242895659</v>
      </c>
      <c r="K147" s="100" t="n">
        <f aca="false">IFERROR(INDEX(Motor!$F$61:$CP$301,$A147+1,($D$5-1)*15+14),0)</f>
        <v>306570.861463165</v>
      </c>
    </row>
    <row r="148" customFormat="false" ht="12" hidden="false" customHeight="true" outlineLevel="0" collapsed="false">
      <c r="A148" s="55" t="n">
        <v>139</v>
      </c>
      <c r="B148" s="99" t="n">
        <f aca="false">EDATE(DATA_INICIO,$A148)</f>
        <v>50487</v>
      </c>
      <c r="C148" s="100" t="n">
        <f aca="false">IFERROR(INDEX(Motor!$F$61:$CP$301,$A148+1,($D$5-1)*15+1),0)</f>
        <v>539762.638700775</v>
      </c>
      <c r="D148" s="100" t="n">
        <f aca="false">IFERROR(INDEX(Motor!$F$61:$CP$301,$A148+1,($D$5-1)*15+4),0)</f>
        <v>5121.69591245582</v>
      </c>
      <c r="E148" s="100" t="n">
        <f aca="false">IFERROR(INDEX(Motor!$F$61:$CP$301,$A148+1,($D$5-1)*15+2),0)</f>
        <v>0</v>
      </c>
      <c r="F148" s="100" t="n">
        <f aca="false">IFERROR(INDEX(Motor!$F$61:$CP$301,$A148+1,($D$5-1)*15+3)+INDEX(Motor!$F$61:$CP$301,$A148+1,($D$5-1)*15+5)+INDEX(Motor!$F$61:$CP$301,$A148+1,($D$5-1)*15+6),0)</f>
        <v>89.9604397834626</v>
      </c>
      <c r="G148" s="100" t="n">
        <f aca="false">IFERROR(INDEX(Motor!$F$61:$CP$301,$A148+1,($D$5-1)*15+7),0)</f>
        <v>0</v>
      </c>
      <c r="H148" s="101" t="n">
        <f aca="false">IFERROR(INDEX(Motor!$F$61:$CP$301,$A148+1,($D$5-1)*15+8),0)</f>
        <v>544794.374173448</v>
      </c>
      <c r="I148" s="100" t="n">
        <f aca="false">IFERROR(INDEX(Motor!$F$61:$CP$301,$A148+1,($D$5-1)*15+12),0)</f>
        <v>59219.1561260172</v>
      </c>
      <c r="J148" s="102" t="n">
        <f aca="false">IFERROR(INDEX(Motor!$F$61:$CP$301,$A148+1,($D$5-1)*15+13),0)</f>
        <v>485575.218047431</v>
      </c>
      <c r="K148" s="100" t="n">
        <f aca="false">IFERROR(INDEX(Motor!$F$61:$CP$301,$A148+1,($D$5-1)*15+14),0)</f>
        <v>308285.903566965</v>
      </c>
    </row>
    <row r="149" customFormat="false" ht="12" hidden="false" customHeight="true" outlineLevel="0" collapsed="false">
      <c r="A149" s="55" t="n">
        <v>140</v>
      </c>
      <c r="B149" s="99" t="n">
        <f aca="false">EDATE(DATA_INICIO,$A149)</f>
        <v>50518</v>
      </c>
      <c r="C149" s="100" t="n">
        <f aca="false">IFERROR(INDEX(Motor!$F$61:$CP$301,$A149+1,($D$5-1)*15+1),0)</f>
        <v>544794.374173448</v>
      </c>
      <c r="D149" s="100" t="n">
        <f aca="false">IFERROR(INDEX(Motor!$F$61:$CP$301,$A149+1,($D$5-1)*15+4),0)</f>
        <v>5169.4410084576</v>
      </c>
      <c r="E149" s="100" t="n">
        <f aca="false">IFERROR(INDEX(Motor!$F$61:$CP$301,$A149+1,($D$5-1)*15+2),0)</f>
        <v>0</v>
      </c>
      <c r="F149" s="100" t="n">
        <f aca="false">IFERROR(INDEX(Motor!$F$61:$CP$301,$A149+1,($D$5-1)*15+3)+INDEX(Motor!$F$61:$CP$301,$A149+1,($D$5-1)*15+5)+INDEX(Motor!$F$61:$CP$301,$A149+1,($D$5-1)*15+6),0)</f>
        <v>90.7990623622413</v>
      </c>
      <c r="G149" s="100" t="n">
        <f aca="false">IFERROR(INDEX(Motor!$F$61:$CP$301,$A149+1,($D$5-1)*15+7),0)</f>
        <v>0</v>
      </c>
      <c r="H149" s="101" t="n">
        <f aca="false">IFERROR(INDEX(Motor!$F$61:$CP$301,$A149+1,($D$5-1)*15+8),0)</f>
        <v>549873.016119543</v>
      </c>
      <c r="I149" s="100" t="n">
        <f aca="false">IFERROR(INDEX(Motor!$F$61:$CP$301,$A149+1,($D$5-1)*15+12),0)</f>
        <v>59980.9524179315</v>
      </c>
      <c r="J149" s="102" t="n">
        <f aca="false">IFERROR(INDEX(Motor!$F$61:$CP$301,$A149+1,($D$5-1)*15+13),0)</f>
        <v>489892.063701612</v>
      </c>
      <c r="K149" s="100" t="n">
        <f aca="false">IFERROR(INDEX(Motor!$F$61:$CP$301,$A149+1,($D$5-1)*15+14),0)</f>
        <v>310011.719589376</v>
      </c>
    </row>
    <row r="150" customFormat="false" ht="12" hidden="false" customHeight="true" outlineLevel="0" collapsed="false">
      <c r="A150" s="55" t="n">
        <v>141</v>
      </c>
      <c r="B150" s="99" t="n">
        <f aca="false">EDATE(DATA_INICIO,$A150)</f>
        <v>50548</v>
      </c>
      <c r="C150" s="100" t="n">
        <f aca="false">IFERROR(INDEX(Motor!$F$61:$CP$301,$A150+1,($D$5-1)*15+1),0)</f>
        <v>549873.016119543</v>
      </c>
      <c r="D150" s="100" t="n">
        <f aca="false">IFERROR(INDEX(Motor!$F$61:$CP$301,$A150+1,($D$5-1)*15+4),0)</f>
        <v>5217.63119027299</v>
      </c>
      <c r="E150" s="100" t="n">
        <f aca="false">IFERROR(INDEX(Motor!$F$61:$CP$301,$A150+1,($D$5-1)*15+2),0)</f>
        <v>0</v>
      </c>
      <c r="F150" s="100" t="n">
        <f aca="false">IFERROR(INDEX(Motor!$F$61:$CP$301,$A150+1,($D$5-1)*15+3)+INDEX(Motor!$F$61:$CP$301,$A150+1,($D$5-1)*15+5)+INDEX(Motor!$F$61:$CP$301,$A150+1,($D$5-1)*15+6),0)</f>
        <v>91.6455026865905</v>
      </c>
      <c r="G150" s="100" t="n">
        <f aca="false">IFERROR(INDEX(Motor!$F$61:$CP$301,$A150+1,($D$5-1)*15+7),0)</f>
        <v>0</v>
      </c>
      <c r="H150" s="101" t="n">
        <f aca="false">IFERROR(INDEX(Motor!$F$61:$CP$301,$A150+1,($D$5-1)*15+8),0)</f>
        <v>554999.001807129</v>
      </c>
      <c r="I150" s="100" t="n">
        <f aca="false">IFERROR(INDEX(Motor!$F$61:$CP$301,$A150+1,($D$5-1)*15+12),0)</f>
        <v>60749.8502710694</v>
      </c>
      <c r="J150" s="102" t="n">
        <f aca="false">IFERROR(INDEX(Motor!$F$61:$CP$301,$A150+1,($D$5-1)*15+13),0)</f>
        <v>494249.15153606</v>
      </c>
      <c r="K150" s="100" t="n">
        <f aca="false">IFERROR(INDEX(Motor!$F$61:$CP$301,$A150+1,($D$5-1)*15+14),0)</f>
        <v>311748.373064691</v>
      </c>
    </row>
    <row r="151" customFormat="false" ht="12" hidden="false" customHeight="true" outlineLevel="0" collapsed="false">
      <c r="A151" s="55" t="n">
        <v>142</v>
      </c>
      <c r="B151" s="99" t="n">
        <f aca="false">EDATE(DATA_INICIO,$A151)</f>
        <v>50579</v>
      </c>
      <c r="C151" s="100" t="n">
        <f aca="false">IFERROR(INDEX(Motor!$F$61:$CP$301,$A151+1,($D$5-1)*15+1),0)</f>
        <v>554999.001807129</v>
      </c>
      <c r="D151" s="100" t="n">
        <f aca="false">IFERROR(INDEX(Motor!$F$61:$CP$301,$A151+1,($D$5-1)*15+4),0)</f>
        <v>5266.27060704813</v>
      </c>
      <c r="E151" s="100" t="n">
        <f aca="false">IFERROR(INDEX(Motor!$F$61:$CP$301,$A151+1,($D$5-1)*15+2),0)</f>
        <v>0</v>
      </c>
      <c r="F151" s="100" t="n">
        <f aca="false">IFERROR(INDEX(Motor!$F$61:$CP$301,$A151+1,($D$5-1)*15+3)+INDEX(Motor!$F$61:$CP$301,$A151+1,($D$5-1)*15+5)+INDEX(Motor!$F$61:$CP$301,$A151+1,($D$5-1)*15+6),0)</f>
        <v>92.4998336345216</v>
      </c>
      <c r="G151" s="100" t="n">
        <f aca="false">IFERROR(INDEX(Motor!$F$61:$CP$301,$A151+1,($D$5-1)*15+7),0)</f>
        <v>0</v>
      </c>
      <c r="H151" s="101" t="n">
        <f aca="false">IFERROR(INDEX(Motor!$F$61:$CP$301,$A151+1,($D$5-1)*15+8),0)</f>
        <v>560172.772580543</v>
      </c>
      <c r="I151" s="100" t="n">
        <f aca="false">IFERROR(INDEX(Motor!$F$61:$CP$301,$A151+1,($D$5-1)*15+12),0)</f>
        <v>61525.9158870815</v>
      </c>
      <c r="J151" s="102" t="n">
        <f aca="false">IFERROR(INDEX(Motor!$F$61:$CP$301,$A151+1,($D$5-1)*15+13),0)</f>
        <v>498646.856693462</v>
      </c>
      <c r="K151" s="100" t="n">
        <f aca="false">IFERROR(INDEX(Motor!$F$61:$CP$301,$A151+1,($D$5-1)*15+14),0)</f>
        <v>313495.927914855</v>
      </c>
    </row>
    <row r="152" customFormat="false" ht="12" hidden="false" customHeight="true" outlineLevel="0" collapsed="false">
      <c r="A152" s="55" t="n">
        <v>143</v>
      </c>
      <c r="B152" s="99" t="n">
        <f aca="false">EDATE(DATA_INICIO,$A152)</f>
        <v>50609</v>
      </c>
      <c r="C152" s="100" t="n">
        <f aca="false">IFERROR(INDEX(Motor!$F$61:$CP$301,$A152+1,($D$5-1)*15+1),0)</f>
        <v>560172.772580543</v>
      </c>
      <c r="D152" s="100" t="n">
        <f aca="false">IFERROR(INDEX(Motor!$F$61:$CP$301,$A152+1,($D$5-1)*15+4),0)</f>
        <v>5315.36344660805</v>
      </c>
      <c r="E152" s="100" t="n">
        <f aca="false">IFERROR(INDEX(Motor!$F$61:$CP$301,$A152+1,($D$5-1)*15+2),0)</f>
        <v>0</v>
      </c>
      <c r="F152" s="100" t="n">
        <f aca="false">IFERROR(INDEX(Motor!$F$61:$CP$301,$A152+1,($D$5-1)*15+3)+INDEX(Motor!$F$61:$CP$301,$A152+1,($D$5-1)*15+5)+INDEX(Motor!$F$61:$CP$301,$A152+1,($D$5-1)*15+6),0)</f>
        <v>93.3621287634238</v>
      </c>
      <c r="G152" s="100" t="n">
        <f aca="false">IFERROR(INDEX(Motor!$F$61:$CP$301,$A152+1,($D$5-1)*15+7),0)</f>
        <v>0</v>
      </c>
      <c r="H152" s="101" t="n">
        <f aca="false">IFERROR(INDEX(Motor!$F$61:$CP$301,$A152+1,($D$5-1)*15+8),0)</f>
        <v>565394.773898388</v>
      </c>
      <c r="I152" s="100" t="n">
        <f aca="false">IFERROR(INDEX(Motor!$F$61:$CP$301,$A152+1,($D$5-1)*15+12),0)</f>
        <v>62309.2160847582</v>
      </c>
      <c r="J152" s="102" t="n">
        <f aca="false">IFERROR(INDEX(Motor!$F$61:$CP$301,$A152+1,($D$5-1)*15+13),0)</f>
        <v>503085.55781363</v>
      </c>
      <c r="K152" s="100" t="n">
        <f aca="false">IFERROR(INDEX(Motor!$F$61:$CP$301,$A152+1,($D$5-1)*15+14),0)</f>
        <v>315254.448451786</v>
      </c>
    </row>
    <row r="153" customFormat="false" ht="12" hidden="false" customHeight="true" outlineLevel="0" collapsed="false">
      <c r="A153" s="55" t="n">
        <v>144</v>
      </c>
      <c r="B153" s="99" t="n">
        <f aca="false">EDATE(DATA_INICIO,$A153)</f>
        <v>50640</v>
      </c>
      <c r="C153" s="100" t="n">
        <f aca="false">IFERROR(INDEX(Motor!$F$61:$CP$301,$A153+1,($D$5-1)*15+1),0)</f>
        <v>565394.773898388</v>
      </c>
      <c r="D153" s="100" t="n">
        <f aca="false">IFERROR(INDEX(Motor!$F$61:$CP$301,$A153+1,($D$5-1)*15+4),0)</f>
        <v>5364.9139358172</v>
      </c>
      <c r="E153" s="100" t="n">
        <f aca="false">IFERROR(INDEX(Motor!$F$61:$CP$301,$A153+1,($D$5-1)*15+2),0)</f>
        <v>0</v>
      </c>
      <c r="F153" s="100" t="n">
        <f aca="false">IFERROR(INDEX(Motor!$F$61:$CP$301,$A153+1,($D$5-1)*15+3)+INDEX(Motor!$F$61:$CP$301,$A153+1,($D$5-1)*15+5)+INDEX(Motor!$F$61:$CP$301,$A153+1,($D$5-1)*15+6),0)</f>
        <v>94.2324623163979</v>
      </c>
      <c r="G153" s="100" t="n">
        <f aca="false">IFERROR(INDEX(Motor!$F$61:$CP$301,$A153+1,($D$5-1)*15+7),0)</f>
        <v>0</v>
      </c>
      <c r="H153" s="101" t="n">
        <f aca="false">IFERROR(INDEX(Motor!$F$61:$CP$301,$A153+1,($D$5-1)*15+8),0)</f>
        <v>570665.455371889</v>
      </c>
      <c r="I153" s="100" t="n">
        <f aca="false">IFERROR(INDEX(Motor!$F$61:$CP$301,$A153+1,($D$5-1)*15+12),0)</f>
        <v>63099.8183057833</v>
      </c>
      <c r="J153" s="102" t="n">
        <f aca="false">IFERROR(INDEX(Motor!$F$61:$CP$301,$A153+1,($D$5-1)*15+13),0)</f>
        <v>507565.637066105</v>
      </c>
      <c r="K153" s="100" t="n">
        <f aca="false">IFERROR(INDEX(Motor!$F$61:$CP$301,$A153+1,($D$5-1)*15+14),0)</f>
        <v>317023.999379716</v>
      </c>
    </row>
    <row r="154" customFormat="false" ht="12" hidden="false" customHeight="true" outlineLevel="0" collapsed="false">
      <c r="A154" s="55" t="n">
        <v>145</v>
      </c>
      <c r="B154" s="99" t="n">
        <f aca="false">EDATE(DATA_INICIO,$A154)</f>
        <v>50671</v>
      </c>
      <c r="C154" s="100" t="n">
        <f aca="false">IFERROR(INDEX(Motor!$F$61:$CP$301,$A154+1,($D$5-1)*15+1),0)</f>
        <v>570665.455371889</v>
      </c>
      <c r="D154" s="100" t="n">
        <f aca="false">IFERROR(INDEX(Motor!$F$61:$CP$301,$A154+1,($D$5-1)*15+4),0)</f>
        <v>5414.92634094339</v>
      </c>
      <c r="E154" s="100" t="n">
        <f aca="false">IFERROR(INDEX(Motor!$F$61:$CP$301,$A154+1,($D$5-1)*15+2),0)</f>
        <v>0</v>
      </c>
      <c r="F154" s="100" t="n">
        <f aca="false">IFERROR(INDEX(Motor!$F$61:$CP$301,$A154+1,($D$5-1)*15+3)+INDEX(Motor!$F$61:$CP$301,$A154+1,($D$5-1)*15+5)+INDEX(Motor!$F$61:$CP$301,$A154+1,($D$5-1)*15+6),0)</f>
        <v>95.1109092286481</v>
      </c>
      <c r="G154" s="100" t="n">
        <f aca="false">IFERROR(INDEX(Motor!$F$61:$CP$301,$A154+1,($D$5-1)*15+7),0)</f>
        <v>0</v>
      </c>
      <c r="H154" s="101" t="n">
        <f aca="false">IFERROR(INDEX(Motor!$F$61:$CP$301,$A154+1,($D$5-1)*15+8),0)</f>
        <v>575985.270803603</v>
      </c>
      <c r="I154" s="100" t="n">
        <f aca="false">IFERROR(INDEX(Motor!$F$61:$CP$301,$A154+1,($D$5-1)*15+12),0)</f>
        <v>63897.7906205405</v>
      </c>
      <c r="J154" s="102" t="n">
        <f aca="false">IFERROR(INDEX(Motor!$F$61:$CP$301,$A154+1,($D$5-1)*15+13),0)</f>
        <v>512087.480183063</v>
      </c>
      <c r="K154" s="100" t="n">
        <f aca="false">IFERROR(INDEX(Motor!$F$61:$CP$301,$A154+1,($D$5-1)*15+14),0)</f>
        <v>318804.645797534</v>
      </c>
    </row>
    <row r="155" customFormat="false" ht="12" hidden="false" customHeight="true" outlineLevel="0" collapsed="false">
      <c r="A155" s="55" t="n">
        <v>146</v>
      </c>
      <c r="B155" s="99" t="n">
        <f aca="false">EDATE(DATA_INICIO,$A155)</f>
        <v>50701</v>
      </c>
      <c r="C155" s="100" t="n">
        <f aca="false">IFERROR(INDEX(Motor!$F$61:$CP$301,$A155+1,($D$5-1)*15+1),0)</f>
        <v>575985.270803603</v>
      </c>
      <c r="D155" s="100" t="n">
        <f aca="false">IFERROR(INDEX(Motor!$F$61:$CP$301,$A155+1,($D$5-1)*15+4),0)</f>
        <v>5465.40496802513</v>
      </c>
      <c r="E155" s="100" t="n">
        <f aca="false">IFERROR(INDEX(Motor!$F$61:$CP$301,$A155+1,($D$5-1)*15+2),0)</f>
        <v>0</v>
      </c>
      <c r="F155" s="100" t="n">
        <f aca="false">IFERROR(INDEX(Motor!$F$61:$CP$301,$A155+1,($D$5-1)*15+3)+INDEX(Motor!$F$61:$CP$301,$A155+1,($D$5-1)*15+5)+INDEX(Motor!$F$61:$CP$301,$A155+1,($D$5-1)*15+6),0)</f>
        <v>95.9975451339339</v>
      </c>
      <c r="G155" s="100" t="n">
        <f aca="false">IFERROR(INDEX(Motor!$F$61:$CP$301,$A155+1,($D$5-1)*15+7),0)</f>
        <v>0</v>
      </c>
      <c r="H155" s="101" t="n">
        <f aca="false">IFERROR(INDEX(Motor!$F$61:$CP$301,$A155+1,($D$5-1)*15+8),0)</f>
        <v>581354.678226495</v>
      </c>
      <c r="I155" s="100" t="n">
        <f aca="false">IFERROR(INDEX(Motor!$F$61:$CP$301,$A155+1,($D$5-1)*15+12),0)</f>
        <v>64703.2017339742</v>
      </c>
      <c r="J155" s="102" t="n">
        <f aca="false">IFERROR(INDEX(Motor!$F$61:$CP$301,$A155+1,($D$5-1)*15+13),0)</f>
        <v>516651.47649252</v>
      </c>
      <c r="K155" s="100" t="n">
        <f aca="false">IFERROR(INDEX(Motor!$F$61:$CP$301,$A155+1,($D$5-1)*15+14),0)</f>
        <v>320596.453201157</v>
      </c>
    </row>
    <row r="156" customFormat="false" ht="12" hidden="false" customHeight="true" outlineLevel="0" collapsed="false">
      <c r="A156" s="55" t="n">
        <v>147</v>
      </c>
      <c r="B156" s="99" t="n">
        <f aca="false">EDATE(DATA_INICIO,$A156)</f>
        <v>50732</v>
      </c>
      <c r="C156" s="100" t="n">
        <f aca="false">IFERROR(INDEX(Motor!$F$61:$CP$301,$A156+1,($D$5-1)*15+1),0)</f>
        <v>581354.678226495</v>
      </c>
      <c r="D156" s="100" t="n">
        <f aca="false">IFERROR(INDEX(Motor!$F$61:$CP$301,$A156+1,($D$5-1)*15+4),0)</f>
        <v>5516.35416324236</v>
      </c>
      <c r="E156" s="100" t="n">
        <f aca="false">IFERROR(INDEX(Motor!$F$61:$CP$301,$A156+1,($D$5-1)*15+2),0)</f>
        <v>0</v>
      </c>
      <c r="F156" s="100" t="n">
        <f aca="false">IFERROR(INDEX(Motor!$F$61:$CP$301,$A156+1,($D$5-1)*15+3)+INDEX(Motor!$F$61:$CP$301,$A156+1,($D$5-1)*15+5)+INDEX(Motor!$F$61:$CP$301,$A156+1,($D$5-1)*15+6),0)</f>
        <v>96.8924463710824</v>
      </c>
      <c r="G156" s="100" t="n">
        <f aca="false">IFERROR(INDEX(Motor!$F$61:$CP$301,$A156+1,($D$5-1)*15+7),0)</f>
        <v>0</v>
      </c>
      <c r="H156" s="101" t="n">
        <f aca="false">IFERROR(INDEX(Motor!$F$61:$CP$301,$A156+1,($D$5-1)*15+8),0)</f>
        <v>586774.139943366</v>
      </c>
      <c r="I156" s="100" t="n">
        <f aca="false">IFERROR(INDEX(Motor!$F$61:$CP$301,$A156+1,($D$5-1)*15+12),0)</f>
        <v>65516.1209915049</v>
      </c>
      <c r="J156" s="102" t="n">
        <f aca="false">IFERROR(INDEX(Motor!$F$61:$CP$301,$A156+1,($D$5-1)*15+13),0)</f>
        <v>521258.018951861</v>
      </c>
      <c r="K156" s="100" t="n">
        <f aca="false">IFERROR(INDEX(Motor!$F$61:$CP$301,$A156+1,($D$5-1)*15+14),0)</f>
        <v>322399.487485904</v>
      </c>
    </row>
    <row r="157" customFormat="false" ht="12" hidden="false" customHeight="true" outlineLevel="0" collapsed="false">
      <c r="A157" s="55" t="n">
        <v>148</v>
      </c>
      <c r="B157" s="99" t="n">
        <f aca="false">EDATE(DATA_INICIO,$A157)</f>
        <v>50762</v>
      </c>
      <c r="C157" s="100" t="n">
        <f aca="false">IFERROR(INDEX(Motor!$F$61:$CP$301,$A157+1,($D$5-1)*15+1),0)</f>
        <v>586774.139943366</v>
      </c>
      <c r="D157" s="100" t="n">
        <f aca="false">IFERROR(INDEX(Motor!$F$61:$CP$301,$A157+1,($D$5-1)*15+4),0)</f>
        <v>5567.77831329065</v>
      </c>
      <c r="E157" s="100" t="n">
        <f aca="false">IFERROR(INDEX(Motor!$F$61:$CP$301,$A157+1,($D$5-1)*15+2),0)</f>
        <v>0</v>
      </c>
      <c r="F157" s="100" t="n">
        <f aca="false">IFERROR(INDEX(Motor!$F$61:$CP$301,$A157+1,($D$5-1)*15+3)+INDEX(Motor!$F$61:$CP$301,$A157+1,($D$5-1)*15+5)+INDEX(Motor!$F$61:$CP$301,$A157+1,($D$5-1)*15+6),0)</f>
        <v>97.795689990561</v>
      </c>
      <c r="G157" s="100" t="n">
        <f aca="false">IFERROR(INDEX(Motor!$F$61:$CP$301,$A157+1,($D$5-1)*15+7),0)</f>
        <v>0</v>
      </c>
      <c r="H157" s="101" t="n">
        <f aca="false">IFERROR(INDEX(Motor!$F$61:$CP$301,$A157+1,($D$5-1)*15+8),0)</f>
        <v>592244.122566666</v>
      </c>
      <c r="I157" s="100" t="n">
        <f aca="false">IFERROR(INDEX(Motor!$F$61:$CP$301,$A157+1,($D$5-1)*15+12),0)</f>
        <v>66336.6183849999</v>
      </c>
      <c r="J157" s="102" t="n">
        <f aca="false">IFERROR(INDEX(Motor!$F$61:$CP$301,$A157+1,($D$5-1)*15+13),0)</f>
        <v>525907.504181666</v>
      </c>
      <c r="K157" s="100" t="n">
        <f aca="false">IFERROR(INDEX(Motor!$F$61:$CP$301,$A157+1,($D$5-1)*15+14),0)</f>
        <v>324213.814948892</v>
      </c>
    </row>
    <row r="158" customFormat="false" ht="12" hidden="false" customHeight="true" outlineLevel="0" collapsed="false">
      <c r="A158" s="55" t="n">
        <v>149</v>
      </c>
      <c r="B158" s="99" t="n">
        <f aca="false">EDATE(DATA_INICIO,$A158)</f>
        <v>50793</v>
      </c>
      <c r="C158" s="100" t="n">
        <f aca="false">IFERROR(INDEX(Motor!$F$61:$CP$301,$A158+1,($D$5-1)*15+1),0)</f>
        <v>592244.122566666</v>
      </c>
      <c r="D158" s="100" t="n">
        <f aca="false">IFERROR(INDEX(Motor!$F$61:$CP$301,$A158+1,($D$5-1)*15+4),0)</f>
        <v>5619.68184575892</v>
      </c>
      <c r="E158" s="100" t="n">
        <f aca="false">IFERROR(INDEX(Motor!$F$61:$CP$301,$A158+1,($D$5-1)*15+2),0)</f>
        <v>0</v>
      </c>
      <c r="F158" s="100" t="n">
        <f aca="false">IFERROR(INDEX(Motor!$F$61:$CP$301,$A158+1,($D$5-1)*15+3)+INDEX(Motor!$F$61:$CP$301,$A158+1,($D$5-1)*15+5)+INDEX(Motor!$F$61:$CP$301,$A158+1,($D$5-1)*15+6),0)</f>
        <v>98.707353761111</v>
      </c>
      <c r="G158" s="100" t="n">
        <f aca="false">IFERROR(INDEX(Motor!$F$61:$CP$301,$A158+1,($D$5-1)*15+7),0)</f>
        <v>0</v>
      </c>
      <c r="H158" s="101" t="n">
        <f aca="false">IFERROR(INDEX(Motor!$F$61:$CP$301,$A158+1,($D$5-1)*15+8),0)</f>
        <v>597765.097058664</v>
      </c>
      <c r="I158" s="100" t="n">
        <f aca="false">IFERROR(INDEX(Motor!$F$61:$CP$301,$A158+1,($D$5-1)*15+12),0)</f>
        <v>67164.7645587996</v>
      </c>
      <c r="J158" s="102" t="n">
        <f aca="false">IFERROR(INDEX(Motor!$F$61:$CP$301,$A158+1,($D$5-1)*15+13),0)</f>
        <v>530600.332499864</v>
      </c>
      <c r="K158" s="100" t="n">
        <f aca="false">IFERROR(INDEX(Motor!$F$61:$CP$301,$A158+1,($D$5-1)*15+14),0)</f>
        <v>326039.50229144</v>
      </c>
    </row>
    <row r="159" customFormat="false" ht="12" hidden="false" customHeight="true" outlineLevel="0" collapsed="false">
      <c r="A159" s="55" t="n">
        <v>150</v>
      </c>
      <c r="B159" s="99" t="n">
        <f aca="false">EDATE(DATA_INICIO,$A159)</f>
        <v>50824</v>
      </c>
      <c r="C159" s="100" t="n">
        <f aca="false">IFERROR(INDEX(Motor!$F$61:$CP$301,$A159+1,($D$5-1)*15+1),0)</f>
        <v>597765.097058664</v>
      </c>
      <c r="D159" s="100" t="n">
        <f aca="false">IFERROR(INDEX(Motor!$F$61:$CP$301,$A159+1,($D$5-1)*15+4),0)</f>
        <v>5672.0692295106</v>
      </c>
      <c r="E159" s="100" t="n">
        <f aca="false">IFERROR(INDEX(Motor!$F$61:$CP$301,$A159+1,($D$5-1)*15+2),0)</f>
        <v>0</v>
      </c>
      <c r="F159" s="100" t="n">
        <f aca="false">IFERROR(INDEX(Motor!$F$61:$CP$301,$A159+1,($D$5-1)*15+3)+INDEX(Motor!$F$61:$CP$301,$A159+1,($D$5-1)*15+5)+INDEX(Motor!$F$61:$CP$301,$A159+1,($D$5-1)*15+6),0)</f>
        <v>99.627516176444</v>
      </c>
      <c r="G159" s="100" t="n">
        <f aca="false">IFERROR(INDEX(Motor!$F$61:$CP$301,$A159+1,($D$5-1)*15+7),0)</f>
        <v>0</v>
      </c>
      <c r="H159" s="101" t="n">
        <f aca="false">IFERROR(INDEX(Motor!$F$61:$CP$301,$A159+1,($D$5-1)*15+8),0)</f>
        <v>603337.538771998</v>
      </c>
      <c r="I159" s="100" t="n">
        <f aca="false">IFERROR(INDEX(Motor!$F$61:$CP$301,$A159+1,($D$5-1)*15+12),0)</f>
        <v>68000.6308157997</v>
      </c>
      <c r="J159" s="102" t="n">
        <f aca="false">IFERROR(INDEX(Motor!$F$61:$CP$301,$A159+1,($D$5-1)*15+13),0)</f>
        <v>535336.907956198</v>
      </c>
      <c r="K159" s="100" t="n">
        <f aca="false">IFERROR(INDEX(Motor!$F$61:$CP$301,$A159+1,($D$5-1)*15+14),0)</f>
        <v>327876.616621495</v>
      </c>
    </row>
    <row r="160" customFormat="false" ht="12" hidden="false" customHeight="true" outlineLevel="0" collapsed="false">
      <c r="A160" s="55" t="n">
        <v>151</v>
      </c>
      <c r="B160" s="99" t="n">
        <f aca="false">EDATE(DATA_INICIO,$A160)</f>
        <v>50852</v>
      </c>
      <c r="C160" s="100" t="n">
        <f aca="false">IFERROR(INDEX(Motor!$F$61:$CP$301,$A160+1,($D$5-1)*15+1),0)</f>
        <v>603337.538771998</v>
      </c>
      <c r="D160" s="100" t="n">
        <f aca="false">IFERROR(INDEX(Motor!$F$61:$CP$301,$A160+1,($D$5-1)*15+4),0)</f>
        <v>5724.94497506846</v>
      </c>
      <c r="E160" s="100" t="n">
        <f aca="false">IFERROR(INDEX(Motor!$F$61:$CP$301,$A160+1,($D$5-1)*15+2),0)</f>
        <v>0</v>
      </c>
      <c r="F160" s="100" t="n">
        <f aca="false">IFERROR(INDEX(Motor!$F$61:$CP$301,$A160+1,($D$5-1)*15+3)+INDEX(Motor!$F$61:$CP$301,$A160+1,($D$5-1)*15+5)+INDEX(Motor!$F$61:$CP$301,$A160+1,($D$5-1)*15+6),0)</f>
        <v>100.556256462</v>
      </c>
      <c r="G160" s="100" t="n">
        <f aca="false">IFERROR(INDEX(Motor!$F$61:$CP$301,$A160+1,($D$5-1)*15+7),0)</f>
        <v>0</v>
      </c>
      <c r="H160" s="101" t="n">
        <f aca="false">IFERROR(INDEX(Motor!$F$61:$CP$301,$A160+1,($D$5-1)*15+8),0)</f>
        <v>608961.927490605</v>
      </c>
      <c r="I160" s="100" t="n">
        <f aca="false">IFERROR(INDEX(Motor!$F$61:$CP$301,$A160+1,($D$5-1)*15+12),0)</f>
        <v>68844.2891235907</v>
      </c>
      <c r="J160" s="102" t="n">
        <f aca="false">IFERROR(INDEX(Motor!$F$61:$CP$301,$A160+1,($D$5-1)*15+13),0)</f>
        <v>540117.638367014</v>
      </c>
      <c r="K160" s="100" t="n">
        <f aca="false">IFERROR(INDEX(Motor!$F$61:$CP$301,$A160+1,($D$5-1)*15+14),0)</f>
        <v>329725.225456066</v>
      </c>
    </row>
    <row r="161" customFormat="false" ht="12" hidden="false" customHeight="true" outlineLevel="0" collapsed="false">
      <c r="A161" s="55" t="n">
        <v>152</v>
      </c>
      <c r="B161" s="99" t="n">
        <f aca="false">EDATE(DATA_INICIO,$A161)</f>
        <v>50883</v>
      </c>
      <c r="C161" s="100" t="n">
        <f aca="false">IFERROR(INDEX(Motor!$F$61:$CP$301,$A161+1,($D$5-1)*15+1),0)</f>
        <v>608961.927490605</v>
      </c>
      <c r="D161" s="100" t="n">
        <f aca="false">IFERROR(INDEX(Motor!$F$61:$CP$301,$A161+1,($D$5-1)*15+4),0)</f>
        <v>5778.31363500292</v>
      </c>
      <c r="E161" s="100" t="n">
        <f aca="false">IFERROR(INDEX(Motor!$F$61:$CP$301,$A161+1,($D$5-1)*15+2),0)</f>
        <v>0</v>
      </c>
      <c r="F161" s="100" t="n">
        <f aca="false">IFERROR(INDEX(Motor!$F$61:$CP$301,$A161+1,($D$5-1)*15+3)+INDEX(Motor!$F$61:$CP$301,$A161+1,($D$5-1)*15+5)+INDEX(Motor!$F$61:$CP$301,$A161+1,($D$5-1)*15+6),0)</f>
        <v>101.493654581767</v>
      </c>
      <c r="G161" s="100" t="n">
        <f aca="false">IFERROR(INDEX(Motor!$F$61:$CP$301,$A161+1,($D$5-1)*15+7),0)</f>
        <v>0</v>
      </c>
      <c r="H161" s="101" t="n">
        <f aca="false">IFERROR(INDEX(Motor!$F$61:$CP$301,$A161+1,($D$5-1)*15+8),0)</f>
        <v>614638.747471026</v>
      </c>
      <c r="I161" s="100" t="n">
        <f aca="false">IFERROR(INDEX(Motor!$F$61:$CP$301,$A161+1,($D$5-1)*15+12),0)</f>
        <v>69695.8121206539</v>
      </c>
      <c r="J161" s="102" t="n">
        <f aca="false">IFERROR(INDEX(Motor!$F$61:$CP$301,$A161+1,($D$5-1)*15+13),0)</f>
        <v>544942.935350372</v>
      </c>
      <c r="K161" s="100" t="n">
        <f aca="false">IFERROR(INDEX(Motor!$F$61:$CP$301,$A161+1,($D$5-1)*15+14),0)</f>
        <v>331585.396723677</v>
      </c>
    </row>
    <row r="162" customFormat="false" ht="12" hidden="false" customHeight="true" outlineLevel="0" collapsed="false">
      <c r="A162" s="55" t="n">
        <v>153</v>
      </c>
      <c r="B162" s="99" t="n">
        <f aca="false">EDATE(DATA_INICIO,$A162)</f>
        <v>50913</v>
      </c>
      <c r="C162" s="100" t="n">
        <f aca="false">IFERROR(INDEX(Motor!$F$61:$CP$301,$A162+1,($D$5-1)*15+1),0)</f>
        <v>614638.747471026</v>
      </c>
      <c r="D162" s="100" t="n">
        <f aca="false">IFERROR(INDEX(Motor!$F$61:$CP$301,$A162+1,($D$5-1)*15+4),0)</f>
        <v>5832.17980432404</v>
      </c>
      <c r="E162" s="100" t="n">
        <f aca="false">IFERROR(INDEX(Motor!$F$61:$CP$301,$A162+1,($D$5-1)*15+2),0)</f>
        <v>0</v>
      </c>
      <c r="F162" s="100" t="n">
        <f aca="false">IFERROR(INDEX(Motor!$F$61:$CP$301,$A162+1,($D$5-1)*15+3)+INDEX(Motor!$F$61:$CP$301,$A162+1,($D$5-1)*15+5)+INDEX(Motor!$F$61:$CP$301,$A162+1,($D$5-1)*15+6),0)</f>
        <v>102.439791245171</v>
      </c>
      <c r="G162" s="100" t="n">
        <f aca="false">IFERROR(INDEX(Motor!$F$61:$CP$301,$A162+1,($D$5-1)*15+7),0)</f>
        <v>0</v>
      </c>
      <c r="H162" s="101" t="n">
        <f aca="false">IFERROR(INDEX(Motor!$F$61:$CP$301,$A162+1,($D$5-1)*15+8),0)</f>
        <v>620368.487484105</v>
      </c>
      <c r="I162" s="100" t="n">
        <f aca="false">IFERROR(INDEX(Motor!$F$61:$CP$301,$A162+1,($D$5-1)*15+12),0)</f>
        <v>70555.2731226157</v>
      </c>
      <c r="J162" s="102" t="n">
        <f aca="false">IFERROR(INDEX(Motor!$F$61:$CP$301,$A162+1,($D$5-1)*15+13),0)</f>
        <v>549813.214361489</v>
      </c>
      <c r="K162" s="100" t="n">
        <f aca="false">IFERROR(INDEX(Motor!$F$61:$CP$301,$A162+1,($D$5-1)*15+14),0)</f>
        <v>333457.198766833</v>
      </c>
    </row>
    <row r="163" customFormat="false" ht="12" hidden="false" customHeight="true" outlineLevel="0" collapsed="false">
      <c r="A163" s="55" t="n">
        <v>154</v>
      </c>
      <c r="B163" s="99" t="n">
        <f aca="false">EDATE(DATA_INICIO,$A163)</f>
        <v>50944</v>
      </c>
      <c r="C163" s="100" t="n">
        <f aca="false">IFERROR(INDEX(Motor!$F$61:$CP$301,$A163+1,($D$5-1)*15+1),0)</f>
        <v>620368.487484105</v>
      </c>
      <c r="D163" s="100" t="n">
        <f aca="false">IFERROR(INDEX(Motor!$F$61:$CP$301,$A163+1,($D$5-1)*15+4),0)</f>
        <v>5886.54812087714</v>
      </c>
      <c r="E163" s="100" t="n">
        <f aca="false">IFERROR(INDEX(Motor!$F$61:$CP$301,$A163+1,($D$5-1)*15+2),0)</f>
        <v>0</v>
      </c>
      <c r="F163" s="100" t="n">
        <f aca="false">IFERROR(INDEX(Motor!$F$61:$CP$301,$A163+1,($D$5-1)*15+3)+INDEX(Motor!$F$61:$CP$301,$A163+1,($D$5-1)*15+5)+INDEX(Motor!$F$61:$CP$301,$A163+1,($D$5-1)*15+6),0)</f>
        <v>103.394747914017</v>
      </c>
      <c r="G163" s="100" t="n">
        <f aca="false">IFERROR(INDEX(Motor!$F$61:$CP$301,$A163+1,($D$5-1)*15+7),0)</f>
        <v>0</v>
      </c>
      <c r="H163" s="101" t="n">
        <f aca="false">IFERROR(INDEX(Motor!$F$61:$CP$301,$A163+1,($D$5-1)*15+8),0)</f>
        <v>626151.640857068</v>
      </c>
      <c r="I163" s="100" t="n">
        <f aca="false">IFERROR(INDEX(Motor!$F$61:$CP$301,$A163+1,($D$5-1)*15+12),0)</f>
        <v>71422.7461285602</v>
      </c>
      <c r="J163" s="102" t="n">
        <f aca="false">IFERROR(INDEX(Motor!$F$61:$CP$301,$A163+1,($D$5-1)*15+13),0)</f>
        <v>554728.894728508</v>
      </c>
      <c r="K163" s="100" t="n">
        <f aca="false">IFERROR(INDEX(Motor!$F$61:$CP$301,$A163+1,($D$5-1)*15+14),0)</f>
        <v>335340.700344499</v>
      </c>
    </row>
    <row r="164" customFormat="false" ht="12" hidden="false" customHeight="true" outlineLevel="0" collapsed="false">
      <c r="A164" s="55" t="n">
        <v>155</v>
      </c>
      <c r="B164" s="99" t="n">
        <f aca="false">EDATE(DATA_INICIO,$A164)</f>
        <v>50974</v>
      </c>
      <c r="C164" s="100" t="n">
        <f aca="false">IFERROR(INDEX(Motor!$F$61:$CP$301,$A164+1,($D$5-1)*15+1),0)</f>
        <v>626151.640857068</v>
      </c>
      <c r="D164" s="100" t="n">
        <f aca="false">IFERROR(INDEX(Motor!$F$61:$CP$301,$A164+1,($D$5-1)*15+4),0)</f>
        <v>5941.42326574212</v>
      </c>
      <c r="E164" s="100" t="n">
        <f aca="false">IFERROR(INDEX(Motor!$F$61:$CP$301,$A164+1,($D$5-1)*15+2),0)</f>
        <v>0</v>
      </c>
      <c r="F164" s="100" t="n">
        <f aca="false">IFERROR(INDEX(Motor!$F$61:$CP$301,$A164+1,($D$5-1)*15+3)+INDEX(Motor!$F$61:$CP$301,$A164+1,($D$5-1)*15+5)+INDEX(Motor!$F$61:$CP$301,$A164+1,($D$5-1)*15+6),0)</f>
        <v>104.358606809511</v>
      </c>
      <c r="G164" s="100" t="n">
        <f aca="false">IFERROR(INDEX(Motor!$F$61:$CP$301,$A164+1,($D$5-1)*15+7),0)</f>
        <v>0</v>
      </c>
      <c r="H164" s="101" t="n">
        <f aca="false">IFERROR(INDEX(Motor!$F$61:$CP$301,$A164+1,($D$5-1)*15+8),0)</f>
        <v>631988.705516</v>
      </c>
      <c r="I164" s="100" t="n">
        <f aca="false">IFERROR(INDEX(Motor!$F$61:$CP$301,$A164+1,($D$5-1)*15+12),0)</f>
        <v>72298.3058274</v>
      </c>
      <c r="J164" s="102" t="n">
        <f aca="false">IFERROR(INDEX(Motor!$F$61:$CP$301,$A164+1,($D$5-1)*15+13),0)</f>
        <v>559690.3996886</v>
      </c>
      <c r="K164" s="100" t="n">
        <f aca="false">IFERROR(INDEX(Motor!$F$61:$CP$301,$A164+1,($D$5-1)*15+14),0)</f>
        <v>337235.970634599</v>
      </c>
    </row>
    <row r="165" customFormat="false" ht="12" hidden="false" customHeight="true" outlineLevel="0" collapsed="false">
      <c r="A165" s="55" t="n">
        <v>156</v>
      </c>
      <c r="B165" s="99" t="n">
        <f aca="false">EDATE(DATA_INICIO,$A165)</f>
        <v>51005</v>
      </c>
      <c r="C165" s="100" t="n">
        <f aca="false">IFERROR(INDEX(Motor!$F$61:$CP$301,$A165+1,($D$5-1)*15+1),0)</f>
        <v>631988.705516</v>
      </c>
      <c r="D165" s="100" t="n">
        <f aca="false">IFERROR(INDEX(Motor!$F$61:$CP$301,$A165+1,($D$5-1)*15+4),0)</f>
        <v>5996.80996363651</v>
      </c>
      <c r="E165" s="100" t="n">
        <f aca="false">IFERROR(INDEX(Motor!$F$61:$CP$301,$A165+1,($D$5-1)*15+2),0)</f>
        <v>0</v>
      </c>
      <c r="F165" s="100" t="n">
        <f aca="false">IFERROR(INDEX(Motor!$F$61:$CP$301,$A165+1,($D$5-1)*15+3)+INDEX(Motor!$F$61:$CP$301,$A165+1,($D$5-1)*15+5)+INDEX(Motor!$F$61:$CP$301,$A165+1,($D$5-1)*15+6),0)</f>
        <v>105.331450919333</v>
      </c>
      <c r="G165" s="100" t="n">
        <f aca="false">IFERROR(INDEX(Motor!$F$61:$CP$301,$A165+1,($D$5-1)*15+7),0)</f>
        <v>0</v>
      </c>
      <c r="H165" s="101" t="n">
        <f aca="false">IFERROR(INDEX(Motor!$F$61:$CP$301,$A165+1,($D$5-1)*15+8),0)</f>
        <v>637880.184028718</v>
      </c>
      <c r="I165" s="100" t="n">
        <f aca="false">IFERROR(INDEX(Motor!$F$61:$CP$301,$A165+1,($D$5-1)*15+12),0)</f>
        <v>73182.0276043076</v>
      </c>
      <c r="J165" s="102" t="n">
        <f aca="false">IFERROR(INDEX(Motor!$F$61:$CP$301,$A165+1,($D$5-1)*15+13),0)</f>
        <v>564698.15642441</v>
      </c>
      <c r="K165" s="100" t="n">
        <f aca="false">IFERROR(INDEX(Motor!$F$61:$CP$301,$A165+1,($D$5-1)*15+14),0)</f>
        <v>339143.079236527</v>
      </c>
    </row>
    <row r="166" customFormat="false" ht="12" hidden="false" customHeight="true" outlineLevel="0" collapsed="false">
      <c r="A166" s="55" t="n">
        <v>157</v>
      </c>
      <c r="B166" s="99" t="n">
        <f aca="false">EDATE(DATA_INICIO,$A166)</f>
        <v>51036</v>
      </c>
      <c r="C166" s="100" t="n">
        <f aca="false">IFERROR(INDEX(Motor!$F$61:$CP$301,$A166+1,($D$5-1)*15+1),0)</f>
        <v>637880.184028718</v>
      </c>
      <c r="D166" s="100" t="n">
        <f aca="false">IFERROR(INDEX(Motor!$F$61:$CP$301,$A166+1,($D$5-1)*15+4),0)</f>
        <v>6052.71298332223</v>
      </c>
      <c r="E166" s="100" t="n">
        <f aca="false">IFERROR(INDEX(Motor!$F$61:$CP$301,$A166+1,($D$5-1)*15+2),0)</f>
        <v>0</v>
      </c>
      <c r="F166" s="100" t="n">
        <f aca="false">IFERROR(INDEX(Motor!$F$61:$CP$301,$A166+1,($D$5-1)*15+3)+INDEX(Motor!$F$61:$CP$301,$A166+1,($D$5-1)*15+5)+INDEX(Motor!$F$61:$CP$301,$A166+1,($D$5-1)*15+6),0)</f>
        <v>106.313364004786</v>
      </c>
      <c r="G166" s="100" t="n">
        <f aca="false">IFERROR(INDEX(Motor!$F$61:$CP$301,$A166+1,($D$5-1)*15+7),0)</f>
        <v>0</v>
      </c>
      <c r="H166" s="101" t="n">
        <f aca="false">IFERROR(INDEX(Motor!$F$61:$CP$301,$A166+1,($D$5-1)*15+8),0)</f>
        <v>643826.583648035</v>
      </c>
      <c r="I166" s="100" t="n">
        <f aca="false">IFERROR(INDEX(Motor!$F$61:$CP$301,$A166+1,($D$5-1)*15+12),0)</f>
        <v>74073.9875472052</v>
      </c>
      <c r="J166" s="102" t="n">
        <f aca="false">IFERROR(INDEX(Motor!$F$61:$CP$301,$A166+1,($D$5-1)*15+13),0)</f>
        <v>569752.59610083</v>
      </c>
      <c r="K166" s="100" t="n">
        <f aca="false">IFERROR(INDEX(Motor!$F$61:$CP$301,$A166+1,($D$5-1)*15+14),0)</f>
        <v>341062.096173672</v>
      </c>
    </row>
    <row r="167" customFormat="false" ht="12" hidden="false" customHeight="true" outlineLevel="0" collapsed="false">
      <c r="A167" s="55" t="n">
        <v>158</v>
      </c>
      <c r="B167" s="99" t="n">
        <f aca="false">EDATE(DATA_INICIO,$A167)</f>
        <v>51066</v>
      </c>
      <c r="C167" s="100" t="n">
        <f aca="false">IFERROR(INDEX(Motor!$F$61:$CP$301,$A167+1,($D$5-1)*15+1),0)</f>
        <v>643826.583648035</v>
      </c>
      <c r="D167" s="100" t="n">
        <f aca="false">IFERROR(INDEX(Motor!$F$61:$CP$301,$A167+1,($D$5-1)*15+4),0)</f>
        <v>6109.13713801621</v>
      </c>
      <c r="E167" s="100" t="n">
        <f aca="false">IFERROR(INDEX(Motor!$F$61:$CP$301,$A167+1,($D$5-1)*15+2),0)</f>
        <v>0</v>
      </c>
      <c r="F167" s="100" t="n">
        <f aca="false">IFERROR(INDEX(Motor!$F$61:$CP$301,$A167+1,($D$5-1)*15+3)+INDEX(Motor!$F$61:$CP$301,$A167+1,($D$5-1)*15+5)+INDEX(Motor!$F$61:$CP$301,$A167+1,($D$5-1)*15+6),0)</f>
        <v>107.304430608006</v>
      </c>
      <c r="G167" s="100" t="n">
        <f aca="false">IFERROR(INDEX(Motor!$F$61:$CP$301,$A167+1,($D$5-1)*15+7),0)</f>
        <v>0</v>
      </c>
      <c r="H167" s="101" t="n">
        <f aca="false">IFERROR(INDEX(Motor!$F$61:$CP$301,$A167+1,($D$5-1)*15+8),0)</f>
        <v>649828.416355443</v>
      </c>
      <c r="I167" s="100" t="n">
        <f aca="false">IFERROR(INDEX(Motor!$F$61:$CP$301,$A167+1,($D$5-1)*15+12),0)</f>
        <v>74974.2624533164</v>
      </c>
      <c r="J167" s="102" t="n">
        <f aca="false">IFERROR(INDEX(Motor!$F$61:$CP$301,$A167+1,($D$5-1)*15+13),0)</f>
        <v>574854.153902127</v>
      </c>
      <c r="K167" s="100" t="n">
        <f aca="false">IFERROR(INDEX(Motor!$F$61:$CP$301,$A167+1,($D$5-1)*15+14),0)</f>
        <v>342993.09189596</v>
      </c>
    </row>
    <row r="168" customFormat="false" ht="12" hidden="false" customHeight="true" outlineLevel="0" collapsed="false">
      <c r="A168" s="55" t="n">
        <v>159</v>
      </c>
      <c r="B168" s="99" t="n">
        <f aca="false">EDATE(DATA_INICIO,$A168)</f>
        <v>51097</v>
      </c>
      <c r="C168" s="100" t="n">
        <f aca="false">IFERROR(INDEX(Motor!$F$61:$CP$301,$A168+1,($D$5-1)*15+1),0)</f>
        <v>649828.416355443</v>
      </c>
      <c r="D168" s="100" t="n">
        <f aca="false">IFERROR(INDEX(Motor!$F$61:$CP$301,$A168+1,($D$5-1)*15+4),0)</f>
        <v>6166.08728580482</v>
      </c>
      <c r="E168" s="100" t="n">
        <f aca="false">IFERROR(INDEX(Motor!$F$61:$CP$301,$A168+1,($D$5-1)*15+2),0)</f>
        <v>0</v>
      </c>
      <c r="F168" s="100" t="n">
        <f aca="false">IFERROR(INDEX(Motor!$F$61:$CP$301,$A168+1,($D$5-1)*15+3)+INDEX(Motor!$F$61:$CP$301,$A168+1,($D$5-1)*15+5)+INDEX(Motor!$F$61:$CP$301,$A168+1,($D$5-1)*15+6),0)</f>
        <v>108.30473605924</v>
      </c>
      <c r="G168" s="100" t="n">
        <f aca="false">IFERROR(INDEX(Motor!$F$61:$CP$301,$A168+1,($D$5-1)*15+7),0)</f>
        <v>0</v>
      </c>
      <c r="H168" s="101" t="n">
        <f aca="false">IFERROR(INDEX(Motor!$F$61:$CP$301,$A168+1,($D$5-1)*15+8),0)</f>
        <v>655886.198905189</v>
      </c>
      <c r="I168" s="100" t="n">
        <f aca="false">IFERROR(INDEX(Motor!$F$61:$CP$301,$A168+1,($D$5-1)*15+12),0)</f>
        <v>75882.9298357783</v>
      </c>
      <c r="J168" s="102" t="n">
        <f aca="false">IFERROR(INDEX(Motor!$F$61:$CP$301,$A168+1,($D$5-1)*15+13),0)</f>
        <v>580003.26906941</v>
      </c>
      <c r="K168" s="100" t="n">
        <f aca="false">IFERROR(INDEX(Motor!$F$61:$CP$301,$A168+1,($D$5-1)*15+14),0)</f>
        <v>344936.137282412</v>
      </c>
    </row>
    <row r="169" customFormat="false" ht="12" hidden="false" customHeight="true" outlineLevel="0" collapsed="false">
      <c r="A169" s="55" t="n">
        <v>160</v>
      </c>
      <c r="B169" s="99" t="n">
        <f aca="false">EDATE(DATA_INICIO,$A169)</f>
        <v>51127</v>
      </c>
      <c r="C169" s="100" t="n">
        <f aca="false">IFERROR(INDEX(Motor!$F$61:$CP$301,$A169+1,($D$5-1)*15+1),0)</f>
        <v>655886.198905189</v>
      </c>
      <c r="D169" s="100" t="n">
        <f aca="false">IFERROR(INDEX(Motor!$F$61:$CP$301,$A169+1,($D$5-1)*15+4),0)</f>
        <v>6223.56833006208</v>
      </c>
      <c r="E169" s="100" t="n">
        <f aca="false">IFERROR(INDEX(Motor!$F$61:$CP$301,$A169+1,($D$5-1)*15+2),0)</f>
        <v>0</v>
      </c>
      <c r="F169" s="100" t="n">
        <f aca="false">IFERROR(INDEX(Motor!$F$61:$CP$301,$A169+1,($D$5-1)*15+3)+INDEX(Motor!$F$61:$CP$301,$A169+1,($D$5-1)*15+5)+INDEX(Motor!$F$61:$CP$301,$A169+1,($D$5-1)*15+6),0)</f>
        <v>109.314366484198</v>
      </c>
      <c r="G169" s="100" t="n">
        <f aca="false">IFERROR(INDEX(Motor!$F$61:$CP$301,$A169+1,($D$5-1)*15+7),0)</f>
        <v>0</v>
      </c>
      <c r="H169" s="101" t="n">
        <f aca="false">IFERROR(INDEX(Motor!$F$61:$CP$301,$A169+1,($D$5-1)*15+8),0)</f>
        <v>662000.452868766</v>
      </c>
      <c r="I169" s="100" t="n">
        <f aca="false">IFERROR(INDEX(Motor!$F$61:$CP$301,$A169+1,($D$5-1)*15+12),0)</f>
        <v>76800.067930315</v>
      </c>
      <c r="J169" s="102" t="n">
        <f aca="false">IFERROR(INDEX(Motor!$F$61:$CP$301,$A169+1,($D$5-1)*15+13),0)</f>
        <v>585200.384938452</v>
      </c>
      <c r="K169" s="100" t="n">
        <f aca="false">IFERROR(INDEX(Motor!$F$61:$CP$301,$A169+1,($D$5-1)*15+14),0)</f>
        <v>346891.303643717</v>
      </c>
    </row>
    <row r="170" customFormat="false" ht="12" hidden="false" customHeight="true" outlineLevel="0" collapsed="false">
      <c r="A170" s="55" t="n">
        <v>161</v>
      </c>
      <c r="B170" s="99" t="n">
        <f aca="false">EDATE(DATA_INICIO,$A170)</f>
        <v>51158</v>
      </c>
      <c r="C170" s="100" t="n">
        <f aca="false">IFERROR(INDEX(Motor!$F$61:$CP$301,$A170+1,($D$5-1)*15+1),0)</f>
        <v>662000.452868766</v>
      </c>
      <c r="D170" s="100" t="n">
        <f aca="false">IFERROR(INDEX(Motor!$F$61:$CP$301,$A170+1,($D$5-1)*15+4),0)</f>
        <v>6281.58521987193</v>
      </c>
      <c r="E170" s="100" t="n">
        <f aca="false">IFERROR(INDEX(Motor!$F$61:$CP$301,$A170+1,($D$5-1)*15+2),0)</f>
        <v>0</v>
      </c>
      <c r="F170" s="100" t="n">
        <f aca="false">IFERROR(INDEX(Motor!$F$61:$CP$301,$A170+1,($D$5-1)*15+3)+INDEX(Motor!$F$61:$CP$301,$A170+1,($D$5-1)*15+5)+INDEX(Motor!$F$61:$CP$301,$A170+1,($D$5-1)*15+6),0)</f>
        <v>110.333408811461</v>
      </c>
      <c r="G170" s="100" t="n">
        <f aca="false">IFERROR(INDEX(Motor!$F$61:$CP$301,$A170+1,($D$5-1)*15+7),0)</f>
        <v>0</v>
      </c>
      <c r="H170" s="101" t="n">
        <f aca="false">IFERROR(INDEX(Motor!$F$61:$CP$301,$A170+1,($D$5-1)*15+8),0)</f>
        <v>668171.704679827</v>
      </c>
      <c r="I170" s="100" t="n">
        <f aca="false">IFERROR(INDEX(Motor!$F$61:$CP$301,$A170+1,($D$5-1)*15+12),0)</f>
        <v>77725.755701974</v>
      </c>
      <c r="J170" s="102" t="n">
        <f aca="false">IFERROR(INDEX(Motor!$F$61:$CP$301,$A170+1,($D$5-1)*15+13),0)</f>
        <v>590445.948977853</v>
      </c>
      <c r="K170" s="100" t="n">
        <f aca="false">IFERROR(INDEX(Motor!$F$61:$CP$301,$A170+1,($D$5-1)*15+14),0)</f>
        <v>348858.662724817</v>
      </c>
    </row>
    <row r="171" customFormat="false" ht="12" hidden="false" customHeight="true" outlineLevel="0" collapsed="false">
      <c r="A171" s="55" t="n">
        <v>162</v>
      </c>
      <c r="B171" s="99" t="n">
        <f aca="false">EDATE(DATA_INICIO,$A171)</f>
        <v>51189</v>
      </c>
      <c r="C171" s="100" t="n">
        <f aca="false">IFERROR(INDEX(Motor!$F$61:$CP$301,$A171+1,($D$5-1)*15+1),0)</f>
        <v>668171.704679827</v>
      </c>
      <c r="D171" s="100" t="n">
        <f aca="false">IFERROR(INDEX(Motor!$F$61:$CP$301,$A171+1,($D$5-1)*15+4),0)</f>
        <v>6340.14295045425</v>
      </c>
      <c r="E171" s="100" t="n">
        <f aca="false">IFERROR(INDEX(Motor!$F$61:$CP$301,$A171+1,($D$5-1)*15+2),0)</f>
        <v>0</v>
      </c>
      <c r="F171" s="100" t="n">
        <f aca="false">IFERROR(INDEX(Motor!$F$61:$CP$301,$A171+1,($D$5-1)*15+3)+INDEX(Motor!$F$61:$CP$301,$A171+1,($D$5-1)*15+5)+INDEX(Motor!$F$61:$CP$301,$A171+1,($D$5-1)*15+6),0)</f>
        <v>111.361950779971</v>
      </c>
      <c r="G171" s="100" t="n">
        <f aca="false">IFERROR(INDEX(Motor!$F$61:$CP$301,$A171+1,($D$5-1)*15+7),0)</f>
        <v>0</v>
      </c>
      <c r="H171" s="101" t="n">
        <f aca="false">IFERROR(INDEX(Motor!$F$61:$CP$301,$A171+1,($D$5-1)*15+8),0)</f>
        <v>674400.485679501</v>
      </c>
      <c r="I171" s="100" t="n">
        <f aca="false">IFERROR(INDEX(Motor!$F$61:$CP$301,$A171+1,($D$5-1)*15+12),0)</f>
        <v>78660.0728519252</v>
      </c>
      <c r="J171" s="102" t="n">
        <f aca="false">IFERROR(INDEX(Motor!$F$61:$CP$301,$A171+1,($D$5-1)*15+13),0)</f>
        <v>595740.412827576</v>
      </c>
      <c r="K171" s="100" t="n">
        <f aca="false">IFERROR(INDEX(Motor!$F$61:$CP$301,$A171+1,($D$5-1)*15+14),0)</f>
        <v>350838.286707517</v>
      </c>
    </row>
    <row r="172" customFormat="false" ht="12" hidden="false" customHeight="true" outlineLevel="0" collapsed="false">
      <c r="A172" s="55" t="n">
        <v>163</v>
      </c>
      <c r="B172" s="99" t="n">
        <f aca="false">EDATE(DATA_INICIO,$A172)</f>
        <v>51218</v>
      </c>
      <c r="C172" s="100" t="n">
        <f aca="false">IFERROR(INDEX(Motor!$F$61:$CP$301,$A172+1,($D$5-1)*15+1),0)</f>
        <v>674400.485679501</v>
      </c>
      <c r="D172" s="100" t="n">
        <f aca="false">IFERROR(INDEX(Motor!$F$61:$CP$301,$A172+1,($D$5-1)*15+4),0)</f>
        <v>6399.24656359503</v>
      </c>
      <c r="E172" s="100" t="n">
        <f aca="false">IFERROR(INDEX(Motor!$F$61:$CP$301,$A172+1,($D$5-1)*15+2),0)</f>
        <v>0</v>
      </c>
      <c r="F172" s="100" t="n">
        <f aca="false">IFERROR(INDEX(Motor!$F$61:$CP$301,$A172+1,($D$5-1)*15+3)+INDEX(Motor!$F$61:$CP$301,$A172+1,($D$5-1)*15+5)+INDEX(Motor!$F$61:$CP$301,$A172+1,($D$5-1)*15+6),0)</f>
        <v>112.400080946584</v>
      </c>
      <c r="G172" s="100" t="n">
        <f aca="false">IFERROR(INDEX(Motor!$F$61:$CP$301,$A172+1,($D$5-1)*15+7),0)</f>
        <v>0</v>
      </c>
      <c r="H172" s="101" t="n">
        <f aca="false">IFERROR(INDEX(Motor!$F$61:$CP$301,$A172+1,($D$5-1)*15+8),0)</f>
        <v>680687.33216215</v>
      </c>
      <c r="I172" s="100" t="n">
        <f aca="false">IFERROR(INDEX(Motor!$F$61:$CP$301,$A172+1,($D$5-1)*15+12),0)</f>
        <v>79603.0998243224</v>
      </c>
      <c r="J172" s="102" t="n">
        <f aca="false">IFERROR(INDEX(Motor!$F$61:$CP$301,$A172+1,($D$5-1)*15+13),0)</f>
        <v>601084.232337827</v>
      </c>
      <c r="K172" s="100" t="n">
        <f aca="false">IFERROR(INDEX(Motor!$F$61:$CP$301,$A172+1,($D$5-1)*15+14),0)</f>
        <v>352830.248213095</v>
      </c>
    </row>
    <row r="173" customFormat="false" ht="12" hidden="false" customHeight="true" outlineLevel="0" collapsed="false">
      <c r="A173" s="55" t="n">
        <v>164</v>
      </c>
      <c r="B173" s="99" t="n">
        <f aca="false">EDATE(DATA_INICIO,$A173)</f>
        <v>51249</v>
      </c>
      <c r="C173" s="100" t="n">
        <f aca="false">IFERROR(INDEX(Motor!$F$61:$CP$301,$A173+1,($D$5-1)*15+1),0)</f>
        <v>680687.33216215</v>
      </c>
      <c r="D173" s="100" t="n">
        <f aca="false">IFERROR(INDEX(Motor!$F$61:$CP$301,$A173+1,($D$5-1)*15+4),0)</f>
        <v>6458.90114808039</v>
      </c>
      <c r="E173" s="100" t="n">
        <f aca="false">IFERROR(INDEX(Motor!$F$61:$CP$301,$A173+1,($D$5-1)*15+2),0)</f>
        <v>0</v>
      </c>
      <c r="F173" s="100" t="n">
        <f aca="false">IFERROR(INDEX(Motor!$F$61:$CP$301,$A173+1,($D$5-1)*15+3)+INDEX(Motor!$F$61:$CP$301,$A173+1,($D$5-1)*15+5)+INDEX(Motor!$F$61:$CP$301,$A173+1,($D$5-1)*15+6),0)</f>
        <v>113.447888693692</v>
      </c>
      <c r="G173" s="100" t="n">
        <f aca="false">IFERROR(INDEX(Motor!$F$61:$CP$301,$A173+1,($D$5-1)*15+7),0)</f>
        <v>0</v>
      </c>
      <c r="H173" s="101" t="n">
        <f aca="false">IFERROR(INDEX(Motor!$F$61:$CP$301,$A173+1,($D$5-1)*15+8),0)</f>
        <v>687032.785421536</v>
      </c>
      <c r="I173" s="100" t="n">
        <f aca="false">IFERROR(INDEX(Motor!$F$61:$CP$301,$A173+1,($D$5-1)*15+12),0)</f>
        <v>80554.9178132304</v>
      </c>
      <c r="J173" s="102" t="n">
        <f aca="false">IFERROR(INDEX(Motor!$F$61:$CP$301,$A173+1,($D$5-1)*15+13),0)</f>
        <v>606477.867608306</v>
      </c>
      <c r="K173" s="100" t="n">
        <f aca="false">IFERROR(INDEX(Motor!$F$61:$CP$301,$A173+1,($D$5-1)*15+14),0)</f>
        <v>354834.620304949</v>
      </c>
    </row>
    <row r="174" customFormat="false" ht="12" hidden="false" customHeight="true" outlineLevel="0" collapsed="false">
      <c r="A174" s="55" t="n">
        <v>165</v>
      </c>
      <c r="B174" s="99" t="n">
        <f aca="false">EDATE(DATA_INICIO,$A174)</f>
        <v>51279</v>
      </c>
      <c r="C174" s="100" t="n">
        <f aca="false">IFERROR(INDEX(Motor!$F$61:$CP$301,$A174+1,($D$5-1)*15+1),0)</f>
        <v>687032.785421536</v>
      </c>
      <c r="D174" s="100" t="n">
        <f aca="false">IFERROR(INDEX(Motor!$F$61:$CP$301,$A174+1,($D$5-1)*15+4),0)</f>
        <v>6519.11184013478</v>
      </c>
      <c r="E174" s="100" t="n">
        <f aca="false">IFERROR(INDEX(Motor!$F$61:$CP$301,$A174+1,($D$5-1)*15+2),0)</f>
        <v>0</v>
      </c>
      <c r="F174" s="100" t="n">
        <f aca="false">IFERROR(INDEX(Motor!$F$61:$CP$301,$A174+1,($D$5-1)*15+3)+INDEX(Motor!$F$61:$CP$301,$A174+1,($D$5-1)*15+5)+INDEX(Motor!$F$61:$CP$301,$A174+1,($D$5-1)*15+6),0)</f>
        <v>114.505464236923</v>
      </c>
      <c r="G174" s="100" t="n">
        <f aca="false">IFERROR(INDEX(Motor!$F$61:$CP$301,$A174+1,($D$5-1)*15+7),0)</f>
        <v>0</v>
      </c>
      <c r="H174" s="101" t="n">
        <f aca="false">IFERROR(INDEX(Motor!$F$61:$CP$301,$A174+1,($D$5-1)*15+8),0)</f>
        <v>693437.391797434</v>
      </c>
      <c r="I174" s="100" t="n">
        <f aca="false">IFERROR(INDEX(Motor!$F$61:$CP$301,$A174+1,($D$5-1)*15+12),0)</f>
        <v>81515.6087696151</v>
      </c>
      <c r="J174" s="102" t="n">
        <f aca="false">IFERROR(INDEX(Motor!$F$61:$CP$301,$A174+1,($D$5-1)*15+13),0)</f>
        <v>611921.783027819</v>
      </c>
      <c r="K174" s="100" t="n">
        <f aca="false">IFERROR(INDEX(Motor!$F$61:$CP$301,$A174+1,($D$5-1)*15+14),0)</f>
        <v>356851.476491238</v>
      </c>
    </row>
    <row r="175" customFormat="false" ht="12" hidden="false" customHeight="true" outlineLevel="0" collapsed="false">
      <c r="A175" s="55" t="n">
        <v>166</v>
      </c>
      <c r="B175" s="99" t="n">
        <f aca="false">EDATE(DATA_INICIO,$A175)</f>
        <v>51310</v>
      </c>
      <c r="C175" s="100" t="n">
        <f aca="false">IFERROR(INDEX(Motor!$F$61:$CP$301,$A175+1,($D$5-1)*15+1),0)</f>
        <v>693437.391797434</v>
      </c>
      <c r="D175" s="100" t="n">
        <f aca="false">IFERROR(INDEX(Motor!$F$61:$CP$301,$A175+1,($D$5-1)*15+4),0)</f>
        <v>6579.88382386319</v>
      </c>
      <c r="E175" s="100" t="n">
        <f aca="false">IFERROR(INDEX(Motor!$F$61:$CP$301,$A175+1,($D$5-1)*15+2),0)</f>
        <v>0</v>
      </c>
      <c r="F175" s="100" t="n">
        <f aca="false">IFERROR(INDEX(Motor!$F$61:$CP$301,$A175+1,($D$5-1)*15+3)+INDEX(Motor!$F$61:$CP$301,$A175+1,($D$5-1)*15+5)+INDEX(Motor!$F$61:$CP$301,$A175+1,($D$5-1)*15+6),0)</f>
        <v>115.572898632906</v>
      </c>
      <c r="G175" s="100" t="n">
        <f aca="false">IFERROR(INDEX(Motor!$F$61:$CP$301,$A175+1,($D$5-1)*15+7),0)</f>
        <v>0</v>
      </c>
      <c r="H175" s="101" t="n">
        <f aca="false">IFERROR(INDEX(Motor!$F$61:$CP$301,$A175+1,($D$5-1)*15+8),0)</f>
        <v>699901.702722665</v>
      </c>
      <c r="I175" s="100" t="n">
        <f aca="false">IFERROR(INDEX(Motor!$F$61:$CP$301,$A175+1,($D$5-1)*15+12),0)</f>
        <v>82485.2554083997</v>
      </c>
      <c r="J175" s="102" t="n">
        <f aca="false">IFERROR(INDEX(Motor!$F$61:$CP$301,$A175+1,($D$5-1)*15+13),0)</f>
        <v>617416.447314265</v>
      </c>
      <c r="K175" s="100" t="n">
        <f aca="false">IFERROR(INDEX(Motor!$F$61:$CP$301,$A175+1,($D$5-1)*15+14),0)</f>
        <v>358880.890727555</v>
      </c>
    </row>
    <row r="176" customFormat="false" ht="12" hidden="false" customHeight="true" outlineLevel="0" collapsed="false">
      <c r="A176" s="55" t="n">
        <v>167</v>
      </c>
      <c r="B176" s="99" t="n">
        <f aca="false">EDATE(DATA_INICIO,$A176)</f>
        <v>51340</v>
      </c>
      <c r="C176" s="100" t="n">
        <f aca="false">IFERROR(INDEX(Motor!$F$61:$CP$301,$A176+1,($D$5-1)*15+1),0)</f>
        <v>699901.702722665</v>
      </c>
      <c r="D176" s="100" t="n">
        <f aca="false">IFERROR(INDEX(Motor!$F$61:$CP$301,$A176+1,($D$5-1)*15+4),0)</f>
        <v>6641.22233169746</v>
      </c>
      <c r="E176" s="100" t="n">
        <f aca="false">IFERROR(INDEX(Motor!$F$61:$CP$301,$A176+1,($D$5-1)*15+2),0)</f>
        <v>0</v>
      </c>
      <c r="F176" s="100" t="n">
        <f aca="false">IFERROR(INDEX(Motor!$F$61:$CP$301,$A176+1,($D$5-1)*15+3)+INDEX(Motor!$F$61:$CP$301,$A176+1,($D$5-1)*15+5)+INDEX(Motor!$F$61:$CP$301,$A176+1,($D$5-1)*15+6),0)</f>
        <v>116.650283787111</v>
      </c>
      <c r="G176" s="100" t="n">
        <f aca="false">IFERROR(INDEX(Motor!$F$61:$CP$301,$A176+1,($D$5-1)*15+7),0)</f>
        <v>0</v>
      </c>
      <c r="H176" s="101" t="n">
        <f aca="false">IFERROR(INDEX(Motor!$F$61:$CP$301,$A176+1,($D$5-1)*15+8),0)</f>
        <v>706426.274770575</v>
      </c>
      <c r="I176" s="100" t="n">
        <f aca="false">IFERROR(INDEX(Motor!$F$61:$CP$301,$A176+1,($D$5-1)*15+12),0)</f>
        <v>83463.9412155862</v>
      </c>
      <c r="J176" s="102" t="n">
        <f aca="false">IFERROR(INDEX(Motor!$F$61:$CP$301,$A176+1,($D$5-1)*15+13),0)</f>
        <v>622962.333554989</v>
      </c>
      <c r="K176" s="100" t="n">
        <f aca="false">IFERROR(INDEX(Motor!$F$61:$CP$301,$A176+1,($D$5-1)*15+14),0)</f>
        <v>360922.93741961</v>
      </c>
    </row>
    <row r="177" customFormat="false" ht="12" hidden="false" customHeight="true" outlineLevel="0" collapsed="false">
      <c r="A177" s="55" t="n">
        <v>168</v>
      </c>
      <c r="B177" s="99" t="n">
        <f aca="false">EDATE(DATA_INICIO,$A177)</f>
        <v>51371</v>
      </c>
      <c r="C177" s="100" t="n">
        <f aca="false">IFERROR(INDEX(Motor!$F$61:$CP$301,$A177+1,($D$5-1)*15+1),0)</f>
        <v>706426.274770575</v>
      </c>
      <c r="D177" s="100" t="n">
        <f aca="false">IFERROR(INDEX(Motor!$F$61:$CP$301,$A177+1,($D$5-1)*15+4),0)</f>
        <v>6703.13264484685</v>
      </c>
      <c r="E177" s="100" t="n">
        <f aca="false">IFERROR(INDEX(Motor!$F$61:$CP$301,$A177+1,($D$5-1)*15+2),0)</f>
        <v>0</v>
      </c>
      <c r="F177" s="100" t="n">
        <f aca="false">IFERROR(INDEX(Motor!$F$61:$CP$301,$A177+1,($D$5-1)*15+3)+INDEX(Motor!$F$61:$CP$301,$A177+1,($D$5-1)*15+5)+INDEX(Motor!$F$61:$CP$301,$A177+1,($D$5-1)*15+6),0)</f>
        <v>117.737712461762</v>
      </c>
      <c r="G177" s="100" t="n">
        <f aca="false">IFERROR(INDEX(Motor!$F$61:$CP$301,$A177+1,($D$5-1)*15+7),0)</f>
        <v>0</v>
      </c>
      <c r="H177" s="101" t="n">
        <f aca="false">IFERROR(INDEX(Motor!$F$61:$CP$301,$A177+1,($D$5-1)*15+8),0)</f>
        <v>713011.66970296</v>
      </c>
      <c r="I177" s="100" t="n">
        <f aca="false">IFERROR(INDEX(Motor!$F$61:$CP$301,$A177+1,($D$5-1)*15+12),0)</f>
        <v>84451.750455444</v>
      </c>
      <c r="J177" s="102" t="n">
        <f aca="false">IFERROR(INDEX(Motor!$F$61:$CP$301,$A177+1,($D$5-1)*15+13),0)</f>
        <v>628559.919247516</v>
      </c>
      <c r="K177" s="100" t="n">
        <f aca="false">IFERROR(INDEX(Motor!$F$61:$CP$301,$A177+1,($D$5-1)*15+14),0)</f>
        <v>362977.691425927</v>
      </c>
    </row>
    <row r="178" customFormat="false" ht="12" hidden="false" customHeight="true" outlineLevel="0" collapsed="false">
      <c r="A178" s="55" t="n">
        <v>169</v>
      </c>
      <c r="B178" s="99" t="n">
        <f aca="false">EDATE(DATA_INICIO,$A178)</f>
        <v>51402</v>
      </c>
      <c r="C178" s="100" t="n">
        <f aca="false">IFERROR(INDEX(Motor!$F$61:$CP$301,$A178+1,($D$5-1)*15+1),0)</f>
        <v>713011.66970296</v>
      </c>
      <c r="D178" s="100" t="n">
        <f aca="false">IFERROR(INDEX(Motor!$F$61:$CP$301,$A178+1,($D$5-1)*15+4),0)</f>
        <v>6765.62009375271</v>
      </c>
      <c r="E178" s="100" t="n">
        <f aca="false">IFERROR(INDEX(Motor!$F$61:$CP$301,$A178+1,($D$5-1)*15+2),0)</f>
        <v>0</v>
      </c>
      <c r="F178" s="100" t="n">
        <f aca="false">IFERROR(INDEX(Motor!$F$61:$CP$301,$A178+1,($D$5-1)*15+3)+INDEX(Motor!$F$61:$CP$301,$A178+1,($D$5-1)*15+5)+INDEX(Motor!$F$61:$CP$301,$A178+1,($D$5-1)*15+6),0)</f>
        <v>118.835278283827</v>
      </c>
      <c r="G178" s="100" t="n">
        <f aca="false">IFERROR(INDEX(Motor!$F$61:$CP$301,$A178+1,($D$5-1)*15+7),0)</f>
        <v>0</v>
      </c>
      <c r="H178" s="101" t="n">
        <f aca="false">IFERROR(INDEX(Motor!$F$61:$CP$301,$A178+1,($D$5-1)*15+8),0)</f>
        <v>719658.454518429</v>
      </c>
      <c r="I178" s="100" t="n">
        <f aca="false">IFERROR(INDEX(Motor!$F$61:$CP$301,$A178+1,($D$5-1)*15+12),0)</f>
        <v>85448.7681777643</v>
      </c>
      <c r="J178" s="102" t="n">
        <f aca="false">IFERROR(INDEX(Motor!$F$61:$CP$301,$A178+1,($D$5-1)*15+13),0)</f>
        <v>634209.686340665</v>
      </c>
      <c r="K178" s="100" t="n">
        <f aca="false">IFERROR(INDEX(Motor!$F$61:$CP$301,$A178+1,($D$5-1)*15+14),0)</f>
        <v>365045.228060563</v>
      </c>
    </row>
    <row r="179" customFormat="false" ht="12" hidden="false" customHeight="true" outlineLevel="0" collapsed="false">
      <c r="A179" s="55" t="n">
        <v>170</v>
      </c>
      <c r="B179" s="99" t="n">
        <f aca="false">EDATE(DATA_INICIO,$A179)</f>
        <v>51432</v>
      </c>
      <c r="C179" s="100" t="n">
        <f aca="false">IFERROR(INDEX(Motor!$F$61:$CP$301,$A179+1,($D$5-1)*15+1),0)</f>
        <v>719658.454518429</v>
      </c>
      <c r="D179" s="100" t="n">
        <f aca="false">IFERROR(INDEX(Motor!$F$61:$CP$301,$A179+1,($D$5-1)*15+4),0)</f>
        <v>6828.69005854742</v>
      </c>
      <c r="E179" s="100" t="n">
        <f aca="false">IFERROR(INDEX(Motor!$F$61:$CP$301,$A179+1,($D$5-1)*15+2),0)</f>
        <v>0</v>
      </c>
      <c r="F179" s="100" t="n">
        <f aca="false">IFERROR(INDEX(Motor!$F$61:$CP$301,$A179+1,($D$5-1)*15+3)+INDEX(Motor!$F$61:$CP$301,$A179+1,($D$5-1)*15+5)+INDEX(Motor!$F$61:$CP$301,$A179+1,($D$5-1)*15+6),0)</f>
        <v>119.943075753071</v>
      </c>
      <c r="G179" s="100" t="n">
        <f aca="false">IFERROR(INDEX(Motor!$F$61:$CP$301,$A179+1,($D$5-1)*15+7),0)</f>
        <v>0</v>
      </c>
      <c r="H179" s="101" t="n">
        <f aca="false">IFERROR(INDEX(Motor!$F$61:$CP$301,$A179+1,($D$5-1)*15+8),0)</f>
        <v>726367.201501223</v>
      </c>
      <c r="I179" s="100" t="n">
        <f aca="false">IFERROR(INDEX(Motor!$F$61:$CP$301,$A179+1,($D$5-1)*15+12),0)</f>
        <v>86455.0802251835</v>
      </c>
      <c r="J179" s="102" t="n">
        <f aca="false">IFERROR(INDEX(Motor!$F$61:$CP$301,$A179+1,($D$5-1)*15+13),0)</f>
        <v>639912.12127604</v>
      </c>
      <c r="K179" s="100" t="n">
        <f aca="false">IFERROR(INDEX(Motor!$F$61:$CP$301,$A179+1,($D$5-1)*15+14),0)</f>
        <v>367125.623095839</v>
      </c>
    </row>
    <row r="180" customFormat="false" ht="12" hidden="false" customHeight="true" outlineLevel="0" collapsed="false">
      <c r="A180" s="55" t="n">
        <v>171</v>
      </c>
      <c r="B180" s="99" t="n">
        <f aca="false">EDATE(DATA_INICIO,$A180)</f>
        <v>51463</v>
      </c>
      <c r="C180" s="100" t="n">
        <f aca="false">IFERROR(INDEX(Motor!$F$61:$CP$301,$A180+1,($D$5-1)*15+1),0)</f>
        <v>726367.201501223</v>
      </c>
      <c r="D180" s="100" t="n">
        <f aca="false">IFERROR(INDEX(Motor!$F$61:$CP$301,$A180+1,($D$5-1)*15+4),0)</f>
        <v>6892.34796951767</v>
      </c>
      <c r="E180" s="100" t="n">
        <f aca="false">IFERROR(INDEX(Motor!$F$61:$CP$301,$A180+1,($D$5-1)*15+2),0)</f>
        <v>0</v>
      </c>
      <c r="F180" s="100" t="n">
        <f aca="false">IFERROR(INDEX(Motor!$F$61:$CP$301,$A180+1,($D$5-1)*15+3)+INDEX(Motor!$F$61:$CP$301,$A180+1,($D$5-1)*15+5)+INDEX(Motor!$F$61:$CP$301,$A180+1,($D$5-1)*15+6),0)</f>
        <v>121.061200250204</v>
      </c>
      <c r="G180" s="100" t="n">
        <f aca="false">IFERROR(INDEX(Motor!$F$61:$CP$301,$A180+1,($D$5-1)*15+7),0)</f>
        <v>0</v>
      </c>
      <c r="H180" s="101" t="n">
        <f aca="false">IFERROR(INDEX(Motor!$F$61:$CP$301,$A180+1,($D$5-1)*15+8),0)</f>
        <v>733138.488270491</v>
      </c>
      <c r="I180" s="100" t="n">
        <f aca="false">IFERROR(INDEX(Motor!$F$61:$CP$301,$A180+1,($D$5-1)*15+12),0)</f>
        <v>87470.7732405736</v>
      </c>
      <c r="J180" s="102" t="n">
        <f aca="false">IFERROR(INDEX(Motor!$F$61:$CP$301,$A180+1,($D$5-1)*15+13),0)</f>
        <v>645667.715029917</v>
      </c>
      <c r="K180" s="100" t="n">
        <f aca="false">IFERROR(INDEX(Motor!$F$61:$CP$301,$A180+1,($D$5-1)*15+14),0)</f>
        <v>369218.952765089</v>
      </c>
    </row>
    <row r="181" customFormat="false" ht="12" hidden="false" customHeight="true" outlineLevel="0" collapsed="false">
      <c r="A181" s="55" t="n">
        <v>172</v>
      </c>
      <c r="B181" s="99" t="n">
        <f aca="false">EDATE(DATA_INICIO,$A181)</f>
        <v>51493</v>
      </c>
      <c r="C181" s="100" t="n">
        <f aca="false">IFERROR(INDEX(Motor!$F$61:$CP$301,$A181+1,($D$5-1)*15+1),0)</f>
        <v>733138.488270491</v>
      </c>
      <c r="D181" s="100" t="n">
        <f aca="false">IFERROR(INDEX(Motor!$F$61:$CP$301,$A181+1,($D$5-1)*15+4),0)</f>
        <v>6956.59930757193</v>
      </c>
      <c r="E181" s="100" t="n">
        <f aca="false">IFERROR(INDEX(Motor!$F$61:$CP$301,$A181+1,($D$5-1)*15+2),0)</f>
        <v>0</v>
      </c>
      <c r="F181" s="100" t="n">
        <f aca="false">IFERROR(INDEX(Motor!$F$61:$CP$301,$A181+1,($D$5-1)*15+3)+INDEX(Motor!$F$61:$CP$301,$A181+1,($D$5-1)*15+5)+INDEX(Motor!$F$61:$CP$301,$A181+1,($D$5-1)*15+6),0)</f>
        <v>122.189748045082</v>
      </c>
      <c r="G181" s="100" t="n">
        <f aca="false">IFERROR(INDEX(Motor!$F$61:$CP$301,$A181+1,($D$5-1)*15+7),0)</f>
        <v>0</v>
      </c>
      <c r="H181" s="101" t="n">
        <f aca="false">IFERROR(INDEX(Motor!$F$61:$CP$301,$A181+1,($D$5-1)*15+8),0)</f>
        <v>739972.897830018</v>
      </c>
      <c r="I181" s="100" t="n">
        <f aca="false">IFERROR(INDEX(Motor!$F$61:$CP$301,$A181+1,($D$5-1)*15+12),0)</f>
        <v>88495.9346745026</v>
      </c>
      <c r="J181" s="102" t="n">
        <f aca="false">IFERROR(INDEX(Motor!$F$61:$CP$301,$A181+1,($D$5-1)*15+13),0)</f>
        <v>651476.963155515</v>
      </c>
      <c r="K181" s="100" t="n">
        <f aca="false">IFERROR(INDEX(Motor!$F$61:$CP$301,$A181+1,($D$5-1)*15+14),0)</f>
        <v>371325.293765424</v>
      </c>
    </row>
    <row r="182" customFormat="false" ht="12" hidden="false" customHeight="true" outlineLevel="0" collapsed="false">
      <c r="A182" s="55" t="n">
        <v>173</v>
      </c>
      <c r="B182" s="99" t="n">
        <f aca="false">EDATE(DATA_INICIO,$A182)</f>
        <v>51524</v>
      </c>
      <c r="C182" s="100" t="n">
        <f aca="false">IFERROR(INDEX(Motor!$F$61:$CP$301,$A182+1,($D$5-1)*15+1),0)</f>
        <v>739972.897830018</v>
      </c>
      <c r="D182" s="100" t="n">
        <f aca="false">IFERROR(INDEX(Motor!$F$61:$CP$301,$A182+1,($D$5-1)*15+4),0)</f>
        <v>7021.44960471241</v>
      </c>
      <c r="E182" s="100" t="n">
        <f aca="false">IFERROR(INDEX(Motor!$F$61:$CP$301,$A182+1,($D$5-1)*15+2),0)</f>
        <v>0</v>
      </c>
      <c r="F182" s="100" t="n">
        <f aca="false">IFERROR(INDEX(Motor!$F$61:$CP$301,$A182+1,($D$5-1)*15+3)+INDEX(Motor!$F$61:$CP$301,$A182+1,($D$5-1)*15+5)+INDEX(Motor!$F$61:$CP$301,$A182+1,($D$5-1)*15+6),0)</f>
        <v>123.328816305003</v>
      </c>
      <c r="G182" s="100" t="n">
        <f aca="false">IFERROR(INDEX(Motor!$F$61:$CP$301,$A182+1,($D$5-1)*15+7),0)</f>
        <v>0</v>
      </c>
      <c r="H182" s="101" t="n">
        <f aca="false">IFERROR(INDEX(Motor!$F$61:$CP$301,$A182+1,($D$5-1)*15+8),0)</f>
        <v>746871.018618425</v>
      </c>
      <c r="I182" s="100" t="n">
        <f aca="false">IFERROR(INDEX(Motor!$F$61:$CP$301,$A182+1,($D$5-1)*15+12),0)</f>
        <v>89530.6527927637</v>
      </c>
      <c r="J182" s="102" t="n">
        <f aca="false">IFERROR(INDEX(Motor!$F$61:$CP$301,$A182+1,($D$5-1)*15+13),0)</f>
        <v>657340.365825661</v>
      </c>
      <c r="K182" s="100" t="n">
        <f aca="false">IFERROR(INDEX(Motor!$F$61:$CP$301,$A182+1,($D$5-1)*15+14),0)</f>
        <v>373444.72326052</v>
      </c>
    </row>
    <row r="183" customFormat="false" ht="12" hidden="false" customHeight="true" outlineLevel="0" collapsed="false">
      <c r="A183" s="55" t="n">
        <v>174</v>
      </c>
      <c r="B183" s="99" t="n">
        <f aca="false">EDATE(DATA_INICIO,$A183)</f>
        <v>51555</v>
      </c>
      <c r="C183" s="100" t="n">
        <f aca="false">IFERROR(INDEX(Motor!$F$61:$CP$301,$A183+1,($D$5-1)*15+1),0)</f>
        <v>746871.018618425</v>
      </c>
      <c r="D183" s="100" t="n">
        <f aca="false">IFERROR(INDEX(Motor!$F$61:$CP$301,$A183+1,($D$5-1)*15+4),0)</f>
        <v>7086.90444451135</v>
      </c>
      <c r="E183" s="100" t="n">
        <f aca="false">IFERROR(INDEX(Motor!$F$61:$CP$301,$A183+1,($D$5-1)*15+2),0)</f>
        <v>0</v>
      </c>
      <c r="F183" s="100" t="n">
        <f aca="false">IFERROR(INDEX(Motor!$F$61:$CP$301,$A183+1,($D$5-1)*15+3)+INDEX(Motor!$F$61:$CP$301,$A183+1,($D$5-1)*15+5)+INDEX(Motor!$F$61:$CP$301,$A183+1,($D$5-1)*15+6),0)</f>
        <v>124.478503103071</v>
      </c>
      <c r="G183" s="100" t="n">
        <f aca="false">IFERROR(INDEX(Motor!$F$61:$CP$301,$A183+1,($D$5-1)*15+7),0)</f>
        <v>0</v>
      </c>
      <c r="H183" s="101" t="n">
        <f aca="false">IFERROR(INDEX(Motor!$F$61:$CP$301,$A183+1,($D$5-1)*15+8),0)</f>
        <v>753833.444559833</v>
      </c>
      <c r="I183" s="100" t="n">
        <f aca="false">IFERROR(INDEX(Motor!$F$61:$CP$301,$A183+1,($D$5-1)*15+12),0)</f>
        <v>90575.016683975</v>
      </c>
      <c r="J183" s="102" t="n">
        <f aca="false">IFERROR(INDEX(Motor!$F$61:$CP$301,$A183+1,($D$5-1)*15+13),0)</f>
        <v>663258.427875858</v>
      </c>
      <c r="K183" s="100" t="n">
        <f aca="false">IFERROR(INDEX(Motor!$F$61:$CP$301,$A183+1,($D$5-1)*15+14),0)</f>
        <v>375577.318883409</v>
      </c>
    </row>
    <row r="184" customFormat="false" ht="12" hidden="false" customHeight="true" outlineLevel="0" collapsed="false">
      <c r="A184" s="55" t="n">
        <v>175</v>
      </c>
      <c r="B184" s="99" t="n">
        <f aca="false">EDATE(DATA_INICIO,$A184)</f>
        <v>51583</v>
      </c>
      <c r="C184" s="100" t="n">
        <f aca="false">IFERROR(INDEX(Motor!$F$61:$CP$301,$A184+1,($D$5-1)*15+1),0)</f>
        <v>753833.444559833</v>
      </c>
      <c r="D184" s="100" t="n">
        <f aca="false">IFERROR(INDEX(Motor!$F$61:$CP$301,$A184+1,($D$5-1)*15+4),0)</f>
        <v>7152.96946259175</v>
      </c>
      <c r="E184" s="100" t="n">
        <f aca="false">IFERROR(INDEX(Motor!$F$61:$CP$301,$A184+1,($D$5-1)*15+2),0)</f>
        <v>0</v>
      </c>
      <c r="F184" s="100" t="n">
        <f aca="false">IFERROR(INDEX(Motor!$F$61:$CP$301,$A184+1,($D$5-1)*15+3)+INDEX(Motor!$F$61:$CP$301,$A184+1,($D$5-1)*15+5)+INDEX(Motor!$F$61:$CP$301,$A184+1,($D$5-1)*15+6),0)</f>
        <v>125.638907426639</v>
      </c>
      <c r="G184" s="100" t="n">
        <f aca="false">IFERROR(INDEX(Motor!$F$61:$CP$301,$A184+1,($D$5-1)*15+7),0)</f>
        <v>0</v>
      </c>
      <c r="H184" s="101" t="n">
        <f aca="false">IFERROR(INDEX(Motor!$F$61:$CP$301,$A184+1,($D$5-1)*15+8),0)</f>
        <v>760860.775114998</v>
      </c>
      <c r="I184" s="100" t="n">
        <f aca="false">IFERROR(INDEX(Motor!$F$61:$CP$301,$A184+1,($D$5-1)*15+12),0)</f>
        <v>91629.1162672497</v>
      </c>
      <c r="J184" s="102" t="n">
        <f aca="false">IFERROR(INDEX(Motor!$F$61:$CP$301,$A184+1,($D$5-1)*15+13),0)</f>
        <v>669231.658847749</v>
      </c>
      <c r="K184" s="100" t="n">
        <f aca="false">IFERROR(INDEX(Motor!$F$61:$CP$301,$A184+1,($D$5-1)*15+14),0)</f>
        <v>377723.1587393</v>
      </c>
    </row>
    <row r="185" customFormat="false" ht="12" hidden="false" customHeight="true" outlineLevel="0" collapsed="false">
      <c r="A185" s="55" t="n">
        <v>176</v>
      </c>
      <c r="B185" s="99" t="n">
        <f aca="false">EDATE(DATA_INICIO,$A185)</f>
        <v>51614</v>
      </c>
      <c r="C185" s="100" t="n">
        <f aca="false">IFERROR(INDEX(Motor!$F$61:$CP$301,$A185+1,($D$5-1)*15+1),0)</f>
        <v>760860.775114998</v>
      </c>
      <c r="D185" s="100" t="n">
        <f aca="false">IFERROR(INDEX(Motor!$F$61:$CP$301,$A185+1,($D$5-1)*15+4),0)</f>
        <v>7219.65034711258</v>
      </c>
      <c r="E185" s="100" t="n">
        <f aca="false">IFERROR(INDEX(Motor!$F$61:$CP$301,$A185+1,($D$5-1)*15+2),0)</f>
        <v>0</v>
      </c>
      <c r="F185" s="100" t="n">
        <f aca="false">IFERROR(INDEX(Motor!$F$61:$CP$301,$A185+1,($D$5-1)*15+3)+INDEX(Motor!$F$61:$CP$301,$A185+1,($D$5-1)*15+5)+INDEX(Motor!$F$61:$CP$301,$A185+1,($D$5-1)*15+6),0)</f>
        <v>126.810129185833</v>
      </c>
      <c r="G185" s="100" t="n">
        <f aca="false">IFERROR(INDEX(Motor!$F$61:$CP$301,$A185+1,($D$5-1)*15+7),0)</f>
        <v>0</v>
      </c>
      <c r="H185" s="101" t="n">
        <f aca="false">IFERROR(INDEX(Motor!$F$61:$CP$301,$A185+1,($D$5-1)*15+8),0)</f>
        <v>767953.615332925</v>
      </c>
      <c r="I185" s="100" t="n">
        <f aca="false">IFERROR(INDEX(Motor!$F$61:$CP$301,$A185+1,($D$5-1)*15+12),0)</f>
        <v>92693.0422999388</v>
      </c>
      <c r="J185" s="102" t="n">
        <f aca="false">IFERROR(INDEX(Motor!$F$61:$CP$301,$A185+1,($D$5-1)*15+13),0)</f>
        <v>675260.573032986</v>
      </c>
      <c r="K185" s="100" t="n">
        <f aca="false">IFERROR(INDEX(Motor!$F$61:$CP$301,$A185+1,($D$5-1)*15+14),0)</f>
        <v>379882.321408413</v>
      </c>
    </row>
    <row r="186" customFormat="false" ht="12" hidden="false" customHeight="true" outlineLevel="0" collapsed="false">
      <c r="A186" s="55" t="n">
        <v>177</v>
      </c>
      <c r="B186" s="99" t="n">
        <f aca="false">EDATE(DATA_INICIO,$A186)</f>
        <v>51644</v>
      </c>
      <c r="C186" s="100" t="n">
        <f aca="false">IFERROR(INDEX(Motor!$F$61:$CP$301,$A186+1,($D$5-1)*15+1),0)</f>
        <v>767953.615332925</v>
      </c>
      <c r="D186" s="100" t="n">
        <f aca="false">IFERROR(INDEX(Motor!$F$61:$CP$301,$A186+1,($D$5-1)*15+4),0)</f>
        <v>7286.95283925857</v>
      </c>
      <c r="E186" s="100" t="n">
        <f aca="false">IFERROR(INDEX(Motor!$F$61:$CP$301,$A186+1,($D$5-1)*15+2),0)</f>
        <v>0</v>
      </c>
      <c r="F186" s="100" t="n">
        <f aca="false">IFERROR(INDEX(Motor!$F$61:$CP$301,$A186+1,($D$5-1)*15+3)+INDEX(Motor!$F$61:$CP$301,$A186+1,($D$5-1)*15+5)+INDEX(Motor!$F$61:$CP$301,$A186+1,($D$5-1)*15+6),0)</f>
        <v>127.992269222154</v>
      </c>
      <c r="G186" s="100" t="n">
        <f aca="false">IFERROR(INDEX(Motor!$F$61:$CP$301,$A186+1,($D$5-1)*15+7),0)</f>
        <v>0</v>
      </c>
      <c r="H186" s="101" t="n">
        <f aca="false">IFERROR(INDEX(Motor!$F$61:$CP$301,$A186+1,($D$5-1)*15+8),0)</f>
        <v>775112.575902962</v>
      </c>
      <c r="I186" s="100" t="n">
        <f aca="false">IFERROR(INDEX(Motor!$F$61:$CP$301,$A186+1,($D$5-1)*15+12),0)</f>
        <v>93766.8863854442</v>
      </c>
      <c r="J186" s="102" t="n">
        <f aca="false">IFERROR(INDEX(Motor!$F$61:$CP$301,$A186+1,($D$5-1)*15+13),0)</f>
        <v>681345.689517517</v>
      </c>
      <c r="K186" s="100" t="n">
        <f aca="false">IFERROR(INDEX(Motor!$F$61:$CP$301,$A186+1,($D$5-1)*15+14),0)</f>
        <v>382054.885948824</v>
      </c>
    </row>
    <row r="187" customFormat="false" ht="12" hidden="false" customHeight="true" outlineLevel="0" collapsed="false">
      <c r="A187" s="55" t="n">
        <v>178</v>
      </c>
      <c r="B187" s="99" t="n">
        <f aca="false">EDATE(DATA_INICIO,$A187)</f>
        <v>51675</v>
      </c>
      <c r="C187" s="100" t="n">
        <f aca="false">IFERROR(INDEX(Motor!$F$61:$CP$301,$A187+1,($D$5-1)*15+1),0)</f>
        <v>775112.575902962</v>
      </c>
      <c r="D187" s="100" t="n">
        <f aca="false">IFERROR(INDEX(Motor!$F$61:$CP$301,$A187+1,($D$5-1)*15+4),0)</f>
        <v>7354.88273373449</v>
      </c>
      <c r="E187" s="100" t="n">
        <f aca="false">IFERROR(INDEX(Motor!$F$61:$CP$301,$A187+1,($D$5-1)*15+2),0)</f>
        <v>0</v>
      </c>
      <c r="F187" s="100" t="n">
        <f aca="false">IFERROR(INDEX(Motor!$F$61:$CP$301,$A187+1,($D$5-1)*15+3)+INDEX(Motor!$F$61:$CP$301,$A187+1,($D$5-1)*15+5)+INDEX(Motor!$F$61:$CP$301,$A187+1,($D$5-1)*15+6),0)</f>
        <v>129.18542931716</v>
      </c>
      <c r="G187" s="100" t="n">
        <f aca="false">IFERROR(INDEX(Motor!$F$61:$CP$301,$A187+1,($D$5-1)*15+7),0)</f>
        <v>0</v>
      </c>
      <c r="H187" s="101" t="n">
        <f aca="false">IFERROR(INDEX(Motor!$F$61:$CP$301,$A187+1,($D$5-1)*15+8),0)</f>
        <v>782338.273207379</v>
      </c>
      <c r="I187" s="100" t="n">
        <f aca="false">IFERROR(INDEX(Motor!$F$61:$CP$301,$A187+1,($D$5-1)*15+12),0)</f>
        <v>94850.7409811068</v>
      </c>
      <c r="J187" s="102" t="n">
        <f aca="false">IFERROR(INDEX(Motor!$F$61:$CP$301,$A187+1,($D$5-1)*15+13),0)</f>
        <v>687487.532226272</v>
      </c>
      <c r="K187" s="100" t="n">
        <f aca="false">IFERROR(INDEX(Motor!$F$61:$CP$301,$A187+1,($D$5-1)*15+14),0)</f>
        <v>384240.93189934</v>
      </c>
    </row>
    <row r="188" customFormat="false" ht="12" hidden="false" customHeight="true" outlineLevel="0" collapsed="false">
      <c r="A188" s="55" t="n">
        <v>179</v>
      </c>
      <c r="B188" s="99" t="n">
        <f aca="false">EDATE(DATA_INICIO,$A188)</f>
        <v>51705</v>
      </c>
      <c r="C188" s="100" t="n">
        <f aca="false">IFERROR(INDEX(Motor!$F$61:$CP$301,$A188+1,($D$5-1)*15+1),0)</f>
        <v>782338.273207379</v>
      </c>
      <c r="D188" s="100" t="n">
        <f aca="false">IFERROR(INDEX(Motor!$F$61:$CP$301,$A188+1,($D$5-1)*15+4),0)</f>
        <v>7423.44587926408</v>
      </c>
      <c r="E188" s="100" t="n">
        <f aca="false">IFERROR(INDEX(Motor!$F$61:$CP$301,$A188+1,($D$5-1)*15+2),0)</f>
        <v>0</v>
      </c>
      <c r="F188" s="100" t="n">
        <f aca="false">IFERROR(INDEX(Motor!$F$61:$CP$301,$A188+1,($D$5-1)*15+3)+INDEX(Motor!$F$61:$CP$301,$A188+1,($D$5-1)*15+5)+INDEX(Motor!$F$61:$CP$301,$A188+1,($D$5-1)*15+6),0)</f>
        <v>130.38971220123</v>
      </c>
      <c r="G188" s="100" t="n">
        <f aca="false">IFERROR(INDEX(Motor!$F$61:$CP$301,$A188+1,($D$5-1)*15+7),0)</f>
        <v>0</v>
      </c>
      <c r="H188" s="101" t="n">
        <f aca="false">IFERROR(INDEX(Motor!$F$61:$CP$301,$A188+1,($D$5-1)*15+8),0)</f>
        <v>789631.329374442</v>
      </c>
      <c r="I188" s="100" t="n">
        <f aca="false">IFERROR(INDEX(Motor!$F$61:$CP$301,$A188+1,($D$5-1)*15+12),0)</f>
        <v>95944.6994061662</v>
      </c>
      <c r="J188" s="102" t="n">
        <f aca="false">IFERROR(INDEX(Motor!$F$61:$CP$301,$A188+1,($D$5-1)*15+13),0)</f>
        <v>693686.629968275</v>
      </c>
      <c r="K188" s="100" t="n">
        <f aca="false">IFERROR(INDEX(Motor!$F$61:$CP$301,$A188+1,($D$5-1)*15+14),0)</f>
        <v>386440.539282374</v>
      </c>
    </row>
    <row r="189" customFormat="false" ht="12" hidden="false" customHeight="true" outlineLevel="0" collapsed="false">
      <c r="A189" s="55" t="n">
        <v>180</v>
      </c>
      <c r="B189" s="99" t="n">
        <f aca="false">EDATE(DATA_INICIO,$A189)</f>
        <v>51736</v>
      </c>
      <c r="C189" s="100" t="n">
        <f aca="false">IFERROR(INDEX(Motor!$F$61:$CP$301,$A189+1,($D$5-1)*15+1),0)</f>
        <v>789631.329374442</v>
      </c>
      <c r="D189" s="100" t="n">
        <f aca="false">IFERROR(INDEX(Motor!$F$61:$CP$301,$A189+1,($D$5-1)*15+4),0)</f>
        <v>7492.64817909362</v>
      </c>
      <c r="E189" s="100" t="n">
        <f aca="false">IFERROR(INDEX(Motor!$F$61:$CP$301,$A189+1,($D$5-1)*15+2),0)</f>
        <v>0</v>
      </c>
      <c r="F189" s="100" t="n">
        <f aca="false">IFERROR(INDEX(Motor!$F$61:$CP$301,$A189+1,($D$5-1)*15+3)+INDEX(Motor!$F$61:$CP$301,$A189+1,($D$5-1)*15+5)+INDEX(Motor!$F$61:$CP$301,$A189+1,($D$5-1)*15+6),0)</f>
        <v>131.605221562407</v>
      </c>
      <c r="G189" s="100" t="n">
        <f aca="false">IFERROR(INDEX(Motor!$F$61:$CP$301,$A189+1,($D$5-1)*15+7),0)</f>
        <v>0</v>
      </c>
      <c r="H189" s="101" t="n">
        <f aca="false">IFERROR(INDEX(Motor!$F$61:$CP$301,$A189+1,($D$5-1)*15+8),0)</f>
        <v>796992.372331973</v>
      </c>
      <c r="I189" s="100" t="n">
        <f aca="false">IFERROR(INDEX(Motor!$F$61:$CP$301,$A189+1,($D$5-1)*15+12),0)</f>
        <v>97048.8558497959</v>
      </c>
      <c r="J189" s="102" t="n">
        <f aca="false">IFERROR(INDEX(Motor!$F$61:$CP$301,$A189+1,($D$5-1)*15+13),0)</f>
        <v>699943.516482177</v>
      </c>
      <c r="K189" s="100" t="n">
        <f aca="false">IFERROR(INDEX(Motor!$F$61:$CP$301,$A189+1,($D$5-1)*15+14),0)</f>
        <v>388653.788606857</v>
      </c>
    </row>
    <row r="190" customFormat="false" ht="12" hidden="false" customHeight="true" outlineLevel="0" collapsed="false">
      <c r="A190" s="55" t="n">
        <v>181</v>
      </c>
      <c r="B190" s="99" t="n">
        <f aca="false">EDATE(DATA_INICIO,$A190)</f>
        <v>51767</v>
      </c>
      <c r="C190" s="100" t="n">
        <f aca="false">IFERROR(INDEX(Motor!$F$61:$CP$301,$A190+1,($D$5-1)*15+1),0)</f>
        <v>796992.372331973</v>
      </c>
      <c r="D190" s="100" t="n">
        <f aca="false">IFERROR(INDEX(Motor!$F$61:$CP$301,$A190+1,($D$5-1)*15+4),0)</f>
        <v>7562.4955915002</v>
      </c>
      <c r="E190" s="100" t="n">
        <f aca="false">IFERROR(INDEX(Motor!$F$61:$CP$301,$A190+1,($D$5-1)*15+2),0)</f>
        <v>0</v>
      </c>
      <c r="F190" s="100" t="n">
        <f aca="false">IFERROR(INDEX(Motor!$F$61:$CP$301,$A190+1,($D$5-1)*15+3)+INDEX(Motor!$F$61:$CP$301,$A190+1,($D$5-1)*15+5)+INDEX(Motor!$F$61:$CP$301,$A190+1,($D$5-1)*15+6),0)</f>
        <v>132.832062055329</v>
      </c>
      <c r="G190" s="100" t="n">
        <f aca="false">IFERROR(INDEX(Motor!$F$61:$CP$301,$A190+1,($D$5-1)*15+7),0)</f>
        <v>0</v>
      </c>
      <c r="H190" s="101" t="n">
        <f aca="false">IFERROR(INDEX(Motor!$F$61:$CP$301,$A190+1,($D$5-1)*15+8),0)</f>
        <v>804422.035861418</v>
      </c>
      <c r="I190" s="100" t="n">
        <f aca="false">IFERROR(INDEX(Motor!$F$61:$CP$301,$A190+1,($D$5-1)*15+12),0)</f>
        <v>98163.3053792126</v>
      </c>
      <c r="J190" s="102" t="n">
        <f aca="false">IFERROR(INDEX(Motor!$F$61:$CP$301,$A190+1,($D$5-1)*15+13),0)</f>
        <v>706258.730482205</v>
      </c>
      <c r="K190" s="100" t="n">
        <f aca="false">IFERROR(INDEX(Motor!$F$61:$CP$301,$A190+1,($D$5-1)*15+14),0)</f>
        <v>390880.76087115</v>
      </c>
    </row>
    <row r="191" customFormat="false" ht="12" hidden="false" customHeight="true" outlineLevel="0" collapsed="false">
      <c r="A191" s="55" t="n">
        <v>182</v>
      </c>
      <c r="B191" s="99" t="n">
        <f aca="false">EDATE(DATA_INICIO,$A191)</f>
        <v>51797</v>
      </c>
      <c r="C191" s="100" t="n">
        <f aca="false">IFERROR(INDEX(Motor!$F$61:$CP$301,$A191+1,($D$5-1)*15+1),0)</f>
        <v>804422.035861418</v>
      </c>
      <c r="D191" s="100" t="n">
        <f aca="false">IFERROR(INDEX(Motor!$F$61:$CP$301,$A191+1,($D$5-1)*15+4),0)</f>
        <v>7632.99413030473</v>
      </c>
      <c r="E191" s="100" t="n">
        <f aca="false">IFERROR(INDEX(Motor!$F$61:$CP$301,$A191+1,($D$5-1)*15+2),0)</f>
        <v>0</v>
      </c>
      <c r="F191" s="100" t="n">
        <f aca="false">IFERROR(INDEX(Motor!$F$61:$CP$301,$A191+1,($D$5-1)*15+3)+INDEX(Motor!$F$61:$CP$301,$A191+1,($D$5-1)*15+5)+INDEX(Motor!$F$61:$CP$301,$A191+1,($D$5-1)*15+6),0)</f>
        <v>134.070339310236</v>
      </c>
      <c r="G191" s="100" t="n">
        <f aca="false">IFERROR(INDEX(Motor!$F$61:$CP$301,$A191+1,($D$5-1)*15+7),0)</f>
        <v>0</v>
      </c>
      <c r="H191" s="101" t="n">
        <f aca="false">IFERROR(INDEX(Motor!$F$61:$CP$301,$A191+1,($D$5-1)*15+8),0)</f>
        <v>811920.959652412</v>
      </c>
      <c r="I191" s="100" t="n">
        <f aca="false">IFERROR(INDEX(Motor!$F$61:$CP$301,$A191+1,($D$5-1)*15+12),0)</f>
        <v>99288.1439478618</v>
      </c>
      <c r="J191" s="102" t="n">
        <f aca="false">IFERROR(INDEX(Motor!$F$61:$CP$301,$A191+1,($D$5-1)*15+13),0)</f>
        <v>712632.81570455</v>
      </c>
      <c r="K191" s="100" t="n">
        <f aca="false">IFERROR(INDEX(Motor!$F$61:$CP$301,$A191+1,($D$5-1)*15+14),0)</f>
        <v>393121.537565987</v>
      </c>
    </row>
    <row r="192" customFormat="false" ht="12" hidden="false" customHeight="true" outlineLevel="0" collapsed="false">
      <c r="A192" s="55" t="n">
        <v>183</v>
      </c>
      <c r="B192" s="99" t="n">
        <f aca="false">EDATE(DATA_INICIO,$A192)</f>
        <v>51828</v>
      </c>
      <c r="C192" s="100" t="n">
        <f aca="false">IFERROR(INDEX(Motor!$F$61:$CP$301,$A192+1,($D$5-1)*15+1),0)</f>
        <v>811920.959652412</v>
      </c>
      <c r="D192" s="100" t="n">
        <f aca="false">IFERROR(INDEX(Motor!$F$61:$CP$301,$A192+1,($D$5-1)*15+4),0)</f>
        <v>7704.1498653897</v>
      </c>
      <c r="E192" s="100" t="n">
        <f aca="false">IFERROR(INDEX(Motor!$F$61:$CP$301,$A192+1,($D$5-1)*15+2),0)</f>
        <v>0</v>
      </c>
      <c r="F192" s="100" t="n">
        <f aca="false">IFERROR(INDEX(Motor!$F$61:$CP$301,$A192+1,($D$5-1)*15+3)+INDEX(Motor!$F$61:$CP$301,$A192+1,($D$5-1)*15+5)+INDEX(Motor!$F$61:$CP$301,$A192+1,($D$5-1)*15+6),0)</f>
        <v>135.320159942069</v>
      </c>
      <c r="G192" s="100" t="n">
        <f aca="false">IFERROR(INDEX(Motor!$F$61:$CP$301,$A192+1,($D$5-1)*15+7),0)</f>
        <v>0</v>
      </c>
      <c r="H192" s="101" t="n">
        <f aca="false">IFERROR(INDEX(Motor!$F$61:$CP$301,$A192+1,($D$5-1)*15+8),0)</f>
        <v>819489.78935786</v>
      </c>
      <c r="I192" s="100" t="n">
        <f aca="false">IFERROR(INDEX(Motor!$F$61:$CP$301,$A192+1,($D$5-1)*15+12),0)</f>
        <v>100423.468403679</v>
      </c>
      <c r="J192" s="102" t="n">
        <f aca="false">IFERROR(INDEX(Motor!$F$61:$CP$301,$A192+1,($D$5-1)*15+13),0)</f>
        <v>719066.320954181</v>
      </c>
      <c r="K192" s="100" t="n">
        <f aca="false">IFERROR(INDEX(Motor!$F$61:$CP$301,$A192+1,($D$5-1)*15+14),0)</f>
        <v>395376.200677426</v>
      </c>
    </row>
    <row r="193" customFormat="false" ht="12" hidden="false" customHeight="true" outlineLevel="0" collapsed="false">
      <c r="A193" s="55" t="n">
        <v>184</v>
      </c>
      <c r="B193" s="99" t="n">
        <f aca="false">EDATE(DATA_INICIO,$A193)</f>
        <v>51858</v>
      </c>
      <c r="C193" s="100" t="n">
        <f aca="false">IFERROR(INDEX(Motor!$F$61:$CP$301,$A193+1,($D$5-1)*15+1),0)</f>
        <v>819489.78935786</v>
      </c>
      <c r="D193" s="100" t="n">
        <f aca="false">IFERROR(INDEX(Motor!$F$61:$CP$301,$A193+1,($D$5-1)*15+4),0)</f>
        <v>7775.96892322181</v>
      </c>
      <c r="E193" s="100" t="n">
        <f aca="false">IFERROR(INDEX(Motor!$F$61:$CP$301,$A193+1,($D$5-1)*15+2),0)</f>
        <v>0</v>
      </c>
      <c r="F193" s="100" t="n">
        <f aca="false">IFERROR(INDEX(Motor!$F$61:$CP$301,$A193+1,($D$5-1)*15+3)+INDEX(Motor!$F$61:$CP$301,$A193+1,($D$5-1)*15+5)+INDEX(Motor!$F$61:$CP$301,$A193+1,($D$5-1)*15+6),0)</f>
        <v>136.581631559643</v>
      </c>
      <c r="G193" s="100" t="n">
        <f aca="false">IFERROR(INDEX(Motor!$F$61:$CP$301,$A193+1,($D$5-1)*15+7),0)</f>
        <v>0</v>
      </c>
      <c r="H193" s="101" t="n">
        <f aca="false">IFERROR(INDEX(Motor!$F$61:$CP$301,$A193+1,($D$5-1)*15+8),0)</f>
        <v>827129.176649522</v>
      </c>
      <c r="I193" s="100" t="n">
        <f aca="false">IFERROR(INDEX(Motor!$F$61:$CP$301,$A193+1,($D$5-1)*15+12),0)</f>
        <v>101569.376497428</v>
      </c>
      <c r="J193" s="102" t="n">
        <f aca="false">IFERROR(INDEX(Motor!$F$61:$CP$301,$A193+1,($D$5-1)*15+13),0)</f>
        <v>725559.800152094</v>
      </c>
      <c r="K193" s="100" t="n">
        <f aca="false">IFERROR(INDEX(Motor!$F$61:$CP$301,$A193+1,($D$5-1)*15+14),0)</f>
        <v>397644.832689823</v>
      </c>
    </row>
    <row r="194" customFormat="false" ht="12" hidden="false" customHeight="true" outlineLevel="0" collapsed="false">
      <c r="A194" s="55" t="n">
        <v>185</v>
      </c>
      <c r="B194" s="99" t="n">
        <f aca="false">EDATE(DATA_INICIO,$A194)</f>
        <v>51889</v>
      </c>
      <c r="C194" s="100" t="n">
        <f aca="false">IFERROR(INDEX(Motor!$F$61:$CP$301,$A194+1,($D$5-1)*15+1),0)</f>
        <v>827129.176649522</v>
      </c>
      <c r="D194" s="100" t="n">
        <f aca="false">IFERROR(INDEX(Motor!$F$61:$CP$301,$A194+1,($D$5-1)*15+4),0)</f>
        <v>7848.45748737948</v>
      </c>
      <c r="E194" s="100" t="n">
        <f aca="false">IFERROR(INDEX(Motor!$F$61:$CP$301,$A194+1,($D$5-1)*15+2),0)</f>
        <v>0</v>
      </c>
      <c r="F194" s="100" t="n">
        <f aca="false">IFERROR(INDEX(Motor!$F$61:$CP$301,$A194+1,($D$5-1)*15+3)+INDEX(Motor!$F$61:$CP$301,$A194+1,($D$5-1)*15+5)+INDEX(Motor!$F$61:$CP$301,$A194+1,($D$5-1)*15+6),0)</f>
        <v>137.85486277492</v>
      </c>
      <c r="G194" s="100" t="n">
        <f aca="false">IFERROR(INDEX(Motor!$F$61:$CP$301,$A194+1,($D$5-1)*15+7),0)</f>
        <v>0</v>
      </c>
      <c r="H194" s="101" t="n">
        <f aca="false">IFERROR(INDEX(Motor!$F$61:$CP$301,$A194+1,($D$5-1)*15+8),0)</f>
        <v>834839.779274127</v>
      </c>
      <c r="I194" s="100" t="n">
        <f aca="false">IFERROR(INDEX(Motor!$F$61:$CP$301,$A194+1,($D$5-1)*15+12),0)</f>
        <v>102725.966891119</v>
      </c>
      <c r="J194" s="102" t="n">
        <f aca="false">IFERROR(INDEX(Motor!$F$61:$CP$301,$A194+1,($D$5-1)*15+13),0)</f>
        <v>732113.812383008</v>
      </c>
      <c r="K194" s="100" t="n">
        <f aca="false">IFERROR(INDEX(Motor!$F$61:$CP$301,$A194+1,($D$5-1)*15+14),0)</f>
        <v>399927.516588825</v>
      </c>
    </row>
    <row r="195" customFormat="false" ht="12" hidden="false" customHeight="true" outlineLevel="0" collapsed="false">
      <c r="A195" s="55" t="n">
        <v>186</v>
      </c>
      <c r="B195" s="99" t="n">
        <f aca="false">EDATE(DATA_INICIO,$A195)</f>
        <v>51920</v>
      </c>
      <c r="C195" s="100" t="n">
        <f aca="false">IFERROR(INDEX(Motor!$F$61:$CP$301,$A195+1,($D$5-1)*15+1),0)</f>
        <v>834839.779274127</v>
      </c>
      <c r="D195" s="100" t="n">
        <f aca="false">IFERROR(INDEX(Motor!$F$61:$CP$301,$A195+1,($D$5-1)*15+4),0)</f>
        <v>7921.6217990852</v>
      </c>
      <c r="E195" s="100" t="n">
        <f aca="false">IFERROR(INDEX(Motor!$F$61:$CP$301,$A195+1,($D$5-1)*15+2),0)</f>
        <v>0</v>
      </c>
      <c r="F195" s="100" t="n">
        <f aca="false">IFERROR(INDEX(Motor!$F$61:$CP$301,$A195+1,($D$5-1)*15+3)+INDEX(Motor!$F$61:$CP$301,$A195+1,($D$5-1)*15+5)+INDEX(Motor!$F$61:$CP$301,$A195+1,($D$5-1)*15+6),0)</f>
        <v>139.139963212354</v>
      </c>
      <c r="G195" s="100" t="n">
        <f aca="false">IFERROR(INDEX(Motor!$F$61:$CP$301,$A195+1,($D$5-1)*15+7),0)</f>
        <v>0</v>
      </c>
      <c r="H195" s="101" t="n">
        <f aca="false">IFERROR(INDEX(Motor!$F$61:$CP$301,$A195+1,($D$5-1)*15+8),0)</f>
        <v>842622.261109999</v>
      </c>
      <c r="I195" s="100" t="n">
        <f aca="false">IFERROR(INDEX(Motor!$F$61:$CP$301,$A195+1,($D$5-1)*15+12),0)</f>
        <v>103893.3391665</v>
      </c>
      <c r="J195" s="102" t="n">
        <f aca="false">IFERROR(INDEX(Motor!$F$61:$CP$301,$A195+1,($D$5-1)*15+13),0)</f>
        <v>738728.9219435</v>
      </c>
      <c r="K195" s="100" t="n">
        <f aca="false">IFERROR(INDEX(Motor!$F$61:$CP$301,$A195+1,($D$5-1)*15+14),0)</f>
        <v>402224.335864377</v>
      </c>
    </row>
    <row r="196" customFormat="false" ht="12" hidden="false" customHeight="true" outlineLevel="0" collapsed="false">
      <c r="A196" s="55" t="n">
        <v>187</v>
      </c>
      <c r="B196" s="99" t="n">
        <f aca="false">EDATE(DATA_INICIO,$A196)</f>
        <v>51948</v>
      </c>
      <c r="C196" s="100" t="n">
        <f aca="false">IFERROR(INDEX(Motor!$F$61:$CP$301,$A196+1,($D$5-1)*15+1),0)</f>
        <v>842622.261109999</v>
      </c>
      <c r="D196" s="100" t="n">
        <f aca="false">IFERROR(INDEX(Motor!$F$61:$CP$301,$A196+1,($D$5-1)*15+4),0)</f>
        <v>7995.46815774295</v>
      </c>
      <c r="E196" s="100" t="n">
        <f aca="false">IFERROR(INDEX(Motor!$F$61:$CP$301,$A196+1,($D$5-1)*15+2),0)</f>
        <v>0</v>
      </c>
      <c r="F196" s="100" t="n">
        <f aca="false">IFERROR(INDEX(Motor!$F$61:$CP$301,$A196+1,($D$5-1)*15+3)+INDEX(Motor!$F$61:$CP$301,$A196+1,($D$5-1)*15+5)+INDEX(Motor!$F$61:$CP$301,$A196+1,($D$5-1)*15+6),0)</f>
        <v>140.437043518333</v>
      </c>
      <c r="G196" s="100" t="n">
        <f aca="false">IFERROR(INDEX(Motor!$F$61:$CP$301,$A196+1,($D$5-1)*15+7),0)</f>
        <v>0</v>
      </c>
      <c r="H196" s="101" t="n">
        <f aca="false">IFERROR(INDEX(Motor!$F$61:$CP$301,$A196+1,($D$5-1)*15+8),0)</f>
        <v>850477.292224224</v>
      </c>
      <c r="I196" s="100" t="n">
        <f aca="false">IFERROR(INDEX(Motor!$F$61:$CP$301,$A196+1,($D$5-1)*15+12),0)</f>
        <v>105071.593833634</v>
      </c>
      <c r="J196" s="102" t="n">
        <f aca="false">IFERROR(INDEX(Motor!$F$61:$CP$301,$A196+1,($D$5-1)*15+13),0)</f>
        <v>745405.698390591</v>
      </c>
      <c r="K196" s="100" t="n">
        <f aca="false">IFERROR(INDEX(Motor!$F$61:$CP$301,$A196+1,($D$5-1)*15+14),0)</f>
        <v>404535.374513748</v>
      </c>
    </row>
    <row r="197" customFormat="false" ht="12" hidden="false" customHeight="true" outlineLevel="0" collapsed="false">
      <c r="A197" s="55" t="n">
        <v>188</v>
      </c>
      <c r="B197" s="99" t="n">
        <f aca="false">EDATE(DATA_INICIO,$A197)</f>
        <v>51979</v>
      </c>
      <c r="C197" s="100" t="n">
        <f aca="false">IFERROR(INDEX(Motor!$F$61:$CP$301,$A197+1,($D$5-1)*15+1),0)</f>
        <v>850477.292224224</v>
      </c>
      <c r="D197" s="100" t="n">
        <f aca="false">IFERROR(INDEX(Motor!$F$61:$CP$301,$A197+1,($D$5-1)*15+4),0)</f>
        <v>8070.00292148054</v>
      </c>
      <c r="E197" s="100" t="n">
        <f aca="false">IFERROR(INDEX(Motor!$F$61:$CP$301,$A197+1,($D$5-1)*15+2),0)</f>
        <v>0</v>
      </c>
      <c r="F197" s="100" t="n">
        <f aca="false">IFERROR(INDEX(Motor!$F$61:$CP$301,$A197+1,($D$5-1)*15+3)+INDEX(Motor!$F$61:$CP$301,$A197+1,($D$5-1)*15+5)+INDEX(Motor!$F$61:$CP$301,$A197+1,($D$5-1)*15+6),0)</f>
        <v>141.746215370704</v>
      </c>
      <c r="G197" s="100" t="n">
        <f aca="false">IFERROR(INDEX(Motor!$F$61:$CP$301,$A197+1,($D$5-1)*15+7),0)</f>
        <v>0</v>
      </c>
      <c r="H197" s="101" t="n">
        <f aca="false">IFERROR(INDEX(Motor!$F$61:$CP$301,$A197+1,($D$5-1)*15+8),0)</f>
        <v>858405.548930334</v>
      </c>
      <c r="I197" s="100" t="n">
        <f aca="false">IFERROR(INDEX(Motor!$F$61:$CP$301,$A197+1,($D$5-1)*15+12),0)</f>
        <v>106260.83233955</v>
      </c>
      <c r="J197" s="102" t="n">
        <f aca="false">IFERROR(INDEX(Motor!$F$61:$CP$301,$A197+1,($D$5-1)*15+13),0)</f>
        <v>752144.716590784</v>
      </c>
      <c r="K197" s="100" t="n">
        <f aca="false">IFERROR(INDEX(Motor!$F$61:$CP$301,$A197+1,($D$5-1)*15+14),0)</f>
        <v>406860.717044579</v>
      </c>
    </row>
    <row r="198" customFormat="false" ht="12" hidden="false" customHeight="true" outlineLevel="0" collapsed="false">
      <c r="A198" s="55" t="n">
        <v>189</v>
      </c>
      <c r="B198" s="99" t="n">
        <f aca="false">EDATE(DATA_INICIO,$A198)</f>
        <v>52009</v>
      </c>
      <c r="C198" s="100" t="n">
        <f aca="false">IFERROR(INDEX(Motor!$F$61:$CP$301,$A198+1,($D$5-1)*15+1),0)</f>
        <v>858405.548930334</v>
      </c>
      <c r="D198" s="100" t="n">
        <f aca="false">IFERROR(INDEX(Motor!$F$61:$CP$301,$A198+1,($D$5-1)*15+4),0)</f>
        <v>8145.23250769703</v>
      </c>
      <c r="E198" s="100" t="n">
        <f aca="false">IFERROR(INDEX(Motor!$F$61:$CP$301,$A198+1,($D$5-1)*15+2),0)</f>
        <v>0</v>
      </c>
      <c r="F198" s="100" t="n">
        <f aca="false">IFERROR(INDEX(Motor!$F$61:$CP$301,$A198+1,($D$5-1)*15+3)+INDEX(Motor!$F$61:$CP$301,$A198+1,($D$5-1)*15+5)+INDEX(Motor!$F$61:$CP$301,$A198+1,($D$5-1)*15+6),0)</f>
        <v>143.067591488389</v>
      </c>
      <c r="G198" s="100" t="n">
        <f aca="false">IFERROR(INDEX(Motor!$F$61:$CP$301,$A198+1,($D$5-1)*15+7),0)</f>
        <v>0</v>
      </c>
      <c r="H198" s="101" t="n">
        <f aca="false">IFERROR(INDEX(Motor!$F$61:$CP$301,$A198+1,($D$5-1)*15+8),0)</f>
        <v>866407.713846543</v>
      </c>
      <c r="I198" s="100" t="n">
        <f aca="false">IFERROR(INDEX(Motor!$F$61:$CP$301,$A198+1,($D$5-1)*15+12),0)</f>
        <v>107461.157076981</v>
      </c>
      <c r="J198" s="102" t="n">
        <f aca="false">IFERROR(INDEX(Motor!$F$61:$CP$301,$A198+1,($D$5-1)*15+13),0)</f>
        <v>758946.556769561</v>
      </c>
      <c r="K198" s="100" t="n">
        <f aca="false">IFERROR(INDEX(Motor!$F$61:$CP$301,$A198+1,($D$5-1)*15+14),0)</f>
        <v>409200.448477947</v>
      </c>
    </row>
    <row r="199" customFormat="false" ht="12" hidden="false" customHeight="true" outlineLevel="0" collapsed="false">
      <c r="A199" s="55" t="n">
        <v>190</v>
      </c>
      <c r="B199" s="99" t="n">
        <f aca="false">EDATE(DATA_INICIO,$A199)</f>
        <v>52040</v>
      </c>
      <c r="C199" s="100" t="n">
        <f aca="false">IFERROR(INDEX(Motor!$F$61:$CP$301,$A199+1,($D$5-1)*15+1),0)</f>
        <v>866407.713846543</v>
      </c>
      <c r="D199" s="100" t="n">
        <f aca="false">IFERROR(INDEX(Motor!$F$61:$CP$301,$A199+1,($D$5-1)*15+4),0)</f>
        <v>8221.16339361532</v>
      </c>
      <c r="E199" s="100" t="n">
        <f aca="false">IFERROR(INDEX(Motor!$F$61:$CP$301,$A199+1,($D$5-1)*15+2),0)</f>
        <v>0</v>
      </c>
      <c r="F199" s="100" t="n">
        <f aca="false">IFERROR(INDEX(Motor!$F$61:$CP$301,$A199+1,($D$5-1)*15+3)+INDEX(Motor!$F$61:$CP$301,$A199+1,($D$5-1)*15+5)+INDEX(Motor!$F$61:$CP$301,$A199+1,($D$5-1)*15+6),0)</f>
        <v>144.40128564109</v>
      </c>
      <c r="G199" s="100" t="n">
        <f aca="false">IFERROR(INDEX(Motor!$F$61:$CP$301,$A199+1,($D$5-1)*15+7),0)</f>
        <v>0</v>
      </c>
      <c r="H199" s="101" t="n">
        <f aca="false">IFERROR(INDEX(Motor!$F$61:$CP$301,$A199+1,($D$5-1)*15+8),0)</f>
        <v>874484.475954517</v>
      </c>
      <c r="I199" s="100" t="n">
        <f aca="false">IFERROR(INDEX(Motor!$F$61:$CP$301,$A199+1,($D$5-1)*15+12),0)</f>
        <v>108672.671393178</v>
      </c>
      <c r="J199" s="102" t="n">
        <f aca="false">IFERROR(INDEX(Motor!$F$61:$CP$301,$A199+1,($D$5-1)*15+13),0)</f>
        <v>765811.804561339</v>
      </c>
      <c r="K199" s="100" t="n">
        <f aca="false">IFERROR(INDEX(Motor!$F$61:$CP$301,$A199+1,($D$5-1)*15+14),0)</f>
        <v>411554.654351445</v>
      </c>
    </row>
    <row r="200" customFormat="false" ht="12" hidden="false" customHeight="true" outlineLevel="0" collapsed="false">
      <c r="A200" s="55" t="n">
        <v>191</v>
      </c>
      <c r="B200" s="99" t="n">
        <f aca="false">EDATE(DATA_INICIO,$A200)</f>
        <v>52070</v>
      </c>
      <c r="C200" s="100" t="n">
        <f aca="false">IFERROR(INDEX(Motor!$F$61:$CP$301,$A200+1,($D$5-1)*15+1),0)</f>
        <v>874484.475954517</v>
      </c>
      <c r="D200" s="100" t="n">
        <f aca="false">IFERROR(INDEX(Motor!$F$61:$CP$301,$A200+1,($D$5-1)*15+4),0)</f>
        <v>8297.80211683978</v>
      </c>
      <c r="E200" s="100" t="n">
        <f aca="false">IFERROR(INDEX(Motor!$F$61:$CP$301,$A200+1,($D$5-1)*15+2),0)</f>
        <v>0</v>
      </c>
      <c r="F200" s="100" t="n">
        <f aca="false">IFERROR(INDEX(Motor!$F$61:$CP$301,$A200+1,($D$5-1)*15+3)+INDEX(Motor!$F$61:$CP$301,$A200+1,($D$5-1)*15+5)+INDEX(Motor!$F$61:$CP$301,$A200+1,($D$5-1)*15+6),0)</f>
        <v>145.747412659086</v>
      </c>
      <c r="G200" s="100" t="n">
        <f aca="false">IFERROR(INDEX(Motor!$F$61:$CP$301,$A200+1,($D$5-1)*15+7),0)</f>
        <v>0</v>
      </c>
      <c r="H200" s="101" t="n">
        <f aca="false">IFERROR(INDEX(Motor!$F$61:$CP$301,$A200+1,($D$5-1)*15+8),0)</f>
        <v>882636.530658698</v>
      </c>
      <c r="I200" s="100" t="n">
        <f aca="false">IFERROR(INDEX(Motor!$F$61:$CP$301,$A200+1,($D$5-1)*15+12),0)</f>
        <v>109895.479598805</v>
      </c>
      <c r="J200" s="102" t="n">
        <f aca="false">IFERROR(INDEX(Motor!$F$61:$CP$301,$A200+1,($D$5-1)*15+13),0)</f>
        <v>772741.051059893</v>
      </c>
      <c r="K200" s="100" t="n">
        <f aca="false">IFERROR(INDEX(Motor!$F$61:$CP$301,$A200+1,($D$5-1)*15+14),0)</f>
        <v>413923.420722285</v>
      </c>
    </row>
    <row r="201" customFormat="false" ht="12" hidden="false" customHeight="true" outlineLevel="0" collapsed="false">
      <c r="A201" s="55" t="n">
        <v>192</v>
      </c>
      <c r="B201" s="99" t="n">
        <f aca="false">EDATE(DATA_INICIO,$A201)</f>
        <v>52101</v>
      </c>
      <c r="C201" s="100" t="n">
        <f aca="false">IFERROR(INDEX(Motor!$F$61:$CP$301,$A201+1,($D$5-1)*15+1),0)</f>
        <v>882636.530658698</v>
      </c>
      <c r="D201" s="100" t="n">
        <f aca="false">IFERROR(INDEX(Motor!$F$61:$CP$301,$A201+1,($D$5-1)*15+4),0)</f>
        <v>8375.15527591914</v>
      </c>
      <c r="E201" s="100" t="n">
        <f aca="false">IFERROR(INDEX(Motor!$F$61:$CP$301,$A201+1,($D$5-1)*15+2),0)</f>
        <v>0</v>
      </c>
      <c r="F201" s="100" t="n">
        <f aca="false">IFERROR(INDEX(Motor!$F$61:$CP$301,$A201+1,($D$5-1)*15+3)+INDEX(Motor!$F$61:$CP$301,$A201+1,($D$5-1)*15+5)+INDEX(Motor!$F$61:$CP$301,$A201+1,($D$5-1)*15+6),0)</f>
        <v>147.106088443116</v>
      </c>
      <c r="G201" s="100" t="n">
        <f aca="false">IFERROR(INDEX(Motor!$F$61:$CP$301,$A201+1,($D$5-1)*15+7),0)</f>
        <v>0</v>
      </c>
      <c r="H201" s="101" t="n">
        <f aca="false">IFERROR(INDEX(Motor!$F$61:$CP$301,$A201+1,($D$5-1)*15+8),0)</f>
        <v>890864.579846174</v>
      </c>
      <c r="I201" s="100" t="n">
        <f aca="false">IFERROR(INDEX(Motor!$F$61:$CP$301,$A201+1,($D$5-1)*15+12),0)</f>
        <v>111129.686976926</v>
      </c>
      <c r="J201" s="102" t="n">
        <f aca="false">IFERROR(INDEX(Motor!$F$61:$CP$301,$A201+1,($D$5-1)*15+13),0)</f>
        <v>779734.892869248</v>
      </c>
      <c r="K201" s="100" t="n">
        <f aca="false">IFERROR(INDEX(Motor!$F$61:$CP$301,$A201+1,($D$5-1)*15+14),0)</f>
        <v>416306.834170415</v>
      </c>
    </row>
    <row r="202" customFormat="false" ht="12" hidden="false" customHeight="true" outlineLevel="0" collapsed="false">
      <c r="A202" s="55" t="n">
        <v>193</v>
      </c>
      <c r="B202" s="99" t="n">
        <f aca="false">EDATE(DATA_INICIO,$A202)</f>
        <v>52132</v>
      </c>
      <c r="C202" s="100" t="n">
        <f aca="false">IFERROR(INDEX(Motor!$F$61:$CP$301,$A202+1,($D$5-1)*15+1),0)</f>
        <v>890864.579846174</v>
      </c>
      <c r="D202" s="100" t="n">
        <f aca="false">IFERROR(INDEX(Motor!$F$61:$CP$301,$A202+1,($D$5-1)*15+4),0)</f>
        <v>8453.22953091467</v>
      </c>
      <c r="E202" s="100" t="n">
        <f aca="false">IFERROR(INDEX(Motor!$F$61:$CP$301,$A202+1,($D$5-1)*15+2),0)</f>
        <v>0</v>
      </c>
      <c r="F202" s="100" t="n">
        <f aca="false">IFERROR(INDEX(Motor!$F$61:$CP$301,$A202+1,($D$5-1)*15+3)+INDEX(Motor!$F$61:$CP$301,$A202+1,($D$5-1)*15+5)+INDEX(Motor!$F$61:$CP$301,$A202+1,($D$5-1)*15+6),0)</f>
        <v>148.477429974362</v>
      </c>
      <c r="G202" s="100" t="n">
        <f aca="false">IFERROR(INDEX(Motor!$F$61:$CP$301,$A202+1,($D$5-1)*15+7),0)</f>
        <v>0</v>
      </c>
      <c r="H202" s="101" t="n">
        <f aca="false">IFERROR(INDEX(Motor!$F$61:$CP$301,$A202+1,($D$5-1)*15+8),0)</f>
        <v>899169.331947114</v>
      </c>
      <c r="I202" s="100" t="n">
        <f aca="false">IFERROR(INDEX(Motor!$F$61:$CP$301,$A202+1,($D$5-1)*15+12),0)</f>
        <v>112375.399792067</v>
      </c>
      <c r="J202" s="102" t="n">
        <f aca="false">IFERROR(INDEX(Motor!$F$61:$CP$301,$A202+1,($D$5-1)*15+13),0)</f>
        <v>786793.932155047</v>
      </c>
      <c r="K202" s="100" t="n">
        <f aca="false">IFERROR(INDEX(Motor!$F$61:$CP$301,$A202+1,($D$5-1)*15+14),0)</f>
        <v>418704.981801662</v>
      </c>
    </row>
    <row r="203" customFormat="false" ht="12" hidden="false" customHeight="true" outlineLevel="0" collapsed="false">
      <c r="A203" s="55" t="n">
        <v>194</v>
      </c>
      <c r="B203" s="99" t="n">
        <f aca="false">EDATE(DATA_INICIO,$A203)</f>
        <v>52162</v>
      </c>
      <c r="C203" s="100" t="n">
        <f aca="false">IFERROR(INDEX(Motor!$F$61:$CP$301,$A203+1,($D$5-1)*15+1),0)</f>
        <v>899169.331947114</v>
      </c>
      <c r="D203" s="100" t="n">
        <f aca="false">IFERROR(INDEX(Motor!$F$61:$CP$301,$A203+1,($D$5-1)*15+4),0)</f>
        <v>8532.03160397353</v>
      </c>
      <c r="E203" s="100" t="n">
        <f aca="false">IFERROR(INDEX(Motor!$F$61:$CP$301,$A203+1,($D$5-1)*15+2),0)</f>
        <v>0</v>
      </c>
      <c r="F203" s="100" t="n">
        <f aca="false">IFERROR(INDEX(Motor!$F$61:$CP$301,$A203+1,($D$5-1)*15+3)+INDEX(Motor!$F$61:$CP$301,$A203+1,($D$5-1)*15+5)+INDEX(Motor!$F$61:$CP$301,$A203+1,($D$5-1)*15+6),0)</f>
        <v>149.861555324519</v>
      </c>
      <c r="G203" s="100" t="n">
        <f aca="false">IFERROR(INDEX(Motor!$F$61:$CP$301,$A203+1,($D$5-1)*15+7),0)</f>
        <v>0</v>
      </c>
      <c r="H203" s="101" t="n">
        <f aca="false">IFERROR(INDEX(Motor!$F$61:$CP$301,$A203+1,($D$5-1)*15+8),0)</f>
        <v>907551.501995763</v>
      </c>
      <c r="I203" s="100" t="n">
        <f aca="false">IFERROR(INDEX(Motor!$F$61:$CP$301,$A203+1,($D$5-1)*15+12),0)</f>
        <v>113632.725299364</v>
      </c>
      <c r="J203" s="102" t="n">
        <f aca="false">IFERROR(INDEX(Motor!$F$61:$CP$301,$A203+1,($D$5-1)*15+13),0)</f>
        <v>793918.776696398</v>
      </c>
      <c r="K203" s="100" t="n">
        <f aca="false">IFERROR(INDEX(Motor!$F$61:$CP$301,$A203+1,($D$5-1)*15+14),0)</f>
        <v>421117.951250885</v>
      </c>
    </row>
    <row r="204" customFormat="false" ht="12" hidden="false" customHeight="true" outlineLevel="0" collapsed="false">
      <c r="A204" s="55" t="n">
        <v>195</v>
      </c>
      <c r="B204" s="99" t="n">
        <f aca="false">EDATE(DATA_INICIO,$A204)</f>
        <v>52193</v>
      </c>
      <c r="C204" s="100" t="n">
        <f aca="false">IFERROR(INDEX(Motor!$F$61:$CP$301,$A204+1,($D$5-1)*15+1),0)</f>
        <v>907551.501995763</v>
      </c>
      <c r="D204" s="100" t="n">
        <f aca="false">IFERROR(INDEX(Motor!$F$61:$CP$301,$A204+1,($D$5-1)*15+4),0)</f>
        <v>8611.56827990763</v>
      </c>
      <c r="E204" s="100" t="n">
        <f aca="false">IFERROR(INDEX(Motor!$F$61:$CP$301,$A204+1,($D$5-1)*15+2),0)</f>
        <v>0</v>
      </c>
      <c r="F204" s="100" t="n">
        <f aca="false">IFERROR(INDEX(Motor!$F$61:$CP$301,$A204+1,($D$5-1)*15+3)+INDEX(Motor!$F$61:$CP$301,$A204+1,($D$5-1)*15+5)+INDEX(Motor!$F$61:$CP$301,$A204+1,($D$5-1)*15+6),0)</f>
        <v>151.25858366596</v>
      </c>
      <c r="G204" s="100" t="n">
        <f aca="false">IFERROR(INDEX(Motor!$F$61:$CP$301,$A204+1,($D$5-1)*15+7),0)</f>
        <v>0</v>
      </c>
      <c r="H204" s="101" t="n">
        <f aca="false">IFERROR(INDEX(Motor!$F$61:$CP$301,$A204+1,($D$5-1)*15+8),0)</f>
        <v>916011.811692004</v>
      </c>
      <c r="I204" s="100" t="n">
        <f aca="false">IFERROR(INDEX(Motor!$F$61:$CP$301,$A204+1,($D$5-1)*15+12),0)</f>
        <v>114901.771753801</v>
      </c>
      <c r="J204" s="102" t="n">
        <f aca="false">IFERROR(INDEX(Motor!$F$61:$CP$301,$A204+1,($D$5-1)*15+13),0)</f>
        <v>801110.039938204</v>
      </c>
      <c r="K204" s="100" t="n">
        <f aca="false">IFERROR(INDEX(Motor!$F$61:$CP$301,$A204+1,($D$5-1)*15+14),0)</f>
        <v>423545.830685156</v>
      </c>
    </row>
    <row r="205" customFormat="false" ht="12" hidden="false" customHeight="true" outlineLevel="0" collapsed="false">
      <c r="A205" s="55" t="n">
        <v>196</v>
      </c>
      <c r="B205" s="99" t="n">
        <f aca="false">EDATE(DATA_INICIO,$A205)</f>
        <v>52223</v>
      </c>
      <c r="C205" s="100" t="n">
        <f aca="false">IFERROR(INDEX(Motor!$F$61:$CP$301,$A205+1,($D$5-1)*15+1),0)</f>
        <v>916011.811692004</v>
      </c>
      <c r="D205" s="100" t="n">
        <f aca="false">IFERROR(INDEX(Motor!$F$61:$CP$301,$A205+1,($D$5-1)*15+4),0)</f>
        <v>8691.84640677771</v>
      </c>
      <c r="E205" s="100" t="n">
        <f aca="false">IFERROR(INDEX(Motor!$F$61:$CP$301,$A205+1,($D$5-1)*15+2),0)</f>
        <v>0</v>
      </c>
      <c r="F205" s="100" t="n">
        <f aca="false">IFERROR(INDEX(Motor!$F$61:$CP$301,$A205+1,($D$5-1)*15+3)+INDEX(Motor!$F$61:$CP$301,$A205+1,($D$5-1)*15+5)+INDEX(Motor!$F$61:$CP$301,$A205+1,($D$5-1)*15+6),0)</f>
        <v>152.668635282001</v>
      </c>
      <c r="G205" s="100" t="n">
        <f aca="false">IFERROR(INDEX(Motor!$F$61:$CP$301,$A205+1,($D$5-1)*15+7),0)</f>
        <v>0</v>
      </c>
      <c r="H205" s="101" t="n">
        <f aca="false">IFERROR(INDEX(Motor!$F$61:$CP$301,$A205+1,($D$5-1)*15+8),0)</f>
        <v>924550.9894635</v>
      </c>
      <c r="I205" s="100" t="n">
        <f aca="false">IFERROR(INDEX(Motor!$F$61:$CP$301,$A205+1,($D$5-1)*15+12),0)</f>
        <v>116182.648419525</v>
      </c>
      <c r="J205" s="102" t="n">
        <f aca="false">IFERROR(INDEX(Motor!$F$61:$CP$301,$A205+1,($D$5-1)*15+13),0)</f>
        <v>808368.341043975</v>
      </c>
      <c r="K205" s="100" t="n">
        <f aca="false">IFERROR(INDEX(Motor!$F$61:$CP$301,$A205+1,($D$5-1)*15+14),0)</f>
        <v>425988.708806952</v>
      </c>
    </row>
    <row r="206" customFormat="false" ht="12" hidden="false" customHeight="true" outlineLevel="0" collapsed="false">
      <c r="A206" s="55" t="n">
        <v>197</v>
      </c>
      <c r="B206" s="99" t="n">
        <f aca="false">EDATE(DATA_INICIO,$A206)</f>
        <v>52254</v>
      </c>
      <c r="C206" s="100" t="n">
        <f aca="false">IFERROR(INDEX(Motor!$F$61:$CP$301,$A206+1,($D$5-1)*15+1),0)</f>
        <v>924550.9894635</v>
      </c>
      <c r="D206" s="100" t="n">
        <f aca="false">IFERROR(INDEX(Motor!$F$61:$CP$301,$A206+1,($D$5-1)*15+4),0)</f>
        <v>8772.87289648302</v>
      </c>
      <c r="E206" s="100" t="n">
        <f aca="false">IFERROR(INDEX(Motor!$F$61:$CP$301,$A206+1,($D$5-1)*15+2),0)</f>
        <v>0</v>
      </c>
      <c r="F206" s="100" t="n">
        <f aca="false">IFERROR(INDEX(Motor!$F$61:$CP$301,$A206+1,($D$5-1)*15+3)+INDEX(Motor!$F$61:$CP$301,$A206+1,($D$5-1)*15+5)+INDEX(Motor!$F$61:$CP$301,$A206+1,($D$5-1)*15+6),0)</f>
        <v>154.09183157725</v>
      </c>
      <c r="G206" s="100" t="n">
        <f aca="false">IFERROR(INDEX(Motor!$F$61:$CP$301,$A206+1,($D$5-1)*15+7),0)</f>
        <v>0</v>
      </c>
      <c r="H206" s="101" t="n">
        <f aca="false">IFERROR(INDEX(Motor!$F$61:$CP$301,$A206+1,($D$5-1)*15+8),0)</f>
        <v>933169.770528406</v>
      </c>
      <c r="I206" s="100" t="n">
        <f aca="false">IFERROR(INDEX(Motor!$F$61:$CP$301,$A206+1,($D$5-1)*15+12),0)</f>
        <v>117475.465579261</v>
      </c>
      <c r="J206" s="102" t="n">
        <f aca="false">IFERROR(INDEX(Motor!$F$61:$CP$301,$A206+1,($D$5-1)*15+13),0)</f>
        <v>815694.304949145</v>
      </c>
      <c r="K206" s="100" t="n">
        <f aca="false">IFERROR(INDEX(Motor!$F$61:$CP$301,$A206+1,($D$5-1)*15+14),0)</f>
        <v>428446.674857372</v>
      </c>
    </row>
    <row r="207" customFormat="false" ht="12" hidden="false" customHeight="true" outlineLevel="0" collapsed="false">
      <c r="A207" s="55" t="n">
        <v>198</v>
      </c>
      <c r="B207" s="99" t="n">
        <f aca="false">EDATE(DATA_INICIO,$A207)</f>
        <v>52285</v>
      </c>
      <c r="C207" s="100" t="n">
        <f aca="false">IFERROR(INDEX(Motor!$F$61:$CP$301,$A207+1,($D$5-1)*15+1),0)</f>
        <v>933169.770528406</v>
      </c>
      <c r="D207" s="100" t="n">
        <f aca="false">IFERROR(INDEX(Motor!$F$61:$CP$301,$A207+1,($D$5-1)*15+4),0)</f>
        <v>8854.65472535642</v>
      </c>
      <c r="E207" s="100" t="n">
        <f aca="false">IFERROR(INDEX(Motor!$F$61:$CP$301,$A207+1,($D$5-1)*15+2),0)</f>
        <v>0</v>
      </c>
      <c r="F207" s="100" t="n">
        <f aca="false">IFERROR(INDEX(Motor!$F$61:$CP$301,$A207+1,($D$5-1)*15+3)+INDEX(Motor!$F$61:$CP$301,$A207+1,($D$5-1)*15+5)+INDEX(Motor!$F$61:$CP$301,$A207+1,($D$5-1)*15+6),0)</f>
        <v>155.528295088068</v>
      </c>
      <c r="G207" s="100" t="n">
        <f aca="false">IFERROR(INDEX(Motor!$F$61:$CP$301,$A207+1,($D$5-1)*15+7),0)</f>
        <v>0</v>
      </c>
      <c r="H207" s="101" t="n">
        <f aca="false">IFERROR(INDEX(Motor!$F$61:$CP$301,$A207+1,($D$5-1)*15+8),0)</f>
        <v>941868.896958674</v>
      </c>
      <c r="I207" s="100" t="n">
        <f aca="false">IFERROR(INDEX(Motor!$F$61:$CP$301,$A207+1,($D$5-1)*15+12),0)</f>
        <v>118780.334543801</v>
      </c>
      <c r="J207" s="102" t="n">
        <f aca="false">IFERROR(INDEX(Motor!$F$61:$CP$301,$A207+1,($D$5-1)*15+13),0)</f>
        <v>823088.562414873</v>
      </c>
      <c r="K207" s="100" t="n">
        <f aca="false">IFERROR(INDEX(Motor!$F$61:$CP$301,$A207+1,($D$5-1)*15+14),0)</f>
        <v>430919.81861937</v>
      </c>
    </row>
    <row r="208" customFormat="false" ht="12" hidden="false" customHeight="true" outlineLevel="0" collapsed="false">
      <c r="A208" s="55" t="n">
        <v>199</v>
      </c>
      <c r="B208" s="99" t="n">
        <f aca="false">EDATE(DATA_INICIO,$A208)</f>
        <v>52313</v>
      </c>
      <c r="C208" s="100" t="n">
        <f aca="false">IFERROR(INDEX(Motor!$F$61:$CP$301,$A208+1,($D$5-1)*15+1),0)</f>
        <v>941868.896958674</v>
      </c>
      <c r="D208" s="100" t="n">
        <f aca="false">IFERROR(INDEX(Motor!$F$61:$CP$301,$A208+1,($D$5-1)*15+4),0)</f>
        <v>8937.198934765</v>
      </c>
      <c r="E208" s="100" t="n">
        <f aca="false">IFERROR(INDEX(Motor!$F$61:$CP$301,$A208+1,($D$5-1)*15+2),0)</f>
        <v>0</v>
      </c>
      <c r="F208" s="100" t="n">
        <f aca="false">IFERROR(INDEX(Motor!$F$61:$CP$301,$A208+1,($D$5-1)*15+3)+INDEX(Motor!$F$61:$CP$301,$A208+1,($D$5-1)*15+5)+INDEX(Motor!$F$61:$CP$301,$A208+1,($D$5-1)*15+6),0)</f>
        <v>156.978149493112</v>
      </c>
      <c r="G208" s="100" t="n">
        <f aca="false">IFERROR(INDEX(Motor!$F$61:$CP$301,$A208+1,($D$5-1)*15+7),0)</f>
        <v>0</v>
      </c>
      <c r="H208" s="101" t="n">
        <f aca="false">IFERROR(INDEX(Motor!$F$61:$CP$301,$A208+1,($D$5-1)*15+8),0)</f>
        <v>950649.117743946</v>
      </c>
      <c r="I208" s="100" t="n">
        <f aca="false">IFERROR(INDEX(Motor!$F$61:$CP$301,$A208+1,($D$5-1)*15+12),0)</f>
        <v>120097.367661592</v>
      </c>
      <c r="J208" s="102" t="n">
        <f aca="false">IFERROR(INDEX(Motor!$F$61:$CP$301,$A208+1,($D$5-1)*15+13),0)</f>
        <v>830551.750082354</v>
      </c>
      <c r="K208" s="100" t="n">
        <f aca="false">IFERROR(INDEX(Motor!$F$61:$CP$301,$A208+1,($D$5-1)*15+14),0)</f>
        <v>433408.230421013</v>
      </c>
    </row>
    <row r="209" customFormat="false" ht="12" hidden="false" customHeight="true" outlineLevel="0" collapsed="false">
      <c r="A209" s="55" t="n">
        <v>200</v>
      </c>
      <c r="B209" s="99" t="n">
        <f aca="false">EDATE(DATA_INICIO,$A209)</f>
        <v>52344</v>
      </c>
      <c r="C209" s="100" t="n">
        <f aca="false">IFERROR(INDEX(Motor!$F$61:$CP$301,$A209+1,($D$5-1)*15+1),0)</f>
        <v>950649.117743946</v>
      </c>
      <c r="D209" s="100" t="n">
        <f aca="false">IFERROR(INDEX(Motor!$F$61:$CP$301,$A209+1,($D$5-1)*15+4),0)</f>
        <v>9020.51263171636</v>
      </c>
      <c r="E209" s="100" t="n">
        <f aca="false">IFERROR(INDEX(Motor!$F$61:$CP$301,$A209+1,($D$5-1)*15+2),0)</f>
        <v>0</v>
      </c>
      <c r="F209" s="100" t="n">
        <f aca="false">IFERROR(INDEX(Motor!$F$61:$CP$301,$A209+1,($D$5-1)*15+3)+INDEX(Motor!$F$61:$CP$301,$A209+1,($D$5-1)*15+5)+INDEX(Motor!$F$61:$CP$301,$A209+1,($D$5-1)*15+6),0)</f>
        <v>158.441519623991</v>
      </c>
      <c r="G209" s="100" t="n">
        <f aca="false">IFERROR(INDEX(Motor!$F$61:$CP$301,$A209+1,($D$5-1)*15+7),0)</f>
        <v>0</v>
      </c>
      <c r="H209" s="101" t="n">
        <f aca="false">IFERROR(INDEX(Motor!$F$61:$CP$301,$A209+1,($D$5-1)*15+8),0)</f>
        <v>959511.188856039</v>
      </c>
      <c r="I209" s="100" t="n">
        <f aca="false">IFERROR(INDEX(Motor!$F$61:$CP$301,$A209+1,($D$5-1)*15+12),0)</f>
        <v>121426.678328406</v>
      </c>
      <c r="J209" s="102" t="n">
        <f aca="false">IFERROR(INDEX(Motor!$F$61:$CP$301,$A209+1,($D$5-1)*15+13),0)</f>
        <v>838084.510527633</v>
      </c>
      <c r="K209" s="100" t="n">
        <f aca="false">IFERROR(INDEX(Motor!$F$61:$CP$301,$A209+1,($D$5-1)*15+14),0)</f>
        <v>435912.00113875</v>
      </c>
    </row>
    <row r="210" customFormat="false" ht="12" hidden="false" customHeight="true" outlineLevel="0" collapsed="false">
      <c r="A210" s="55" t="n">
        <v>201</v>
      </c>
      <c r="B210" s="99" t="n">
        <f aca="false">EDATE(DATA_INICIO,$A210)</f>
        <v>52374</v>
      </c>
      <c r="C210" s="100" t="n">
        <f aca="false">IFERROR(INDEX(Motor!$F$61:$CP$301,$A210+1,($D$5-1)*15+1),0)</f>
        <v>959511.188856039</v>
      </c>
      <c r="D210" s="100" t="n">
        <f aca="false">IFERROR(INDEX(Motor!$F$61:$CP$301,$A210+1,($D$5-1)*15+4),0)</f>
        <v>9104.60298947056</v>
      </c>
      <c r="E210" s="100" t="n">
        <f aca="false">IFERROR(INDEX(Motor!$F$61:$CP$301,$A210+1,($D$5-1)*15+2),0)</f>
        <v>0</v>
      </c>
      <c r="F210" s="100" t="n">
        <f aca="false">IFERROR(INDEX(Motor!$F$61:$CP$301,$A210+1,($D$5-1)*15+3)+INDEX(Motor!$F$61:$CP$301,$A210+1,($D$5-1)*15+5)+INDEX(Motor!$F$61:$CP$301,$A210+1,($D$5-1)*15+6),0)</f>
        <v>159.918531476006</v>
      </c>
      <c r="G210" s="100" t="n">
        <f aca="false">IFERROR(INDEX(Motor!$F$61:$CP$301,$A210+1,($D$5-1)*15+7),0)</f>
        <v>0</v>
      </c>
      <c r="H210" s="101" t="n">
        <f aca="false">IFERROR(INDEX(Motor!$F$61:$CP$301,$A210+1,($D$5-1)*15+8),0)</f>
        <v>968455.873314033</v>
      </c>
      <c r="I210" s="100" t="n">
        <f aca="false">IFERROR(INDEX(Motor!$F$61:$CP$301,$A210+1,($D$5-1)*15+12),0)</f>
        <v>122768.380997105</v>
      </c>
      <c r="J210" s="102" t="n">
        <f aca="false">IFERROR(INDEX(Motor!$F$61:$CP$301,$A210+1,($D$5-1)*15+13),0)</f>
        <v>845687.492316928</v>
      </c>
      <c r="K210" s="100" t="n">
        <f aca="false">IFERROR(INDEX(Motor!$F$61:$CP$301,$A210+1,($D$5-1)*15+14),0)</f>
        <v>438431.222200708</v>
      </c>
    </row>
    <row r="211" customFormat="false" ht="12" hidden="false" customHeight="true" outlineLevel="0" collapsed="false">
      <c r="A211" s="55" t="n">
        <v>202</v>
      </c>
      <c r="B211" s="99" t="n">
        <f aca="false">EDATE(DATA_INICIO,$A211)</f>
        <v>52405</v>
      </c>
      <c r="C211" s="100" t="n">
        <f aca="false">IFERROR(INDEX(Motor!$F$61:$CP$301,$A211+1,($D$5-1)*15+1),0)</f>
        <v>968455.873314033</v>
      </c>
      <c r="D211" s="100" t="n">
        <f aca="false">IFERROR(INDEX(Motor!$F$61:$CP$301,$A211+1,($D$5-1)*15+4),0)</f>
        <v>9189.47724815765</v>
      </c>
      <c r="E211" s="100" t="n">
        <f aca="false">IFERROR(INDEX(Motor!$F$61:$CP$301,$A211+1,($D$5-1)*15+2),0)</f>
        <v>0</v>
      </c>
      <c r="F211" s="100" t="n">
        <f aca="false">IFERROR(INDEX(Motor!$F$61:$CP$301,$A211+1,($D$5-1)*15+3)+INDEX(Motor!$F$61:$CP$301,$A211+1,($D$5-1)*15+5)+INDEX(Motor!$F$61:$CP$301,$A211+1,($D$5-1)*15+6),0)</f>
        <v>161.409312219006</v>
      </c>
      <c r="G211" s="100" t="n">
        <f aca="false">IFERROR(INDEX(Motor!$F$61:$CP$301,$A211+1,($D$5-1)*15+7),0)</f>
        <v>0</v>
      </c>
      <c r="H211" s="101" t="n">
        <f aca="false">IFERROR(INDEX(Motor!$F$61:$CP$301,$A211+1,($D$5-1)*15+8),0)</f>
        <v>977483.941249972</v>
      </c>
      <c r="I211" s="100" t="n">
        <f aca="false">IFERROR(INDEX(Motor!$F$61:$CP$301,$A211+1,($D$5-1)*15+12),0)</f>
        <v>124122.591187496</v>
      </c>
      <c r="J211" s="102" t="n">
        <f aca="false">IFERROR(INDEX(Motor!$F$61:$CP$301,$A211+1,($D$5-1)*15+13),0)</f>
        <v>853361.350062476</v>
      </c>
      <c r="K211" s="100" t="n">
        <f aca="false">IFERROR(INDEX(Motor!$F$61:$CP$301,$A211+1,($D$5-1)*15+14),0)</f>
        <v>440965.985590005</v>
      </c>
    </row>
    <row r="212" customFormat="false" ht="12" hidden="false" customHeight="true" outlineLevel="0" collapsed="false">
      <c r="A212" s="55" t="n">
        <v>203</v>
      </c>
      <c r="B212" s="99" t="n">
        <f aca="false">EDATE(DATA_INICIO,$A212)</f>
        <v>52435</v>
      </c>
      <c r="C212" s="100" t="n">
        <f aca="false">IFERROR(INDEX(Motor!$F$61:$CP$301,$A212+1,($D$5-1)*15+1),0)</f>
        <v>977483.941249972</v>
      </c>
      <c r="D212" s="100" t="n">
        <f aca="false">IFERROR(INDEX(Motor!$F$61:$CP$301,$A212+1,($D$5-1)*15+4),0)</f>
        <v>9275.14271540112</v>
      </c>
      <c r="E212" s="100" t="n">
        <f aca="false">IFERROR(INDEX(Motor!$F$61:$CP$301,$A212+1,($D$5-1)*15+2),0)</f>
        <v>0</v>
      </c>
      <c r="F212" s="100" t="n">
        <f aca="false">IFERROR(INDEX(Motor!$F$61:$CP$301,$A212+1,($D$5-1)*15+3)+INDEX(Motor!$F$61:$CP$301,$A212+1,($D$5-1)*15+5)+INDEX(Motor!$F$61:$CP$301,$A212+1,($D$5-1)*15+6),0)</f>
        <v>162.913990208329</v>
      </c>
      <c r="G212" s="100" t="n">
        <f aca="false">IFERROR(INDEX(Motor!$F$61:$CP$301,$A212+1,($D$5-1)*15+7),0)</f>
        <v>0</v>
      </c>
      <c r="H212" s="101" t="n">
        <f aca="false">IFERROR(INDEX(Motor!$F$61:$CP$301,$A212+1,($D$5-1)*15+8),0)</f>
        <v>986596.169975165</v>
      </c>
      <c r="I212" s="100" t="n">
        <f aca="false">IFERROR(INDEX(Motor!$F$61:$CP$301,$A212+1,($D$5-1)*15+12),0)</f>
        <v>125489.425496275</v>
      </c>
      <c r="J212" s="102" t="n">
        <f aca="false">IFERROR(INDEX(Motor!$F$61:$CP$301,$A212+1,($D$5-1)*15+13),0)</f>
        <v>861106.74447889</v>
      </c>
      <c r="K212" s="100" t="n">
        <f aca="false">IFERROR(INDEX(Motor!$F$61:$CP$301,$A212+1,($D$5-1)*15+14),0)</f>
        <v>443516.383848083</v>
      </c>
    </row>
    <row r="213" customFormat="false" ht="12" hidden="false" customHeight="true" outlineLevel="0" collapsed="false">
      <c r="A213" s="55" t="n">
        <v>204</v>
      </c>
      <c r="B213" s="99" t="n">
        <f aca="false">EDATE(DATA_INICIO,$A213)</f>
        <v>52466</v>
      </c>
      <c r="C213" s="100" t="n">
        <f aca="false">IFERROR(INDEX(Motor!$F$61:$CP$301,$A213+1,($D$5-1)*15+1),0)</f>
        <v>986596.169975165</v>
      </c>
      <c r="D213" s="100" t="n">
        <f aca="false">IFERROR(INDEX(Motor!$F$61:$CP$301,$A213+1,($D$5-1)*15+4),0)</f>
        <v>9361.60676694703</v>
      </c>
      <c r="E213" s="100" t="n">
        <f aca="false">IFERROR(INDEX(Motor!$F$61:$CP$301,$A213+1,($D$5-1)*15+2),0)</f>
        <v>0</v>
      </c>
      <c r="F213" s="100" t="n">
        <f aca="false">IFERROR(INDEX(Motor!$F$61:$CP$301,$A213+1,($D$5-1)*15+3)+INDEX(Motor!$F$61:$CP$301,$A213+1,($D$5-1)*15+5)+INDEX(Motor!$F$61:$CP$301,$A213+1,($D$5-1)*15+6),0)</f>
        <v>164.432694995861</v>
      </c>
      <c r="G213" s="100" t="n">
        <f aca="false">IFERROR(INDEX(Motor!$F$61:$CP$301,$A213+1,($D$5-1)*15+7),0)</f>
        <v>0</v>
      </c>
      <c r="H213" s="101" t="n">
        <f aca="false">IFERROR(INDEX(Motor!$F$61:$CP$301,$A213+1,($D$5-1)*15+8),0)</f>
        <v>995793.344047116</v>
      </c>
      <c r="I213" s="100" t="n">
        <f aca="false">IFERROR(INDEX(Motor!$F$61:$CP$301,$A213+1,($D$5-1)*15+12),0)</f>
        <v>126869.001607067</v>
      </c>
      <c r="J213" s="102" t="n">
        <f aca="false">IFERROR(INDEX(Motor!$F$61:$CP$301,$A213+1,($D$5-1)*15+13),0)</f>
        <v>868924.342440048</v>
      </c>
      <c r="K213" s="100" t="n">
        <f aca="false">IFERROR(INDEX(Motor!$F$61:$CP$301,$A213+1,($D$5-1)*15+14),0)</f>
        <v>446082.510078063</v>
      </c>
    </row>
    <row r="214" customFormat="false" ht="12" hidden="false" customHeight="true" outlineLevel="0" collapsed="false">
      <c r="A214" s="55" t="n">
        <v>205</v>
      </c>
      <c r="B214" s="99" t="n">
        <f aca="false">EDATE(DATA_INICIO,$A214)</f>
        <v>52497</v>
      </c>
      <c r="C214" s="100" t="n">
        <f aca="false">IFERROR(INDEX(Motor!$F$61:$CP$301,$A214+1,($D$5-1)*15+1),0)</f>
        <v>995793.344047116</v>
      </c>
      <c r="D214" s="100" t="n">
        <f aca="false">IFERROR(INDEX(Motor!$F$61:$CP$301,$A214+1,($D$5-1)*15+4),0)</f>
        <v>9448.87684729909</v>
      </c>
      <c r="E214" s="100" t="n">
        <f aca="false">IFERROR(INDEX(Motor!$F$61:$CP$301,$A214+1,($D$5-1)*15+2),0)</f>
        <v>0</v>
      </c>
      <c r="F214" s="100" t="n">
        <f aca="false">IFERROR(INDEX(Motor!$F$61:$CP$301,$A214+1,($D$5-1)*15+3)+INDEX(Motor!$F$61:$CP$301,$A214+1,($D$5-1)*15+5)+INDEX(Motor!$F$61:$CP$301,$A214+1,($D$5-1)*15+6),0)</f>
        <v>165.965557341186</v>
      </c>
      <c r="G214" s="100" t="n">
        <f aca="false">IFERROR(INDEX(Motor!$F$61:$CP$301,$A214+1,($D$5-1)*15+7),0)</f>
        <v>0</v>
      </c>
      <c r="H214" s="101" t="n">
        <f aca="false">IFERROR(INDEX(Motor!$F$61:$CP$301,$A214+1,($D$5-1)*15+8),0)</f>
        <v>1005076.25533707</v>
      </c>
      <c r="I214" s="100" t="n">
        <f aca="false">IFERROR(INDEX(Motor!$F$61:$CP$301,$A214+1,($D$5-1)*15+12),0)</f>
        <v>128261.438300561</v>
      </c>
      <c r="J214" s="102" t="n">
        <f aca="false">IFERROR(INDEX(Motor!$F$61:$CP$301,$A214+1,($D$5-1)*15+13),0)</f>
        <v>876814.817036512</v>
      </c>
      <c r="K214" s="100" t="n">
        <f aca="false">IFERROR(INDEX(Motor!$F$61:$CP$301,$A214+1,($D$5-1)*15+14),0)</f>
        <v>448664.457948117</v>
      </c>
    </row>
    <row r="215" customFormat="false" ht="12" hidden="false" customHeight="true" outlineLevel="0" collapsed="false">
      <c r="A215" s="55" t="n">
        <v>206</v>
      </c>
      <c r="B215" s="99" t="n">
        <f aca="false">EDATE(DATA_INICIO,$A215)</f>
        <v>52527</v>
      </c>
      <c r="C215" s="100" t="n">
        <f aca="false">IFERROR(INDEX(Motor!$F$61:$CP$301,$A215+1,($D$5-1)*15+1),0)</f>
        <v>1005076.25533707</v>
      </c>
      <c r="D215" s="100" t="n">
        <f aca="false">IFERROR(INDEX(Motor!$F$61:$CP$301,$A215+1,($D$5-1)*15+4),0)</f>
        <v>9536.96047035961</v>
      </c>
      <c r="E215" s="100" t="n">
        <f aca="false">IFERROR(INDEX(Motor!$F$61:$CP$301,$A215+1,($D$5-1)*15+2),0)</f>
        <v>0</v>
      </c>
      <c r="F215" s="100" t="n">
        <f aca="false">IFERROR(INDEX(Motor!$F$61:$CP$301,$A215+1,($D$5-1)*15+3)+INDEX(Motor!$F$61:$CP$301,$A215+1,($D$5-1)*15+5)+INDEX(Motor!$F$61:$CP$301,$A215+1,($D$5-1)*15+6),0)</f>
        <v>167.512709222846</v>
      </c>
      <c r="G215" s="100" t="n">
        <f aca="false">IFERROR(INDEX(Motor!$F$61:$CP$301,$A215+1,($D$5-1)*15+7),0)</f>
        <v>0</v>
      </c>
      <c r="H215" s="101" t="n">
        <f aca="false">IFERROR(INDEX(Motor!$F$61:$CP$301,$A215+1,($D$5-1)*15+8),0)</f>
        <v>1014445.70309821</v>
      </c>
      <c r="I215" s="100" t="n">
        <f aca="false">IFERROR(INDEX(Motor!$F$61:$CP$301,$A215+1,($D$5-1)*15+12),0)</f>
        <v>129666.855464732</v>
      </c>
      <c r="J215" s="102" t="n">
        <f aca="false">IFERROR(INDEX(Motor!$F$61:$CP$301,$A215+1,($D$5-1)*15+13),0)</f>
        <v>884778.847633479</v>
      </c>
      <c r="K215" s="100" t="n">
        <f aca="false">IFERROR(INDEX(Motor!$F$61:$CP$301,$A215+1,($D$5-1)*15+14),0)</f>
        <v>451262.321694864</v>
      </c>
    </row>
    <row r="216" customFormat="false" ht="12" hidden="false" customHeight="true" outlineLevel="0" collapsed="false">
      <c r="A216" s="55" t="n">
        <v>207</v>
      </c>
      <c r="B216" s="99" t="n">
        <f aca="false">EDATE(DATA_INICIO,$A216)</f>
        <v>52558</v>
      </c>
      <c r="C216" s="100" t="n">
        <f aca="false">IFERROR(INDEX(Motor!$F$61:$CP$301,$A216+1,($D$5-1)*15+1),0)</f>
        <v>1014445.70309821</v>
      </c>
      <c r="D216" s="100" t="n">
        <f aca="false">IFERROR(INDEX(Motor!$F$61:$CP$301,$A216+1,($D$5-1)*15+4),0)</f>
        <v>9625.86522007643</v>
      </c>
      <c r="E216" s="100" t="n">
        <f aca="false">IFERROR(INDEX(Motor!$F$61:$CP$301,$A216+1,($D$5-1)*15+2),0)</f>
        <v>0</v>
      </c>
      <c r="F216" s="100" t="n">
        <f aca="false">IFERROR(INDEX(Motor!$F$61:$CP$301,$A216+1,($D$5-1)*15+3)+INDEX(Motor!$F$61:$CP$301,$A216+1,($D$5-1)*15+5)+INDEX(Motor!$F$61:$CP$301,$A216+1,($D$5-1)*15+6),0)</f>
        <v>169.074283849702</v>
      </c>
      <c r="G216" s="100" t="n">
        <f aca="false">IFERROR(INDEX(Motor!$F$61:$CP$301,$A216+1,($D$5-1)*15+7),0)</f>
        <v>0</v>
      </c>
      <c r="H216" s="101" t="n">
        <f aca="false">IFERROR(INDEX(Motor!$F$61:$CP$301,$A216+1,($D$5-1)*15+8),0)</f>
        <v>1023902.49403444</v>
      </c>
      <c r="I216" s="100" t="n">
        <f aca="false">IFERROR(INDEX(Motor!$F$61:$CP$301,$A216+1,($D$5-1)*15+12),0)</f>
        <v>131085.374105166</v>
      </c>
      <c r="J216" s="102" t="n">
        <f aca="false">IFERROR(INDEX(Motor!$F$61:$CP$301,$A216+1,($D$5-1)*15+13),0)</f>
        <v>892817.119929272</v>
      </c>
      <c r="K216" s="100" t="n">
        <f aca="false">IFERROR(INDEX(Motor!$F$61:$CP$301,$A216+1,($D$5-1)*15+14),0)</f>
        <v>453876.196126783</v>
      </c>
    </row>
    <row r="217" customFormat="false" ht="12" hidden="false" customHeight="true" outlineLevel="0" collapsed="false">
      <c r="A217" s="55" t="n">
        <v>208</v>
      </c>
      <c r="B217" s="99" t="n">
        <f aca="false">EDATE(DATA_INICIO,$A217)</f>
        <v>52588</v>
      </c>
      <c r="C217" s="100" t="n">
        <f aca="false">IFERROR(INDEX(Motor!$F$61:$CP$301,$A217+1,($D$5-1)*15+1),0)</f>
        <v>1023902.49403444</v>
      </c>
      <c r="D217" s="100" t="n">
        <f aca="false">IFERROR(INDEX(Motor!$F$61:$CP$301,$A217+1,($D$5-1)*15+4),0)</f>
        <v>9715.59875109593</v>
      </c>
      <c r="E217" s="100" t="n">
        <f aca="false">IFERROR(INDEX(Motor!$F$61:$CP$301,$A217+1,($D$5-1)*15+2),0)</f>
        <v>0</v>
      </c>
      <c r="F217" s="100" t="n">
        <f aca="false">IFERROR(INDEX(Motor!$F$61:$CP$301,$A217+1,($D$5-1)*15+3)+INDEX(Motor!$F$61:$CP$301,$A217+1,($D$5-1)*15+5)+INDEX(Motor!$F$61:$CP$301,$A217+1,($D$5-1)*15+6),0)</f>
        <v>170.650415672406</v>
      </c>
      <c r="G217" s="100" t="n">
        <f aca="false">IFERROR(INDEX(Motor!$F$61:$CP$301,$A217+1,($D$5-1)*15+7),0)</f>
        <v>0</v>
      </c>
      <c r="H217" s="101" t="n">
        <f aca="false">IFERROR(INDEX(Motor!$F$61:$CP$301,$A217+1,($D$5-1)*15+8),0)</f>
        <v>1033447.44236986</v>
      </c>
      <c r="I217" s="100" t="n">
        <f aca="false">IFERROR(INDEX(Motor!$F$61:$CP$301,$A217+1,($D$5-1)*15+12),0)</f>
        <v>132517.116355479</v>
      </c>
      <c r="J217" s="102" t="n">
        <f aca="false">IFERROR(INDEX(Motor!$F$61:$CP$301,$A217+1,($D$5-1)*15+13),0)</f>
        <v>900930.326014381</v>
      </c>
      <c r="K217" s="100" t="n">
        <f aca="false">IFERROR(INDEX(Motor!$F$61:$CP$301,$A217+1,($D$5-1)*15+14),0)</f>
        <v>456506.176627648</v>
      </c>
    </row>
    <row r="218" customFormat="false" ht="12" hidden="false" customHeight="true" outlineLevel="0" collapsed="false">
      <c r="A218" s="55" t="n">
        <v>209</v>
      </c>
      <c r="B218" s="99" t="n">
        <f aca="false">EDATE(DATA_INICIO,$A218)</f>
        <v>52619</v>
      </c>
      <c r="C218" s="100" t="n">
        <f aca="false">IFERROR(INDEX(Motor!$F$61:$CP$301,$A218+1,($D$5-1)*15+1),0)</f>
        <v>1033447.44236986</v>
      </c>
      <c r="D218" s="100" t="n">
        <f aca="false">IFERROR(INDEX(Motor!$F$61:$CP$301,$A218+1,($D$5-1)*15+4),0)</f>
        <v>9806.16878942205</v>
      </c>
      <c r="E218" s="100" t="n">
        <f aca="false">IFERROR(INDEX(Motor!$F$61:$CP$301,$A218+1,($D$5-1)*15+2),0)</f>
        <v>0</v>
      </c>
      <c r="F218" s="100" t="n">
        <f aca="false">IFERROR(INDEX(Motor!$F$61:$CP$301,$A218+1,($D$5-1)*15+3)+INDEX(Motor!$F$61:$CP$301,$A218+1,($D$5-1)*15+5)+INDEX(Motor!$F$61:$CP$301,$A218+1,($D$5-1)*15+6),0)</f>
        <v>172.241240394977</v>
      </c>
      <c r="G218" s="100" t="n">
        <f aca="false">IFERROR(INDEX(Motor!$F$61:$CP$301,$A218+1,($D$5-1)*15+7),0)</f>
        <v>0</v>
      </c>
      <c r="H218" s="101" t="n">
        <f aca="false">IFERROR(INDEX(Motor!$F$61:$CP$301,$A218+1,($D$5-1)*15+8),0)</f>
        <v>1043081.36991889</v>
      </c>
      <c r="I218" s="100" t="n">
        <f aca="false">IFERROR(INDEX(Motor!$F$61:$CP$301,$A218+1,($D$5-1)*15+12),0)</f>
        <v>133962.205487833</v>
      </c>
      <c r="J218" s="102" t="n">
        <f aca="false">IFERROR(INDEX(Motor!$F$61:$CP$301,$A218+1,($D$5-1)*15+13),0)</f>
        <v>909119.164431054</v>
      </c>
      <c r="K218" s="100" t="n">
        <f aca="false">IFERROR(INDEX(Motor!$F$61:$CP$301,$A218+1,($D$5-1)*15+14),0)</f>
        <v>459152.359159988</v>
      </c>
    </row>
    <row r="219" customFormat="false" ht="12" hidden="false" customHeight="true" outlineLevel="0" collapsed="false">
      <c r="A219" s="55" t="n">
        <v>210</v>
      </c>
      <c r="B219" s="99" t="n">
        <f aca="false">EDATE(DATA_INICIO,$A219)</f>
        <v>52650</v>
      </c>
      <c r="C219" s="100" t="n">
        <f aca="false">IFERROR(INDEX(Motor!$F$61:$CP$301,$A219+1,($D$5-1)*15+1),0)</f>
        <v>1043081.36991889</v>
      </c>
      <c r="D219" s="100" t="n">
        <f aca="false">IFERROR(INDEX(Motor!$F$61:$CP$301,$A219+1,($D$5-1)*15+4),0)</f>
        <v>9897.58313308154</v>
      </c>
      <c r="E219" s="100" t="n">
        <f aca="false">IFERROR(INDEX(Motor!$F$61:$CP$301,$A219+1,($D$5-1)*15+2),0)</f>
        <v>0</v>
      </c>
      <c r="F219" s="100" t="n">
        <f aca="false">IFERROR(INDEX(Motor!$F$61:$CP$301,$A219+1,($D$5-1)*15+3)+INDEX(Motor!$F$61:$CP$301,$A219+1,($D$5-1)*15+5)+INDEX(Motor!$F$61:$CP$301,$A219+1,($D$5-1)*15+6),0)</f>
        <v>173.846894986481</v>
      </c>
      <c r="G219" s="100" t="n">
        <f aca="false">IFERROR(INDEX(Motor!$F$61:$CP$301,$A219+1,($D$5-1)*15+7),0)</f>
        <v>0</v>
      </c>
      <c r="H219" s="101" t="n">
        <f aca="false">IFERROR(INDEX(Motor!$F$61:$CP$301,$A219+1,($D$5-1)*15+8),0)</f>
        <v>1052805.10615698</v>
      </c>
      <c r="I219" s="100" t="n">
        <f aca="false">IFERROR(INDEX(Motor!$F$61:$CP$301,$A219+1,($D$5-1)*15+12),0)</f>
        <v>135420.765923547</v>
      </c>
      <c r="J219" s="102" t="n">
        <f aca="false">IFERROR(INDEX(Motor!$F$61:$CP$301,$A219+1,($D$5-1)*15+13),0)</f>
        <v>917384.340233435</v>
      </c>
      <c r="K219" s="100" t="n">
        <f aca="false">IFERROR(INDEX(Motor!$F$61:$CP$301,$A219+1,($D$5-1)*15+14),0)</f>
        <v>461814.840268559</v>
      </c>
    </row>
    <row r="220" customFormat="false" ht="12" hidden="false" customHeight="true" outlineLevel="0" collapsed="false">
      <c r="A220" s="55" t="n">
        <v>211</v>
      </c>
      <c r="B220" s="99" t="n">
        <f aca="false">EDATE(DATA_INICIO,$A220)</f>
        <v>52679</v>
      </c>
      <c r="C220" s="100" t="n">
        <f aca="false">IFERROR(INDEX(Motor!$F$61:$CP$301,$A220+1,($D$5-1)*15+1),0)</f>
        <v>1052805.10615698</v>
      </c>
      <c r="D220" s="100" t="n">
        <f aca="false">IFERROR(INDEX(Motor!$F$61:$CP$301,$A220+1,($D$5-1)*15+4),0)</f>
        <v>9989.84965279533</v>
      </c>
      <c r="E220" s="100" t="n">
        <f aca="false">IFERROR(INDEX(Motor!$F$61:$CP$301,$A220+1,($D$5-1)*15+2),0)</f>
        <v>0</v>
      </c>
      <c r="F220" s="100" t="n">
        <f aca="false">IFERROR(INDEX(Motor!$F$61:$CP$301,$A220+1,($D$5-1)*15+3)+INDEX(Motor!$F$61:$CP$301,$A220+1,($D$5-1)*15+5)+INDEX(Motor!$F$61:$CP$301,$A220+1,($D$5-1)*15+6),0)</f>
        <v>175.46751769283</v>
      </c>
      <c r="G220" s="100" t="n">
        <f aca="false">IFERROR(INDEX(Motor!$F$61:$CP$301,$A220+1,($D$5-1)*15+7),0)</f>
        <v>0</v>
      </c>
      <c r="H220" s="101" t="n">
        <f aca="false">IFERROR(INDEX(Motor!$F$61:$CP$301,$A220+1,($D$5-1)*15+8),0)</f>
        <v>1062619.48829209</v>
      </c>
      <c r="I220" s="100" t="n">
        <f aca="false">IFERROR(INDEX(Motor!$F$61:$CP$301,$A220+1,($D$5-1)*15+12),0)</f>
        <v>136892.923243813</v>
      </c>
      <c r="J220" s="102" t="n">
        <f aca="false">IFERROR(INDEX(Motor!$F$61:$CP$301,$A220+1,($D$5-1)*15+13),0)</f>
        <v>925726.565048272</v>
      </c>
      <c r="K220" s="100" t="n">
        <f aca="false">IFERROR(INDEX(Motor!$F$61:$CP$301,$A220+1,($D$5-1)*15+14),0)</f>
        <v>464493.717083844</v>
      </c>
    </row>
    <row r="221" customFormat="false" ht="12" hidden="false" customHeight="true" outlineLevel="0" collapsed="false">
      <c r="A221" s="55" t="n">
        <v>212</v>
      </c>
      <c r="B221" s="99" t="n">
        <f aca="false">EDATE(DATA_INICIO,$A221)</f>
        <v>52710</v>
      </c>
      <c r="C221" s="100" t="n">
        <f aca="false">IFERROR(INDEX(Motor!$F$61:$CP$301,$A221+1,($D$5-1)*15+1),0)</f>
        <v>1062619.48829209</v>
      </c>
      <c r="D221" s="100" t="n">
        <f aca="false">IFERROR(INDEX(Motor!$F$61:$CP$301,$A221+1,($D$5-1)*15+4),0)</f>
        <v>10082.9762926562</v>
      </c>
      <c r="E221" s="100" t="n">
        <f aca="false">IFERROR(INDEX(Motor!$F$61:$CP$301,$A221+1,($D$5-1)*15+2),0)</f>
        <v>0</v>
      </c>
      <c r="F221" s="100" t="n">
        <f aca="false">IFERROR(INDEX(Motor!$F$61:$CP$301,$A221+1,($D$5-1)*15+3)+INDEX(Motor!$F$61:$CP$301,$A221+1,($D$5-1)*15+5)+INDEX(Motor!$F$61:$CP$301,$A221+1,($D$5-1)*15+6),0)</f>
        <v>177.103248048681</v>
      </c>
      <c r="G221" s="100" t="n">
        <f aca="false">IFERROR(INDEX(Motor!$F$61:$CP$301,$A221+1,($D$5-1)*15+7),0)</f>
        <v>0</v>
      </c>
      <c r="H221" s="101" t="n">
        <f aca="false">IFERROR(INDEX(Motor!$F$61:$CP$301,$A221+1,($D$5-1)*15+8),0)</f>
        <v>1072525.36133669</v>
      </c>
      <c r="I221" s="100" t="n">
        <f aca="false">IFERROR(INDEX(Motor!$F$61:$CP$301,$A221+1,($D$5-1)*15+12),0)</f>
        <v>138378.804200504</v>
      </c>
      <c r="J221" s="102" t="n">
        <f aca="false">IFERROR(INDEX(Motor!$F$61:$CP$301,$A221+1,($D$5-1)*15+13),0)</f>
        <v>934146.557136189</v>
      </c>
      <c r="K221" s="100" t="n">
        <f aca="false">IFERROR(INDEX(Motor!$F$61:$CP$301,$A221+1,($D$5-1)*15+14),0)</f>
        <v>467189.087325575</v>
      </c>
    </row>
    <row r="222" customFormat="false" ht="12" hidden="false" customHeight="true" outlineLevel="0" collapsed="false">
      <c r="A222" s="55" t="n">
        <v>213</v>
      </c>
      <c r="B222" s="99" t="n">
        <f aca="false">EDATE(DATA_INICIO,$A222)</f>
        <v>52740</v>
      </c>
      <c r="C222" s="100" t="n">
        <f aca="false">IFERROR(INDEX(Motor!$F$61:$CP$301,$A222+1,($D$5-1)*15+1),0)</f>
        <v>1072525.36133669</v>
      </c>
      <c r="D222" s="100" t="n">
        <f aca="false">IFERROR(INDEX(Motor!$F$61:$CP$301,$A222+1,($D$5-1)*15+4),0)</f>
        <v>10176.9710708127</v>
      </c>
      <c r="E222" s="100" t="n">
        <f aca="false">IFERROR(INDEX(Motor!$F$61:$CP$301,$A222+1,($D$5-1)*15+2),0)</f>
        <v>0</v>
      </c>
      <c r="F222" s="100" t="n">
        <f aca="false">IFERROR(INDEX(Motor!$F$61:$CP$301,$A222+1,($D$5-1)*15+3)+INDEX(Motor!$F$61:$CP$301,$A222+1,($D$5-1)*15+5)+INDEX(Motor!$F$61:$CP$301,$A222+1,($D$5-1)*15+6),0)</f>
        <v>178.754226889449</v>
      </c>
      <c r="G222" s="100" t="n">
        <f aca="false">IFERROR(INDEX(Motor!$F$61:$CP$301,$A222+1,($D$5-1)*15+7),0)</f>
        <v>0</v>
      </c>
      <c r="H222" s="101" t="n">
        <f aca="false">IFERROR(INDEX(Motor!$F$61:$CP$301,$A222+1,($D$5-1)*15+8),0)</f>
        <v>1082523.57818062</v>
      </c>
      <c r="I222" s="100" t="n">
        <f aca="false">IFERROR(INDEX(Motor!$F$61:$CP$301,$A222+1,($D$5-1)*15+12),0)</f>
        <v>139878.536727092</v>
      </c>
      <c r="J222" s="102" t="n">
        <f aca="false">IFERROR(INDEX(Motor!$F$61:$CP$301,$A222+1,($D$5-1)*15+13),0)</f>
        <v>942645.041453524</v>
      </c>
      <c r="K222" s="100" t="n">
        <f aca="false">IFERROR(INDEX(Motor!$F$61:$CP$301,$A222+1,($D$5-1)*15+14),0)</f>
        <v>469901.049306265</v>
      </c>
    </row>
    <row r="223" customFormat="false" ht="12" hidden="false" customHeight="true" outlineLevel="0" collapsed="false">
      <c r="A223" s="55" t="n">
        <v>214</v>
      </c>
      <c r="B223" s="99" t="n">
        <f aca="false">EDATE(DATA_INICIO,$A223)</f>
        <v>52771</v>
      </c>
      <c r="C223" s="100" t="n">
        <f aca="false">IFERROR(INDEX(Motor!$F$61:$CP$301,$A223+1,($D$5-1)*15+1),0)</f>
        <v>1082523.57818062</v>
      </c>
      <c r="D223" s="100" t="n">
        <f aca="false">IFERROR(INDEX(Motor!$F$61:$CP$301,$A223+1,($D$5-1)*15+4),0)</f>
        <v>10271.8420801598</v>
      </c>
      <c r="E223" s="100" t="n">
        <f aca="false">IFERROR(INDEX(Motor!$F$61:$CP$301,$A223+1,($D$5-1)*15+2),0)</f>
        <v>0</v>
      </c>
      <c r="F223" s="100" t="n">
        <f aca="false">IFERROR(INDEX(Motor!$F$61:$CP$301,$A223+1,($D$5-1)*15+3)+INDEX(Motor!$F$61:$CP$301,$A223+1,($D$5-1)*15+5)+INDEX(Motor!$F$61:$CP$301,$A223+1,($D$5-1)*15+6),0)</f>
        <v>180.420596363436</v>
      </c>
      <c r="G223" s="100" t="n">
        <f aca="false">IFERROR(INDEX(Motor!$F$61:$CP$301,$A223+1,($D$5-1)*15+7),0)</f>
        <v>0</v>
      </c>
      <c r="H223" s="101" t="n">
        <f aca="false">IFERROR(INDEX(Motor!$F$61:$CP$301,$A223+1,($D$5-1)*15+8),0)</f>
        <v>1092614.99966441</v>
      </c>
      <c r="I223" s="100" t="n">
        <f aca="false">IFERROR(INDEX(Motor!$F$61:$CP$301,$A223+1,($D$5-1)*15+12),0)</f>
        <v>141392.249949662</v>
      </c>
      <c r="J223" s="102" t="n">
        <f aca="false">IFERROR(INDEX(Motor!$F$61:$CP$301,$A223+1,($D$5-1)*15+13),0)</f>
        <v>951222.749714751</v>
      </c>
      <c r="K223" s="100" t="n">
        <f aca="false">IFERROR(INDEX(Motor!$F$61:$CP$301,$A223+1,($D$5-1)*15+14),0)</f>
        <v>472629.701934782</v>
      </c>
    </row>
    <row r="224" customFormat="false" ht="12" hidden="false" customHeight="true" outlineLevel="0" collapsed="false">
      <c r="A224" s="55" t="n">
        <v>215</v>
      </c>
      <c r="B224" s="99" t="n">
        <f aca="false">EDATE(DATA_INICIO,$A224)</f>
        <v>52801</v>
      </c>
      <c r="C224" s="100" t="n">
        <f aca="false">IFERROR(INDEX(Motor!$F$61:$CP$301,$A224+1,($D$5-1)*15+1),0)</f>
        <v>1092614.99966441</v>
      </c>
      <c r="D224" s="100" t="n">
        <f aca="false">IFERROR(INDEX(Motor!$F$61:$CP$301,$A224+1,($D$5-1)*15+4),0)</f>
        <v>10367.5974890351</v>
      </c>
      <c r="E224" s="100" t="n">
        <f aca="false">IFERROR(INDEX(Motor!$F$61:$CP$301,$A224+1,($D$5-1)*15+2),0)</f>
        <v>0</v>
      </c>
      <c r="F224" s="100" t="n">
        <f aca="false">IFERROR(INDEX(Motor!$F$61:$CP$301,$A224+1,($D$5-1)*15+3)+INDEX(Motor!$F$61:$CP$301,$A224+1,($D$5-1)*15+5)+INDEX(Motor!$F$61:$CP$301,$A224+1,($D$5-1)*15+6),0)</f>
        <v>182.102499944069</v>
      </c>
      <c r="G224" s="100" t="n">
        <f aca="false">IFERROR(INDEX(Motor!$F$61:$CP$301,$A224+1,($D$5-1)*15+7),0)</f>
        <v>0</v>
      </c>
      <c r="H224" s="101" t="n">
        <f aca="false">IFERROR(INDEX(Motor!$F$61:$CP$301,$A224+1,($D$5-1)*15+8),0)</f>
        <v>1102800.4946535</v>
      </c>
      <c r="I224" s="100" t="n">
        <f aca="false">IFERROR(INDEX(Motor!$F$61:$CP$301,$A224+1,($D$5-1)*15+12),0)</f>
        <v>142920.074198026</v>
      </c>
      <c r="J224" s="102" t="n">
        <f aca="false">IFERROR(INDEX(Motor!$F$61:$CP$301,$A224+1,($D$5-1)*15+13),0)</f>
        <v>959880.420455478</v>
      </c>
      <c r="K224" s="100" t="n">
        <f aca="false">IFERROR(INDEX(Motor!$F$61:$CP$301,$A224+1,($D$5-1)*15+14),0)</f>
        <v>475375.144719921</v>
      </c>
    </row>
    <row r="225" customFormat="false" ht="12" hidden="false" customHeight="true" outlineLevel="0" collapsed="false">
      <c r="A225" s="55" t="n">
        <v>216</v>
      </c>
      <c r="B225" s="99" t="n">
        <f aca="false">EDATE(DATA_INICIO,$A225)</f>
        <v>52832</v>
      </c>
      <c r="C225" s="100" t="n">
        <f aca="false">IFERROR(INDEX(Motor!$F$61:$CP$301,$A225+1,($D$5-1)*15+1),0)</f>
        <v>1102800.4946535</v>
      </c>
      <c r="D225" s="100" t="n">
        <f aca="false">IFERROR(INDEX(Motor!$F$61:$CP$301,$A225+1,($D$5-1)*15+4),0)</f>
        <v>10464.2455419229</v>
      </c>
      <c r="E225" s="100" t="n">
        <f aca="false">IFERROR(INDEX(Motor!$F$61:$CP$301,$A225+1,($D$5-1)*15+2),0)</f>
        <v>0</v>
      </c>
      <c r="F225" s="100" t="n">
        <f aca="false">IFERROR(INDEX(Motor!$F$61:$CP$301,$A225+1,($D$5-1)*15+3)+INDEX(Motor!$F$61:$CP$301,$A225+1,($D$5-1)*15+5)+INDEX(Motor!$F$61:$CP$301,$A225+1,($D$5-1)*15+6),0)</f>
        <v>183.800082442251</v>
      </c>
      <c r="G225" s="100" t="n">
        <f aca="false">IFERROR(INDEX(Motor!$F$61:$CP$301,$A225+1,($D$5-1)*15+7),0)</f>
        <v>0</v>
      </c>
      <c r="H225" s="101" t="n">
        <f aca="false">IFERROR(INDEX(Motor!$F$61:$CP$301,$A225+1,($D$5-1)*15+8),0)</f>
        <v>1113080.94011298</v>
      </c>
      <c r="I225" s="100" t="n">
        <f aca="false">IFERROR(INDEX(Motor!$F$61:$CP$301,$A225+1,($D$5-1)*15+12),0)</f>
        <v>144462.141016948</v>
      </c>
      <c r="J225" s="102" t="n">
        <f aca="false">IFERROR(INDEX(Motor!$F$61:$CP$301,$A225+1,($D$5-1)*15+13),0)</f>
        <v>968618.799096036</v>
      </c>
      <c r="K225" s="100" t="n">
        <f aca="false">IFERROR(INDEX(Motor!$F$61:$CP$301,$A225+1,($D$5-1)*15+14),0)</f>
        <v>478137.477774015</v>
      </c>
    </row>
    <row r="226" customFormat="false" ht="12" hidden="false" customHeight="true" outlineLevel="0" collapsed="false">
      <c r="A226" s="55" t="n">
        <v>217</v>
      </c>
      <c r="B226" s="99" t="n">
        <f aca="false">EDATE(DATA_INICIO,$A226)</f>
        <v>52863</v>
      </c>
      <c r="C226" s="100" t="n">
        <f aca="false">IFERROR(INDEX(Motor!$F$61:$CP$301,$A226+1,($D$5-1)*15+1),0)</f>
        <v>1113080.94011298</v>
      </c>
      <c r="D226" s="100" t="n">
        <f aca="false">IFERROR(INDEX(Motor!$F$61:$CP$301,$A226+1,($D$5-1)*15+4),0)</f>
        <v>10561.7945601631</v>
      </c>
      <c r="E226" s="100" t="n">
        <f aca="false">IFERROR(INDEX(Motor!$F$61:$CP$301,$A226+1,($D$5-1)*15+2),0)</f>
        <v>0</v>
      </c>
      <c r="F226" s="100" t="n">
        <f aca="false">IFERROR(INDEX(Motor!$F$61:$CP$301,$A226+1,($D$5-1)*15+3)+INDEX(Motor!$F$61:$CP$301,$A226+1,($D$5-1)*15+5)+INDEX(Motor!$F$61:$CP$301,$A226+1,($D$5-1)*15+6),0)</f>
        <v>185.513490018831</v>
      </c>
      <c r="G226" s="100" t="n">
        <f aca="false">IFERROR(INDEX(Motor!$F$61:$CP$301,$A226+1,($D$5-1)*15+7),0)</f>
        <v>0</v>
      </c>
      <c r="H226" s="101" t="n">
        <f aca="false">IFERROR(INDEX(Motor!$F$61:$CP$301,$A226+1,($D$5-1)*15+8),0)</f>
        <v>1123457.22118313</v>
      </c>
      <c r="I226" s="100" t="n">
        <f aca="false">IFERROR(INDEX(Motor!$F$61:$CP$301,$A226+1,($D$5-1)*15+12),0)</f>
        <v>146018.583177469</v>
      </c>
      <c r="J226" s="102" t="n">
        <f aca="false">IFERROR(INDEX(Motor!$F$61:$CP$301,$A226+1,($D$5-1)*15+13),0)</f>
        <v>977438.638005659</v>
      </c>
      <c r="K226" s="100" t="n">
        <f aca="false">IFERROR(INDEX(Motor!$F$61:$CP$301,$A226+1,($D$5-1)*15+14),0)</f>
        <v>480916.80181656</v>
      </c>
    </row>
    <row r="227" customFormat="false" ht="12" hidden="false" customHeight="true" outlineLevel="0" collapsed="false">
      <c r="A227" s="55" t="n">
        <v>218</v>
      </c>
      <c r="B227" s="99" t="n">
        <f aca="false">EDATE(DATA_INICIO,$A227)</f>
        <v>52893</v>
      </c>
      <c r="C227" s="100" t="n">
        <f aca="false">IFERROR(INDEX(Motor!$F$61:$CP$301,$A227+1,($D$5-1)*15+1),0)</f>
        <v>1123457.22118313</v>
      </c>
      <c r="D227" s="100" t="n">
        <f aca="false">IFERROR(INDEX(Motor!$F$61:$CP$301,$A227+1,($D$5-1)*15+4),0)</f>
        <v>10660.2529426688</v>
      </c>
      <c r="E227" s="100" t="n">
        <f aca="false">IFERROR(INDEX(Motor!$F$61:$CP$301,$A227+1,($D$5-1)*15+2),0)</f>
        <v>0</v>
      </c>
      <c r="F227" s="100" t="n">
        <f aca="false">IFERROR(INDEX(Motor!$F$61:$CP$301,$A227+1,($D$5-1)*15+3)+INDEX(Motor!$F$61:$CP$301,$A227+1,($D$5-1)*15+5)+INDEX(Motor!$F$61:$CP$301,$A227+1,($D$5-1)*15+6),0)</f>
        <v>187.242870197188</v>
      </c>
      <c r="G227" s="100" t="n">
        <f aca="false">IFERROR(INDEX(Motor!$F$61:$CP$301,$A227+1,($D$5-1)*15+7),0)</f>
        <v>0</v>
      </c>
      <c r="H227" s="101" t="n">
        <f aca="false">IFERROR(INDEX(Motor!$F$61:$CP$301,$A227+1,($D$5-1)*15+8),0)</f>
        <v>1133930.2312556</v>
      </c>
      <c r="I227" s="100" t="n">
        <f aca="false">IFERROR(INDEX(Motor!$F$61:$CP$301,$A227+1,($D$5-1)*15+12),0)</f>
        <v>147589.53468834</v>
      </c>
      <c r="J227" s="102" t="n">
        <f aca="false">IFERROR(INDEX(Motor!$F$61:$CP$301,$A227+1,($D$5-1)*15+13),0)</f>
        <v>986340.69656726</v>
      </c>
      <c r="K227" s="100" t="n">
        <f aca="false">IFERROR(INDEX(Motor!$F$61:$CP$301,$A227+1,($D$5-1)*15+14),0)</f>
        <v>483713.218177863</v>
      </c>
    </row>
    <row r="228" customFormat="false" ht="12" hidden="false" customHeight="true" outlineLevel="0" collapsed="false">
      <c r="A228" s="55" t="n">
        <v>219</v>
      </c>
      <c r="B228" s="99" t="n">
        <f aca="false">EDATE(DATA_INICIO,$A228)</f>
        <v>52924</v>
      </c>
      <c r="C228" s="100" t="n">
        <f aca="false">IFERROR(INDEX(Motor!$F$61:$CP$301,$A228+1,($D$5-1)*15+1),0)</f>
        <v>1133930.2312556</v>
      </c>
      <c r="D228" s="100" t="n">
        <f aca="false">IFERROR(INDEX(Motor!$F$61:$CP$301,$A228+1,($D$5-1)*15+4),0)</f>
        <v>10759.6291666483</v>
      </c>
      <c r="E228" s="100" t="n">
        <f aca="false">IFERROR(INDEX(Motor!$F$61:$CP$301,$A228+1,($D$5-1)*15+2),0)</f>
        <v>0</v>
      </c>
      <c r="F228" s="100" t="n">
        <f aca="false">IFERROR(INDEX(Motor!$F$61:$CP$301,$A228+1,($D$5-1)*15+3)+INDEX(Motor!$F$61:$CP$301,$A228+1,($D$5-1)*15+5)+INDEX(Motor!$F$61:$CP$301,$A228+1,($D$5-1)*15+6),0)</f>
        <v>188.988371875933</v>
      </c>
      <c r="G228" s="100" t="n">
        <f aca="false">IFERROR(INDEX(Motor!$F$61:$CP$301,$A228+1,($D$5-1)*15+7),0)</f>
        <v>0</v>
      </c>
      <c r="H228" s="101" t="n">
        <f aca="false">IFERROR(INDEX(Motor!$F$61:$CP$301,$A228+1,($D$5-1)*15+8),0)</f>
        <v>1144500.87205037</v>
      </c>
      <c r="I228" s="100" t="n">
        <f aca="false">IFERROR(INDEX(Motor!$F$61:$CP$301,$A228+1,($D$5-1)*15+12),0)</f>
        <v>149175.130807556</v>
      </c>
      <c r="J228" s="102" t="n">
        <f aca="false">IFERROR(INDEX(Motor!$F$61:$CP$301,$A228+1,($D$5-1)*15+13),0)</f>
        <v>995325.741242816</v>
      </c>
      <c r="K228" s="100" t="n">
        <f aca="false">IFERROR(INDEX(Motor!$F$61:$CP$301,$A228+1,($D$5-1)*15+14),0)</f>
        <v>486526.828802715</v>
      </c>
    </row>
    <row r="229" customFormat="false" ht="12" hidden="false" customHeight="true" outlineLevel="0" collapsed="false">
      <c r="A229" s="55" t="n">
        <v>220</v>
      </c>
      <c r="B229" s="99" t="n">
        <f aca="false">EDATE(DATA_INICIO,$A229)</f>
        <v>52954</v>
      </c>
      <c r="C229" s="100" t="n">
        <f aca="false">IFERROR(INDEX(Motor!$F$61:$CP$301,$A229+1,($D$5-1)*15+1),0)</f>
        <v>1144500.87205037</v>
      </c>
      <c r="D229" s="100" t="n">
        <f aca="false">IFERROR(INDEX(Motor!$F$61:$CP$301,$A229+1,($D$5-1)*15+4),0)</f>
        <v>10859.9317883357</v>
      </c>
      <c r="E229" s="100" t="n">
        <f aca="false">IFERROR(INDEX(Motor!$F$61:$CP$301,$A229+1,($D$5-1)*15+2),0)</f>
        <v>0</v>
      </c>
      <c r="F229" s="100" t="n">
        <f aca="false">IFERROR(INDEX(Motor!$F$61:$CP$301,$A229+1,($D$5-1)*15+3)+INDEX(Motor!$F$61:$CP$301,$A229+1,($D$5-1)*15+5)+INDEX(Motor!$F$61:$CP$301,$A229+1,($D$5-1)*15+6),0)</f>
        <v>190.750145341729</v>
      </c>
      <c r="G229" s="100" t="n">
        <f aca="false">IFERROR(INDEX(Motor!$F$61:$CP$301,$A229+1,($D$5-1)*15+7),0)</f>
        <v>0</v>
      </c>
      <c r="H229" s="101" t="n">
        <f aca="false">IFERROR(INDEX(Motor!$F$61:$CP$301,$A229+1,($D$5-1)*15+8),0)</f>
        <v>1155170.05369337</v>
      </c>
      <c r="I229" s="100" t="n">
        <f aca="false">IFERROR(INDEX(Motor!$F$61:$CP$301,$A229+1,($D$5-1)*15+12),0)</f>
        <v>150775.508054005</v>
      </c>
      <c r="J229" s="102" t="n">
        <f aca="false">IFERROR(INDEX(Motor!$F$61:$CP$301,$A229+1,($D$5-1)*15+13),0)</f>
        <v>1004394.54563936</v>
      </c>
      <c r="K229" s="100" t="n">
        <f aca="false">IFERROR(INDEX(Motor!$F$61:$CP$301,$A229+1,($D$5-1)*15+14),0)</f>
        <v>489357.736254079</v>
      </c>
    </row>
    <row r="230" customFormat="false" ht="12" hidden="false" customHeight="true" outlineLevel="0" collapsed="false">
      <c r="A230" s="55" t="n">
        <v>221</v>
      </c>
      <c r="B230" s="99" t="n">
        <f aca="false">EDATE(DATA_INICIO,$A230)</f>
        <v>52985</v>
      </c>
      <c r="C230" s="100" t="n">
        <f aca="false">IFERROR(INDEX(Motor!$F$61:$CP$301,$A230+1,($D$5-1)*15+1),0)</f>
        <v>1155170.05369337</v>
      </c>
      <c r="D230" s="100" t="n">
        <f aca="false">IFERROR(INDEX(Motor!$F$61:$CP$301,$A230+1,($D$5-1)*15+4),0)</f>
        <v>10961.1694437275</v>
      </c>
      <c r="E230" s="100" t="n">
        <f aca="false">IFERROR(INDEX(Motor!$F$61:$CP$301,$A230+1,($D$5-1)*15+2),0)</f>
        <v>0</v>
      </c>
      <c r="F230" s="100" t="n">
        <f aca="false">IFERROR(INDEX(Motor!$F$61:$CP$301,$A230+1,($D$5-1)*15+3)+INDEX(Motor!$F$61:$CP$301,$A230+1,($D$5-1)*15+5)+INDEX(Motor!$F$61:$CP$301,$A230+1,($D$5-1)*15+6),0)</f>
        <v>192.528342282228</v>
      </c>
      <c r="G230" s="100" t="n">
        <f aca="false">IFERROR(INDEX(Motor!$F$61:$CP$301,$A230+1,($D$5-1)*15+7),0)</f>
        <v>0</v>
      </c>
      <c r="H230" s="101" t="n">
        <f aca="false">IFERROR(INDEX(Motor!$F$61:$CP$301,$A230+1,($D$5-1)*15+8),0)</f>
        <v>1165938.69479481</v>
      </c>
      <c r="I230" s="100" t="n">
        <f aca="false">IFERROR(INDEX(Motor!$F$61:$CP$301,$A230+1,($D$5-1)*15+12),0)</f>
        <v>152390.804219222</v>
      </c>
      <c r="J230" s="102" t="n">
        <f aca="false">IFERROR(INDEX(Motor!$F$61:$CP$301,$A230+1,($D$5-1)*15+13),0)</f>
        <v>1013547.89057559</v>
      </c>
      <c r="K230" s="100" t="n">
        <f aca="false">IFERROR(INDEX(Motor!$F$61:$CP$301,$A230+1,($D$5-1)*15+14),0)</f>
        <v>492206.043716811</v>
      </c>
    </row>
    <row r="231" customFormat="false" ht="12" hidden="false" customHeight="true" outlineLevel="0" collapsed="false">
      <c r="A231" s="55" t="n">
        <v>222</v>
      </c>
      <c r="B231" s="99" t="n">
        <f aca="false">EDATE(DATA_INICIO,$A231)</f>
        <v>53016</v>
      </c>
      <c r="C231" s="100" t="n">
        <f aca="false">IFERROR(INDEX(Motor!$F$61:$CP$301,$A231+1,($D$5-1)*15+1),0)</f>
        <v>1165938.69479481</v>
      </c>
      <c r="D231" s="100" t="n">
        <f aca="false">IFERROR(INDEX(Motor!$F$61:$CP$301,$A231+1,($D$5-1)*15+4),0)</f>
        <v>11063.350849326</v>
      </c>
      <c r="E231" s="100" t="n">
        <f aca="false">IFERROR(INDEX(Motor!$F$61:$CP$301,$A231+1,($D$5-1)*15+2),0)</f>
        <v>0</v>
      </c>
      <c r="F231" s="100" t="n">
        <f aca="false">IFERROR(INDEX(Motor!$F$61:$CP$301,$A231+1,($D$5-1)*15+3)+INDEX(Motor!$F$61:$CP$301,$A231+1,($D$5-1)*15+5)+INDEX(Motor!$F$61:$CP$301,$A231+1,($D$5-1)*15+6),0)</f>
        <v>194.323115799135</v>
      </c>
      <c r="G231" s="100" t="n">
        <f aca="false">IFERROR(INDEX(Motor!$F$61:$CP$301,$A231+1,($D$5-1)*15+7),0)</f>
        <v>0</v>
      </c>
      <c r="H231" s="101" t="n">
        <f aca="false">IFERROR(INDEX(Motor!$F$61:$CP$301,$A231+1,($D$5-1)*15+8),0)</f>
        <v>1176807.72252834</v>
      </c>
      <c r="I231" s="100" t="n">
        <f aca="false">IFERROR(INDEX(Motor!$F$61:$CP$301,$A231+1,($D$5-1)*15+12),0)</f>
        <v>154021.158379251</v>
      </c>
      <c r="J231" s="102" t="n">
        <f aca="false">IFERROR(INDEX(Motor!$F$61:$CP$301,$A231+1,($D$5-1)*15+13),0)</f>
        <v>1022786.56414909</v>
      </c>
      <c r="K231" s="100" t="n">
        <f aca="false">IFERROR(INDEX(Motor!$F$61:$CP$301,$A231+1,($D$5-1)*15+14),0)</f>
        <v>495071.855001393</v>
      </c>
    </row>
    <row r="232" customFormat="false" ht="12" hidden="false" customHeight="true" outlineLevel="0" collapsed="false">
      <c r="A232" s="55" t="n">
        <v>223</v>
      </c>
      <c r="B232" s="99" t="n">
        <f aca="false">EDATE(DATA_INICIO,$A232)</f>
        <v>53044</v>
      </c>
      <c r="C232" s="100" t="n">
        <f aca="false">IFERROR(INDEX(Motor!$F$61:$CP$301,$A232+1,($D$5-1)*15+1),0)</f>
        <v>1176807.72252834</v>
      </c>
      <c r="D232" s="100" t="n">
        <f aca="false">IFERROR(INDEX(Motor!$F$61:$CP$301,$A232+1,($D$5-1)*15+4),0)</f>
        <v>11166.4848028897</v>
      </c>
      <c r="E232" s="100" t="n">
        <f aca="false">IFERROR(INDEX(Motor!$F$61:$CP$301,$A232+1,($D$5-1)*15+2),0)</f>
        <v>0</v>
      </c>
      <c r="F232" s="100" t="n">
        <f aca="false">IFERROR(INDEX(Motor!$F$61:$CP$301,$A232+1,($D$5-1)*15+3)+INDEX(Motor!$F$61:$CP$301,$A232+1,($D$5-1)*15+5)+INDEX(Motor!$F$61:$CP$301,$A232+1,($D$5-1)*15+6),0)</f>
        <v>196.13462042139</v>
      </c>
      <c r="G232" s="100" t="n">
        <f aca="false">IFERROR(INDEX(Motor!$F$61:$CP$301,$A232+1,($D$5-1)*15+7),0)</f>
        <v>0</v>
      </c>
      <c r="H232" s="101" t="n">
        <f aca="false">IFERROR(INDEX(Motor!$F$61:$CP$301,$A232+1,($D$5-1)*15+8),0)</f>
        <v>1187778.07271081</v>
      </c>
      <c r="I232" s="100" t="n">
        <f aca="false">IFERROR(INDEX(Motor!$F$61:$CP$301,$A232+1,($D$5-1)*15+12),0)</f>
        <v>155666.710906621</v>
      </c>
      <c r="J232" s="102" t="n">
        <f aca="false">IFERROR(INDEX(Motor!$F$61:$CP$301,$A232+1,($D$5-1)*15+13),0)</f>
        <v>1032111.36180419</v>
      </c>
      <c r="K232" s="100" t="n">
        <f aca="false">IFERROR(INDEX(Motor!$F$61:$CP$301,$A232+1,($D$5-1)*15+14),0)</f>
        <v>497955.274547694</v>
      </c>
    </row>
    <row r="233" customFormat="false" ht="12" hidden="false" customHeight="true" outlineLevel="0" collapsed="false">
      <c r="A233" s="55" t="n">
        <v>224</v>
      </c>
      <c r="B233" s="99" t="n">
        <f aca="false">EDATE(DATA_INICIO,$A233)</f>
        <v>53075</v>
      </c>
      <c r="C233" s="100" t="n">
        <f aca="false">IFERROR(INDEX(Motor!$F$61:$CP$301,$A233+1,($D$5-1)*15+1),0)</f>
        <v>1187778.07271081</v>
      </c>
      <c r="D233" s="100" t="n">
        <f aca="false">IFERROR(INDEX(Motor!$F$61:$CP$301,$A233+1,($D$5-1)*15+4),0)</f>
        <v>11270.580184191</v>
      </c>
      <c r="E233" s="100" t="n">
        <f aca="false">IFERROR(INDEX(Motor!$F$61:$CP$301,$A233+1,($D$5-1)*15+2),0)</f>
        <v>0</v>
      </c>
      <c r="F233" s="100" t="n">
        <f aca="false">IFERROR(INDEX(Motor!$F$61:$CP$301,$A233+1,($D$5-1)*15+3)+INDEX(Motor!$F$61:$CP$301,$A233+1,($D$5-1)*15+5)+INDEX(Motor!$F$61:$CP$301,$A233+1,($D$5-1)*15+6),0)</f>
        <v>197.963012118468</v>
      </c>
      <c r="G233" s="100" t="n">
        <f aca="false">IFERROR(INDEX(Motor!$F$61:$CP$301,$A233+1,($D$5-1)*15+7),0)</f>
        <v>0</v>
      </c>
      <c r="H233" s="101" t="n">
        <f aca="false">IFERROR(INDEX(Motor!$F$61:$CP$301,$A233+1,($D$5-1)*15+8),0)</f>
        <v>1198850.68988288</v>
      </c>
      <c r="I233" s="100" t="n">
        <f aca="false">IFERROR(INDEX(Motor!$F$61:$CP$301,$A233+1,($D$5-1)*15+12),0)</f>
        <v>157327.603482432</v>
      </c>
      <c r="J233" s="102" t="n">
        <f aca="false">IFERROR(INDEX(Motor!$F$61:$CP$301,$A233+1,($D$5-1)*15+13),0)</f>
        <v>1041523.08640045</v>
      </c>
      <c r="K233" s="100" t="n">
        <f aca="false">IFERROR(INDEX(Motor!$F$61:$CP$301,$A233+1,($D$5-1)*15+14),0)</f>
        <v>500856.407428757</v>
      </c>
    </row>
    <row r="234" customFormat="false" ht="12" hidden="false" customHeight="true" outlineLevel="0" collapsed="false">
      <c r="A234" s="55" t="n">
        <v>225</v>
      </c>
      <c r="B234" s="99" t="n">
        <f aca="false">EDATE(DATA_INICIO,$A234)</f>
        <v>53105</v>
      </c>
      <c r="C234" s="100" t="n">
        <f aca="false">IFERROR(INDEX(Motor!$F$61:$CP$301,$A234+1,($D$5-1)*15+1),0)</f>
        <v>1198850.68988288</v>
      </c>
      <c r="D234" s="100" t="n">
        <f aca="false">IFERROR(INDEX(Motor!$F$61:$CP$301,$A234+1,($D$5-1)*15+4),0)</f>
        <v>11375.6459557807</v>
      </c>
      <c r="E234" s="100" t="n">
        <f aca="false">IFERROR(INDEX(Motor!$F$61:$CP$301,$A234+1,($D$5-1)*15+2),0)</f>
        <v>0</v>
      </c>
      <c r="F234" s="100" t="n">
        <f aca="false">IFERROR(INDEX(Motor!$F$61:$CP$301,$A234+1,($D$5-1)*15+3)+INDEX(Motor!$F$61:$CP$301,$A234+1,($D$5-1)*15+5)+INDEX(Motor!$F$61:$CP$301,$A234+1,($D$5-1)*15+6),0)</f>
        <v>199.808448313813</v>
      </c>
      <c r="G234" s="100" t="n">
        <f aca="false">IFERROR(INDEX(Motor!$F$61:$CP$301,$A234+1,($D$5-1)*15+7),0)</f>
        <v>0</v>
      </c>
      <c r="H234" s="101" t="n">
        <f aca="false">IFERROR(INDEX(Motor!$F$61:$CP$301,$A234+1,($D$5-1)*15+8),0)</f>
        <v>1210026.52739035</v>
      </c>
      <c r="I234" s="100" t="n">
        <f aca="false">IFERROR(INDEX(Motor!$F$61:$CP$301,$A234+1,($D$5-1)*15+12),0)</f>
        <v>159003.979108552</v>
      </c>
      <c r="J234" s="102" t="n">
        <f aca="false">IFERROR(INDEX(Motor!$F$61:$CP$301,$A234+1,($D$5-1)*15+13),0)</f>
        <v>1051022.54828179</v>
      </c>
      <c r="K234" s="100" t="n">
        <f aca="false">IFERROR(INDEX(Motor!$F$61:$CP$301,$A234+1,($D$5-1)*15+14),0)</f>
        <v>503775.359354596</v>
      </c>
    </row>
    <row r="235" customFormat="false" ht="12" hidden="false" customHeight="true" outlineLevel="0" collapsed="false">
      <c r="A235" s="55" t="n">
        <v>226</v>
      </c>
      <c r="B235" s="99" t="n">
        <f aca="false">EDATE(DATA_INICIO,$A235)</f>
        <v>53136</v>
      </c>
      <c r="C235" s="100" t="n">
        <f aca="false">IFERROR(INDEX(Motor!$F$61:$CP$301,$A235+1,($D$5-1)*15+1),0)</f>
        <v>1210026.52739035</v>
      </c>
      <c r="D235" s="100" t="n">
        <f aca="false">IFERROR(INDEX(Motor!$F$61:$CP$301,$A235+1,($D$5-1)*15+4),0)</f>
        <v>11481.6911637596</v>
      </c>
      <c r="E235" s="100" t="n">
        <f aca="false">IFERROR(INDEX(Motor!$F$61:$CP$301,$A235+1,($D$5-1)*15+2),0)</f>
        <v>0</v>
      </c>
      <c r="F235" s="100" t="n">
        <f aca="false">IFERROR(INDEX(Motor!$F$61:$CP$301,$A235+1,($D$5-1)*15+3)+INDEX(Motor!$F$61:$CP$301,$A235+1,($D$5-1)*15+5)+INDEX(Motor!$F$61:$CP$301,$A235+1,($D$5-1)*15+6),0)</f>
        <v>201.671087898391</v>
      </c>
      <c r="G235" s="100" t="n">
        <f aca="false">IFERROR(INDEX(Motor!$F$61:$CP$301,$A235+1,($D$5-1)*15+7),0)</f>
        <v>0</v>
      </c>
      <c r="H235" s="101" t="n">
        <f aca="false">IFERROR(INDEX(Motor!$F$61:$CP$301,$A235+1,($D$5-1)*15+8),0)</f>
        <v>1221306.54746621</v>
      </c>
      <c r="I235" s="100" t="n">
        <f aca="false">IFERROR(INDEX(Motor!$F$61:$CP$301,$A235+1,($D$5-1)*15+12),0)</f>
        <v>160695.982119931</v>
      </c>
      <c r="J235" s="102" t="n">
        <f aca="false">IFERROR(INDEX(Motor!$F$61:$CP$301,$A235+1,($D$5-1)*15+13),0)</f>
        <v>1060610.56534628</v>
      </c>
      <c r="K235" s="100" t="n">
        <f aca="false">IFERROR(INDEX(Motor!$F$61:$CP$301,$A235+1,($D$5-1)*15+14),0)</f>
        <v>506712.236676034</v>
      </c>
    </row>
    <row r="236" customFormat="false" ht="12" hidden="false" customHeight="true" outlineLevel="0" collapsed="false">
      <c r="A236" s="55" t="n">
        <v>227</v>
      </c>
      <c r="B236" s="99" t="n">
        <f aca="false">EDATE(DATA_INICIO,$A236)</f>
        <v>53166</v>
      </c>
      <c r="C236" s="100" t="n">
        <f aca="false">IFERROR(INDEX(Motor!$F$61:$CP$301,$A236+1,($D$5-1)*15+1),0)</f>
        <v>1221306.54746621</v>
      </c>
      <c r="D236" s="100" t="n">
        <f aca="false">IFERROR(INDEX(Motor!$F$61:$CP$301,$A236+1,($D$5-1)*15+4),0)</f>
        <v>11588.7249385574</v>
      </c>
      <c r="E236" s="100" t="n">
        <f aca="false">IFERROR(INDEX(Motor!$F$61:$CP$301,$A236+1,($D$5-1)*15+2),0)</f>
        <v>0</v>
      </c>
      <c r="F236" s="100" t="n">
        <f aca="false">IFERROR(INDEX(Motor!$F$61:$CP$301,$A236+1,($D$5-1)*15+3)+INDEX(Motor!$F$61:$CP$301,$A236+1,($D$5-1)*15+5)+INDEX(Motor!$F$61:$CP$301,$A236+1,($D$5-1)*15+6),0)</f>
        <v>203.551091244368</v>
      </c>
      <c r="G236" s="100" t="n">
        <f aca="false">IFERROR(INDEX(Motor!$F$61:$CP$301,$A236+1,($D$5-1)*15+7),0)</f>
        <v>0</v>
      </c>
      <c r="H236" s="101" t="n">
        <f aca="false">IFERROR(INDEX(Motor!$F$61:$CP$301,$A236+1,($D$5-1)*15+8),0)</f>
        <v>1232691.72131352</v>
      </c>
      <c r="I236" s="100" t="n">
        <f aca="false">IFERROR(INDEX(Motor!$F$61:$CP$301,$A236+1,($D$5-1)*15+12),0)</f>
        <v>162403.758197028</v>
      </c>
      <c r="J236" s="102" t="n">
        <f aca="false">IFERROR(INDEX(Motor!$F$61:$CP$301,$A236+1,($D$5-1)*15+13),0)</f>
        <v>1070287.96311649</v>
      </c>
      <c r="K236" s="100" t="n">
        <f aca="false">IFERROR(INDEX(Motor!$F$61:$CP$301,$A236+1,($D$5-1)*15+14),0)</f>
        <v>509667.146388546</v>
      </c>
    </row>
    <row r="237" customFormat="false" ht="12" hidden="false" customHeight="true" outlineLevel="0" collapsed="false">
      <c r="A237" s="55" t="n">
        <v>228</v>
      </c>
      <c r="B237" s="99" t="n">
        <f aca="false">EDATE(DATA_INICIO,$A237)</f>
        <v>53197</v>
      </c>
      <c r="C237" s="100" t="n">
        <f aca="false">IFERROR(INDEX(Motor!$F$61:$CP$301,$A237+1,($D$5-1)*15+1),0)</f>
        <v>1232691.72131352</v>
      </c>
      <c r="D237" s="100" t="n">
        <f aca="false">IFERROR(INDEX(Motor!$F$61:$CP$301,$A237+1,($D$5-1)*15+4),0)</f>
        <v>11696.7564957187</v>
      </c>
      <c r="E237" s="100" t="n">
        <f aca="false">IFERROR(INDEX(Motor!$F$61:$CP$301,$A237+1,($D$5-1)*15+2),0)</f>
        <v>0</v>
      </c>
      <c r="F237" s="100" t="n">
        <f aca="false">IFERROR(INDEX(Motor!$F$61:$CP$301,$A237+1,($D$5-1)*15+3)+INDEX(Motor!$F$61:$CP$301,$A237+1,($D$5-1)*15+5)+INDEX(Motor!$F$61:$CP$301,$A237+1,($D$5-1)*15+6),0)</f>
        <v>205.44862021892</v>
      </c>
      <c r="G237" s="100" t="n">
        <f aca="false">IFERROR(INDEX(Motor!$F$61:$CP$301,$A237+1,($D$5-1)*15+7),0)</f>
        <v>0</v>
      </c>
      <c r="H237" s="101" t="n">
        <f aca="false">IFERROR(INDEX(Motor!$F$61:$CP$301,$A237+1,($D$5-1)*15+8),0)</f>
        <v>1244183.02918902</v>
      </c>
      <c r="I237" s="100" t="n">
        <f aca="false">IFERROR(INDEX(Motor!$F$61:$CP$301,$A237+1,($D$5-1)*15+12),0)</f>
        <v>164127.454378353</v>
      </c>
      <c r="J237" s="102" t="n">
        <f aca="false">IFERROR(INDEX(Motor!$F$61:$CP$301,$A237+1,($D$5-1)*15+13),0)</f>
        <v>1080055.57481067</v>
      </c>
      <c r="K237" s="100" t="n">
        <f aca="false">IFERROR(INDEX(Motor!$F$61:$CP$301,$A237+1,($D$5-1)*15+14),0)</f>
        <v>512640.196136143</v>
      </c>
    </row>
    <row r="238" customFormat="false" ht="12" hidden="false" customHeight="true" outlineLevel="0" collapsed="false">
      <c r="A238" s="55" t="n">
        <v>229</v>
      </c>
      <c r="B238" s="99" t="n">
        <f aca="false">EDATE(DATA_INICIO,$A238)</f>
        <v>53228</v>
      </c>
      <c r="C238" s="100" t="n">
        <f aca="false">IFERROR(INDEX(Motor!$F$61:$CP$301,$A238+1,($D$5-1)*15+1),0)</f>
        <v>1244183.02918902</v>
      </c>
      <c r="D238" s="100" t="n">
        <f aca="false">IFERROR(INDEX(Motor!$F$61:$CP$301,$A238+1,($D$5-1)*15+4),0)</f>
        <v>11805.7951366969</v>
      </c>
      <c r="E238" s="100" t="n">
        <f aca="false">IFERROR(INDEX(Motor!$F$61:$CP$301,$A238+1,($D$5-1)*15+2),0)</f>
        <v>0</v>
      </c>
      <c r="F238" s="100" t="n">
        <f aca="false">IFERROR(INDEX(Motor!$F$61:$CP$301,$A238+1,($D$5-1)*15+3)+INDEX(Motor!$F$61:$CP$301,$A238+1,($D$5-1)*15+5)+INDEX(Motor!$F$61:$CP$301,$A238+1,($D$5-1)*15+6),0)</f>
        <v>207.36383819817</v>
      </c>
      <c r="G238" s="100" t="n">
        <f aca="false">IFERROR(INDEX(Motor!$F$61:$CP$301,$A238+1,($D$5-1)*15+7),0)</f>
        <v>0</v>
      </c>
      <c r="H238" s="101" t="n">
        <f aca="false">IFERROR(INDEX(Motor!$F$61:$CP$301,$A238+1,($D$5-1)*15+8),0)</f>
        <v>1255781.46048752</v>
      </c>
      <c r="I238" s="100" t="n">
        <f aca="false">IFERROR(INDEX(Motor!$F$61:$CP$301,$A238+1,($D$5-1)*15+12),0)</f>
        <v>165867.219073128</v>
      </c>
      <c r="J238" s="102" t="n">
        <f aca="false">IFERROR(INDEX(Motor!$F$61:$CP$301,$A238+1,($D$5-1)*15+13),0)</f>
        <v>1089914.24141439</v>
      </c>
      <c r="K238" s="100" t="n">
        <f aca="false">IFERROR(INDEX(Motor!$F$61:$CP$301,$A238+1,($D$5-1)*15+14),0)</f>
        <v>515631.494215261</v>
      </c>
    </row>
    <row r="239" customFormat="false" ht="12" hidden="false" customHeight="true" outlineLevel="0" collapsed="false">
      <c r="A239" s="55" t="n">
        <v>230</v>
      </c>
      <c r="B239" s="99" t="n">
        <f aca="false">EDATE(DATA_INICIO,$A239)</f>
        <v>53258</v>
      </c>
      <c r="C239" s="100" t="n">
        <f aca="false">IFERROR(INDEX(Motor!$F$61:$CP$301,$A239+1,($D$5-1)*15+1),0)</f>
        <v>1255781.46048752</v>
      </c>
      <c r="D239" s="100" t="n">
        <f aca="false">IFERROR(INDEX(Motor!$F$61:$CP$301,$A239+1,($D$5-1)*15+4),0)</f>
        <v>11915.8502496543</v>
      </c>
      <c r="E239" s="100" t="n">
        <f aca="false">IFERROR(INDEX(Motor!$F$61:$CP$301,$A239+1,($D$5-1)*15+2),0)</f>
        <v>0</v>
      </c>
      <c r="F239" s="100" t="n">
        <f aca="false">IFERROR(INDEX(Motor!$F$61:$CP$301,$A239+1,($D$5-1)*15+3)+INDEX(Motor!$F$61:$CP$301,$A239+1,($D$5-1)*15+5)+INDEX(Motor!$F$61:$CP$301,$A239+1,($D$5-1)*15+6),0)</f>
        <v>209.296910081253</v>
      </c>
      <c r="G239" s="100" t="n">
        <f aca="false">IFERROR(INDEX(Motor!$F$61:$CP$301,$A239+1,($D$5-1)*15+7),0)</f>
        <v>0</v>
      </c>
      <c r="H239" s="101" t="n">
        <f aca="false">IFERROR(INDEX(Motor!$F$61:$CP$301,$A239+1,($D$5-1)*15+8),0)</f>
        <v>1267488.01382709</v>
      </c>
      <c r="I239" s="100" t="n">
        <f aca="false">IFERROR(INDEX(Motor!$F$61:$CP$301,$A239+1,($D$5-1)*15+12),0)</f>
        <v>167623.202074064</v>
      </c>
      <c r="J239" s="102" t="n">
        <f aca="false">IFERROR(INDEX(Motor!$F$61:$CP$301,$A239+1,($D$5-1)*15+13),0)</f>
        <v>1099864.81175303</v>
      </c>
      <c r="K239" s="100" t="n">
        <f aca="false">IFERROR(INDEX(Motor!$F$61:$CP$301,$A239+1,($D$5-1)*15+14),0)</f>
        <v>518641.149578692</v>
      </c>
    </row>
    <row r="240" customFormat="false" ht="12" hidden="false" customHeight="true" outlineLevel="0" collapsed="false">
      <c r="A240" s="55" t="n">
        <v>231</v>
      </c>
      <c r="B240" s="99" t="n">
        <f aca="false">EDATE(DATA_INICIO,$A240)</f>
        <v>53289</v>
      </c>
      <c r="C240" s="100" t="n">
        <f aca="false">IFERROR(INDEX(Motor!$F$61:$CP$301,$A240+1,($D$5-1)*15+1),0)</f>
        <v>1267488.01382709</v>
      </c>
      <c r="D240" s="100" t="n">
        <f aca="false">IFERROR(INDEX(Motor!$F$61:$CP$301,$A240+1,($D$5-1)*15+4),0)</f>
        <v>12026.9313102712</v>
      </c>
      <c r="E240" s="100" t="n">
        <f aca="false">IFERROR(INDEX(Motor!$F$61:$CP$301,$A240+1,($D$5-1)*15+2),0)</f>
        <v>0</v>
      </c>
      <c r="F240" s="100" t="n">
        <f aca="false">IFERROR(INDEX(Motor!$F$61:$CP$301,$A240+1,($D$5-1)*15+3)+INDEX(Motor!$F$61:$CP$301,$A240+1,($D$5-1)*15+5)+INDEX(Motor!$F$61:$CP$301,$A240+1,($D$5-1)*15+6),0)</f>
        <v>211.248002304515</v>
      </c>
      <c r="G240" s="100" t="n">
        <f aca="false">IFERROR(INDEX(Motor!$F$61:$CP$301,$A240+1,($D$5-1)*15+7),0)</f>
        <v>0</v>
      </c>
      <c r="H240" s="101" t="n">
        <f aca="false">IFERROR(INDEX(Motor!$F$61:$CP$301,$A240+1,($D$5-1)*15+8),0)</f>
        <v>1279303.69713506</v>
      </c>
      <c r="I240" s="100" t="n">
        <f aca="false">IFERROR(INDEX(Motor!$F$61:$CP$301,$A240+1,($D$5-1)*15+12),0)</f>
        <v>169395.554570259</v>
      </c>
      <c r="J240" s="102" t="n">
        <f aca="false">IFERROR(INDEX(Motor!$F$61:$CP$301,$A240+1,($D$5-1)*15+13),0)</f>
        <v>1109908.1425648</v>
      </c>
      <c r="K240" s="100" t="n">
        <f aca="false">IFERROR(INDEX(Motor!$F$61:$CP$301,$A240+1,($D$5-1)*15+14),0)</f>
        <v>521669.271839522</v>
      </c>
    </row>
    <row r="241" customFormat="false" ht="12" hidden="false" customHeight="true" outlineLevel="0" collapsed="false">
      <c r="A241" s="55" t="n">
        <v>232</v>
      </c>
      <c r="B241" s="99" t="n">
        <f aca="false">EDATE(DATA_INICIO,$A241)</f>
        <v>53319</v>
      </c>
      <c r="C241" s="100" t="n">
        <f aca="false">IFERROR(INDEX(Motor!$F$61:$CP$301,$A241+1,($D$5-1)*15+1),0)</f>
        <v>1279303.69713506</v>
      </c>
      <c r="D241" s="100" t="n">
        <f aca="false">IFERROR(INDEX(Motor!$F$61:$CP$301,$A241+1,($D$5-1)*15+4),0)</f>
        <v>12139.0478825611</v>
      </c>
      <c r="E241" s="100" t="n">
        <f aca="false">IFERROR(INDEX(Motor!$F$61:$CP$301,$A241+1,($D$5-1)*15+2),0)</f>
        <v>0</v>
      </c>
      <c r="F241" s="100" t="n">
        <f aca="false">IFERROR(INDEX(Motor!$F$61:$CP$301,$A241+1,($D$5-1)*15+3)+INDEX(Motor!$F$61:$CP$301,$A241+1,($D$5-1)*15+5)+INDEX(Motor!$F$61:$CP$301,$A241+1,($D$5-1)*15+6),0)</f>
        <v>213.217282855843</v>
      </c>
      <c r="G241" s="100" t="n">
        <f aca="false">IFERROR(INDEX(Motor!$F$61:$CP$301,$A241+1,($D$5-1)*15+7),0)</f>
        <v>0</v>
      </c>
      <c r="H241" s="101" t="n">
        <f aca="false">IFERROR(INDEX(Motor!$F$61:$CP$301,$A241+1,($D$5-1)*15+8),0)</f>
        <v>1291229.52773476</v>
      </c>
      <c r="I241" s="100" t="n">
        <f aca="false">IFERROR(INDEX(Motor!$F$61:$CP$301,$A241+1,($D$5-1)*15+12),0)</f>
        <v>171184.429160215</v>
      </c>
      <c r="J241" s="102" t="n">
        <f aca="false">IFERROR(INDEX(Motor!$F$61:$CP$301,$A241+1,($D$5-1)*15+13),0)</f>
        <v>1120045.09857455</v>
      </c>
      <c r="K241" s="100" t="n">
        <f aca="false">IFERROR(INDEX(Motor!$F$61:$CP$301,$A241+1,($D$5-1)*15+14),0)</f>
        <v>524715.971275105</v>
      </c>
    </row>
    <row r="242" customFormat="false" ht="12" hidden="false" customHeight="true" outlineLevel="0" collapsed="false">
      <c r="A242" s="55" t="n">
        <v>233</v>
      </c>
      <c r="B242" s="99" t="n">
        <f aca="false">EDATE(DATA_INICIO,$A242)</f>
        <v>53350</v>
      </c>
      <c r="C242" s="100" t="n">
        <f aca="false">IFERROR(INDEX(Motor!$F$61:$CP$301,$A242+1,($D$5-1)*15+1),0)</f>
        <v>1291229.52773476</v>
      </c>
      <c r="D242" s="100" t="n">
        <f aca="false">IFERROR(INDEX(Motor!$F$61:$CP$301,$A242+1,($D$5-1)*15+4),0)</f>
        <v>12252.2096196946</v>
      </c>
      <c r="E242" s="100" t="n">
        <f aca="false">IFERROR(INDEX(Motor!$F$61:$CP$301,$A242+1,($D$5-1)*15+2),0)</f>
        <v>0</v>
      </c>
      <c r="F242" s="100" t="n">
        <f aca="false">IFERROR(INDEX(Motor!$F$61:$CP$301,$A242+1,($D$5-1)*15+3)+INDEX(Motor!$F$61:$CP$301,$A242+1,($D$5-1)*15+5)+INDEX(Motor!$F$61:$CP$301,$A242+1,($D$5-1)*15+6),0)</f>
        <v>215.204921289127</v>
      </c>
      <c r="G242" s="100" t="n">
        <f aca="false">IFERROR(INDEX(Motor!$F$61:$CP$301,$A242+1,($D$5-1)*15+7),0)</f>
        <v>0</v>
      </c>
      <c r="H242" s="101" t="n">
        <f aca="false">IFERROR(INDEX(Motor!$F$61:$CP$301,$A242+1,($D$5-1)*15+8),0)</f>
        <v>1303266.53243317</v>
      </c>
      <c r="I242" s="100" t="n">
        <f aca="false">IFERROR(INDEX(Motor!$F$61:$CP$301,$A242+1,($D$5-1)*15+12),0)</f>
        <v>172989.979864975</v>
      </c>
      <c r="J242" s="102" t="n">
        <f aca="false">IFERROR(INDEX(Motor!$F$61:$CP$301,$A242+1,($D$5-1)*15+13),0)</f>
        <v>1130276.55256819</v>
      </c>
      <c r="K242" s="100" t="n">
        <f aca="false">IFERROR(INDEX(Motor!$F$61:$CP$301,$A242+1,($D$5-1)*15+14),0)</f>
        <v>527781.358831054</v>
      </c>
    </row>
    <row r="243" customFormat="false" ht="12" hidden="false" customHeight="true" outlineLevel="0" collapsed="false">
      <c r="A243" s="55" t="n">
        <v>234</v>
      </c>
      <c r="B243" s="99" t="n">
        <f aca="false">EDATE(DATA_INICIO,$A243)</f>
        <v>53381</v>
      </c>
      <c r="C243" s="100" t="n">
        <f aca="false">IFERROR(INDEX(Motor!$F$61:$CP$301,$A243+1,($D$5-1)*15+1),0)</f>
        <v>1303266.53243317</v>
      </c>
      <c r="D243" s="100" t="n">
        <f aca="false">IFERROR(INDEX(Motor!$F$61:$CP$301,$A243+1,($D$5-1)*15+4),0)</f>
        <v>12366.4262648304</v>
      </c>
      <c r="E243" s="100" t="n">
        <f aca="false">IFERROR(INDEX(Motor!$F$61:$CP$301,$A243+1,($D$5-1)*15+2),0)</f>
        <v>0</v>
      </c>
      <c r="F243" s="100" t="n">
        <f aca="false">IFERROR(INDEX(Motor!$F$61:$CP$301,$A243+1,($D$5-1)*15+3)+INDEX(Motor!$F$61:$CP$301,$A243+1,($D$5-1)*15+5)+INDEX(Motor!$F$61:$CP$301,$A243+1,($D$5-1)*15+6),0)</f>
        <v>217.211088738862</v>
      </c>
      <c r="G243" s="100" t="n">
        <f aca="false">IFERROR(INDEX(Motor!$F$61:$CP$301,$A243+1,($D$5-1)*15+7),0)</f>
        <v>0</v>
      </c>
      <c r="H243" s="101" t="n">
        <f aca="false">IFERROR(INDEX(Motor!$F$61:$CP$301,$A243+1,($D$5-1)*15+8),0)</f>
        <v>1315415.74760926</v>
      </c>
      <c r="I243" s="100" t="n">
        <f aca="false">IFERROR(INDEX(Motor!$F$61:$CP$301,$A243+1,($D$5-1)*15+12),0)</f>
        <v>174812.362141389</v>
      </c>
      <c r="J243" s="102" t="n">
        <f aca="false">IFERROR(INDEX(Motor!$F$61:$CP$301,$A243+1,($D$5-1)*15+13),0)</f>
        <v>1140603.38546787</v>
      </c>
      <c r="K243" s="100" t="n">
        <f aca="false">IFERROR(INDEX(Motor!$F$61:$CP$301,$A243+1,($D$5-1)*15+14),0)</f>
        <v>530865.546125261</v>
      </c>
    </row>
    <row r="244" customFormat="false" ht="12" hidden="false" customHeight="true" outlineLevel="0" collapsed="false">
      <c r="A244" s="55" t="n">
        <v>235</v>
      </c>
      <c r="B244" s="99" t="n">
        <f aca="false">EDATE(DATA_INICIO,$A244)</f>
        <v>53409</v>
      </c>
      <c r="C244" s="100" t="n">
        <f aca="false">IFERROR(INDEX(Motor!$F$61:$CP$301,$A244+1,($D$5-1)*15+1),0)</f>
        <v>1315415.74760926</v>
      </c>
      <c r="D244" s="100" t="n">
        <f aca="false">IFERROR(INDEX(Motor!$F$61:$CP$301,$A244+1,($D$5-1)*15+4),0)</f>
        <v>12481.707651954</v>
      </c>
      <c r="E244" s="100" t="n">
        <f aca="false">IFERROR(INDEX(Motor!$F$61:$CP$301,$A244+1,($D$5-1)*15+2),0)</f>
        <v>0</v>
      </c>
      <c r="F244" s="100" t="n">
        <f aca="false">IFERROR(INDEX(Motor!$F$61:$CP$301,$A244+1,($D$5-1)*15+3)+INDEX(Motor!$F$61:$CP$301,$A244+1,($D$5-1)*15+5)+INDEX(Motor!$F$61:$CP$301,$A244+1,($D$5-1)*15+6),0)</f>
        <v>219.235957934877</v>
      </c>
      <c r="G244" s="100" t="n">
        <f aca="false">IFERROR(INDEX(Motor!$F$61:$CP$301,$A244+1,($D$5-1)*15+7),0)</f>
        <v>0</v>
      </c>
      <c r="H244" s="101" t="n">
        <f aca="false">IFERROR(INDEX(Motor!$F$61:$CP$301,$A244+1,($D$5-1)*15+8),0)</f>
        <v>1327678.21930328</v>
      </c>
      <c r="I244" s="100" t="n">
        <f aca="false">IFERROR(INDEX(Motor!$F$61:$CP$301,$A244+1,($D$5-1)*15+12),0)</f>
        <v>176651.732895492</v>
      </c>
      <c r="J244" s="102" t="n">
        <f aca="false">IFERROR(INDEX(Motor!$F$61:$CP$301,$A244+1,($D$5-1)*15+13),0)</f>
        <v>1151026.48640779</v>
      </c>
      <c r="K244" s="100" t="n">
        <f aca="false">IFERROR(INDEX(Motor!$F$61:$CP$301,$A244+1,($D$5-1)*15+14),0)</f>
        <v>533968.645451935</v>
      </c>
    </row>
    <row r="245" customFormat="false" ht="12" hidden="false" customHeight="true" outlineLevel="0" collapsed="false">
      <c r="A245" s="55" t="n">
        <v>236</v>
      </c>
      <c r="B245" s="99" t="n">
        <f aca="false">EDATE(DATA_INICIO,$A245)</f>
        <v>53440</v>
      </c>
      <c r="C245" s="100" t="n">
        <f aca="false">IFERROR(INDEX(Motor!$F$61:$CP$301,$A245+1,($D$5-1)*15+1),0)</f>
        <v>1327678.21930328</v>
      </c>
      <c r="D245" s="100" t="n">
        <f aca="false">IFERROR(INDEX(Motor!$F$61:$CP$301,$A245+1,($D$5-1)*15+4),0)</f>
        <v>12598.0637067248</v>
      </c>
      <c r="E245" s="100" t="n">
        <f aca="false">IFERROR(INDEX(Motor!$F$61:$CP$301,$A245+1,($D$5-1)*15+2),0)</f>
        <v>0</v>
      </c>
      <c r="F245" s="100" t="n">
        <f aca="false">IFERROR(INDEX(Motor!$F$61:$CP$301,$A245+1,($D$5-1)*15+3)+INDEX(Motor!$F$61:$CP$301,$A245+1,($D$5-1)*15+5)+INDEX(Motor!$F$61:$CP$301,$A245+1,($D$5-1)*15+6),0)</f>
        <v>221.279703217213</v>
      </c>
      <c r="G245" s="100" t="n">
        <f aca="false">IFERROR(INDEX(Motor!$F$61:$CP$301,$A245+1,($D$5-1)*15+7),0)</f>
        <v>0</v>
      </c>
      <c r="H245" s="101" t="n">
        <f aca="false">IFERROR(INDEX(Motor!$F$61:$CP$301,$A245+1,($D$5-1)*15+8),0)</f>
        <v>1340055.00330679</v>
      </c>
      <c r="I245" s="100" t="n">
        <f aca="false">IFERROR(INDEX(Motor!$F$61:$CP$301,$A245+1,($D$5-1)*15+12),0)</f>
        <v>178508.250496018</v>
      </c>
      <c r="J245" s="102" t="n">
        <f aca="false">IFERROR(INDEX(Motor!$F$61:$CP$301,$A245+1,($D$5-1)*15+13),0)</f>
        <v>1161546.75281077</v>
      </c>
      <c r="K245" s="100" t="n">
        <f aca="false">IFERROR(INDEX(Motor!$F$61:$CP$301,$A245+1,($D$5-1)*15+14),0)</f>
        <v>537090.769785672</v>
      </c>
    </row>
    <row r="246" customFormat="false" ht="12" hidden="false" customHeight="true" outlineLevel="0" collapsed="false">
      <c r="A246" s="55" t="n">
        <v>237</v>
      </c>
      <c r="B246" s="99" t="n">
        <f aca="false">EDATE(DATA_INICIO,$A246)</f>
        <v>53470</v>
      </c>
      <c r="C246" s="100" t="n">
        <f aca="false">IFERROR(INDEX(Motor!$F$61:$CP$301,$A246+1,($D$5-1)*15+1),0)</f>
        <v>1340055.00330679</v>
      </c>
      <c r="D246" s="100" t="n">
        <f aca="false">IFERROR(INDEX(Motor!$F$61:$CP$301,$A246+1,($D$5-1)*15+4),0)</f>
        <v>12715.5044473301</v>
      </c>
      <c r="E246" s="100" t="n">
        <f aca="false">IFERROR(INDEX(Motor!$F$61:$CP$301,$A246+1,($D$5-1)*15+2),0)</f>
        <v>0</v>
      </c>
      <c r="F246" s="100" t="n">
        <f aca="false">IFERROR(INDEX(Motor!$F$61:$CP$301,$A246+1,($D$5-1)*15+3)+INDEX(Motor!$F$61:$CP$301,$A246+1,($D$5-1)*15+5)+INDEX(Motor!$F$61:$CP$301,$A246+1,($D$5-1)*15+6),0)</f>
        <v>223.342500551131</v>
      </c>
      <c r="G246" s="100" t="n">
        <f aca="false">IFERROR(INDEX(Motor!$F$61:$CP$301,$A246+1,($D$5-1)*15+7),0)</f>
        <v>0</v>
      </c>
      <c r="H246" s="101" t="n">
        <f aca="false">IFERROR(INDEX(Motor!$F$61:$CP$301,$A246+1,($D$5-1)*15+8),0)</f>
        <v>1352547.16525357</v>
      </c>
      <c r="I246" s="100" t="n">
        <f aca="false">IFERROR(INDEX(Motor!$F$61:$CP$301,$A246+1,($D$5-1)*15+12),0)</f>
        <v>180382.074788035</v>
      </c>
      <c r="J246" s="102" t="n">
        <f aca="false">IFERROR(INDEX(Motor!$F$61:$CP$301,$A246+1,($D$5-1)*15+13),0)</f>
        <v>1172165.09046553</v>
      </c>
      <c r="K246" s="100" t="n">
        <f aca="false">IFERROR(INDEX(Motor!$F$61:$CP$301,$A246+1,($D$5-1)*15+14),0)</f>
        <v>540232.032785545</v>
      </c>
    </row>
    <row r="247" customFormat="false" ht="12" hidden="false" customHeight="true" outlineLevel="0" collapsed="false">
      <c r="A247" s="55" t="n">
        <v>238</v>
      </c>
      <c r="B247" s="99" t="n">
        <f aca="false">EDATE(DATA_INICIO,$A247)</f>
        <v>53501</v>
      </c>
      <c r="C247" s="100" t="n">
        <f aca="false">IFERROR(INDEX(Motor!$F$61:$CP$301,$A247+1,($D$5-1)*15+1),0)</f>
        <v>1352547.16525357</v>
      </c>
      <c r="D247" s="100" t="n">
        <f aca="false">IFERROR(INDEX(Motor!$F$61:$CP$301,$A247+1,($D$5-1)*15+4),0)</f>
        <v>12834.0399853484</v>
      </c>
      <c r="E247" s="100" t="n">
        <f aca="false">IFERROR(INDEX(Motor!$F$61:$CP$301,$A247+1,($D$5-1)*15+2),0)</f>
        <v>0</v>
      </c>
      <c r="F247" s="100" t="n">
        <f aca="false">IFERROR(INDEX(Motor!$F$61:$CP$301,$A247+1,($D$5-1)*15+3)+INDEX(Motor!$F$61:$CP$301,$A247+1,($D$5-1)*15+5)+INDEX(Motor!$F$61:$CP$301,$A247+1,($D$5-1)*15+6),0)</f>
        <v>225.424527542261</v>
      </c>
      <c r="G247" s="100" t="n">
        <f aca="false">IFERROR(INDEX(Motor!$F$61:$CP$301,$A247+1,($D$5-1)*15+7),0)</f>
        <v>0</v>
      </c>
      <c r="H247" s="101" t="n">
        <f aca="false">IFERROR(INDEX(Motor!$F$61:$CP$301,$A247+1,($D$5-1)*15+8),0)</f>
        <v>1365155.78071137</v>
      </c>
      <c r="I247" s="100" t="n">
        <f aca="false">IFERROR(INDEX(Motor!$F$61:$CP$301,$A247+1,($D$5-1)*15+12),0)</f>
        <v>182273.367106706</v>
      </c>
      <c r="J247" s="102" t="n">
        <f aca="false">IFERROR(INDEX(Motor!$F$61:$CP$301,$A247+1,($D$5-1)*15+13),0)</f>
        <v>1182882.41360467</v>
      </c>
      <c r="K247" s="100" t="n">
        <f aca="false">IFERROR(INDEX(Motor!$F$61:$CP$301,$A247+1,($D$5-1)*15+14),0)</f>
        <v>543392.548799216</v>
      </c>
    </row>
    <row r="248" customFormat="false" ht="12" hidden="false" customHeight="true" outlineLevel="0" collapsed="false">
      <c r="A248" s="55" t="n">
        <v>239</v>
      </c>
      <c r="B248" s="99" t="n">
        <f aca="false">EDATE(DATA_INICIO,$A248)</f>
        <v>53531</v>
      </c>
      <c r="C248" s="100" t="n">
        <f aca="false">IFERROR(INDEX(Motor!$F$61:$CP$301,$A248+1,($D$5-1)*15+1),0)</f>
        <v>1365155.78071137</v>
      </c>
      <c r="D248" s="100" t="n">
        <f aca="false">IFERROR(INDEX(Motor!$F$61:$CP$301,$A248+1,($D$5-1)*15+4),0)</f>
        <v>12953.6805266193</v>
      </c>
      <c r="E248" s="100" t="n">
        <f aca="false">IFERROR(INDEX(Motor!$F$61:$CP$301,$A248+1,($D$5-1)*15+2),0)</f>
        <v>0</v>
      </c>
      <c r="F248" s="100" t="n">
        <f aca="false">IFERROR(INDEX(Motor!$F$61:$CP$301,$A248+1,($D$5-1)*15+3)+INDEX(Motor!$F$61:$CP$301,$A248+1,($D$5-1)*15+5)+INDEX(Motor!$F$61:$CP$301,$A248+1,($D$5-1)*15+6),0)</f>
        <v>227.525963451895</v>
      </c>
      <c r="G248" s="100" t="n">
        <f aca="false">IFERROR(INDEX(Motor!$F$61:$CP$301,$A248+1,($D$5-1)*15+7),0)</f>
        <v>0</v>
      </c>
      <c r="H248" s="101" t="n">
        <f aca="false">IFERROR(INDEX(Motor!$F$61:$CP$301,$A248+1,($D$5-1)*15+8),0)</f>
        <v>1377881.93527454</v>
      </c>
      <c r="I248" s="100" t="n">
        <f aca="false">IFERROR(INDEX(Motor!$F$61:$CP$301,$A248+1,($D$5-1)*15+12),0)</f>
        <v>184182.290291181</v>
      </c>
      <c r="J248" s="102" t="n">
        <f aca="false">IFERROR(INDEX(Motor!$F$61:$CP$301,$A248+1,($D$5-1)*15+13),0)</f>
        <v>1193699.64498336</v>
      </c>
      <c r="K248" s="100" t="n">
        <f aca="false">IFERROR(INDEX(Motor!$F$61:$CP$301,$A248+1,($D$5-1)*15+14),0)</f>
        <v>546572.432867079</v>
      </c>
    </row>
    <row r="249" customFormat="false" ht="12" hidden="false" customHeight="true" outlineLevel="0" collapsed="false">
      <c r="A249" s="55" t="n">
        <v>240</v>
      </c>
      <c r="B249" s="99" t="n">
        <f aca="false">EDATE(DATA_INICIO,$A249)</f>
        <v>53562</v>
      </c>
      <c r="C249" s="100" t="n">
        <f aca="false">IFERROR(INDEX(Motor!$F$61:$CP$301,$A249+1,($D$5-1)*15+1),0)</f>
        <v>1377881.93527454</v>
      </c>
      <c r="D249" s="100" t="n">
        <f aca="false">IFERROR(INDEX(Motor!$F$61:$CP$301,$A249+1,($D$5-1)*15+4),0)</f>
        <v>13074.4363721227</v>
      </c>
      <c r="E249" s="100" t="n">
        <f aca="false">IFERROR(INDEX(Motor!$F$61:$CP$301,$A249+1,($D$5-1)*15+2),0)</f>
        <v>0</v>
      </c>
      <c r="F249" s="100" t="n">
        <f aca="false">IFERROR(INDEX(Motor!$F$61:$CP$301,$A249+1,($D$5-1)*15+3)+INDEX(Motor!$F$61:$CP$301,$A249+1,($D$5-1)*15+5)+INDEX(Motor!$F$61:$CP$301,$A249+1,($D$5-1)*15+6),0)</f>
        <v>229.646989212423</v>
      </c>
      <c r="G249" s="100" t="n">
        <f aca="false">IFERROR(INDEX(Motor!$F$61:$CP$301,$A249+1,($D$5-1)*15+7),0)</f>
        <v>0</v>
      </c>
      <c r="H249" s="101" t="n">
        <f aca="false">IFERROR(INDEX(Motor!$F$61:$CP$301,$A249+1,($D$5-1)*15+8),0)</f>
        <v>1390726.72465745</v>
      </c>
      <c r="I249" s="100" t="n">
        <f aca="false">IFERROR(INDEX(Motor!$F$61:$CP$301,$A249+1,($D$5-1)*15+12),0)</f>
        <v>186109.008698618</v>
      </c>
      <c r="J249" s="102" t="n">
        <f aca="false">IFERROR(INDEX(Motor!$F$61:$CP$301,$A249+1,($D$5-1)*15+13),0)</f>
        <v>1204617.71595883</v>
      </c>
      <c r="K249" s="100" t="n">
        <f aca="false">IFERROR(INDEX(Motor!$F$61:$CP$301,$A249+1,($D$5-1)*15+14),0)</f>
        <v>549771.800726427</v>
      </c>
    </row>
  </sheetData>
  <mergeCells count="10">
    <mergeCell ref="A1:K1"/>
    <mergeCell ref="A2:K2"/>
    <mergeCell ref="B4:C4"/>
    <mergeCell ref="E4:H4"/>
    <mergeCell ref="B5:C5"/>
    <mergeCell ref="E5:K5"/>
    <mergeCell ref="A6:K6"/>
    <mergeCell ref="M9:R9"/>
    <mergeCell ref="M10:R10"/>
    <mergeCell ref="M11:R11"/>
  </mergeCells>
  <conditionalFormatting sqref="A9:K249">
    <cfRule type="expression" priority="2" aboveAverage="0" equalAverage="0" bottom="0" percent="0" rank="0" text="" dxfId="2">
      <formula>$A9&gt;IN_PRAZO</formula>
    </cfRule>
    <cfRule type="expression" priority="3" aboveAverage="0" equalAverage="0" bottom="0" percent="0" rank="0" text="" dxfId="3">
      <formula>$A9=IN_PRAZO</formula>
    </cfRule>
    <cfRule type="expression" priority="4" aboveAverage="0" equalAverage="0" bottom="0" percent="0" rank="0" text="" dxfId="1">
      <formula>AND($A9&gt;0,$G9&gt;0)</formula>
    </cfRule>
  </conditionalFormatting>
  <dataValidations count="1">
    <dataValidation allowBlank="true" errorStyle="stop" operator="between" showDropDown="false" showErrorMessage="false" showInputMessage="false" sqref="D4" type="list">
      <formula1>"A,B,C,D,E,F"</formula1>
      <formula2>0</formula2>
    </dataValidation>
  </dataValidations>
  <hyperlinks>
    <hyperlink ref="I4" location="Inicio!A1" display="◀ INÍCIO"/>
    <hyperlink ref="J4" location="Cliente!A1" display="◀ CLIENTE"/>
    <hyperlink ref="K4" location="Comparar!A1" display="COMPAR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EBB"/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30"/>
    <col collapsed="false" customWidth="true" hidden="false" outlineLevel="0" max="12" min="12" style="0" width="2"/>
  </cols>
  <sheetData>
    <row r="1" customFormat="false" ht="33.75" hidden="false" customHeight="true" outlineLevel="0" collapsed="false">
      <c r="A1" s="13" t="s">
        <v>205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8" hidden="false" customHeight="true" outlineLevel="0" collapsed="false">
      <c r="A2" s="14" t="s">
        <v>206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21.75" hidden="false" customHeight="true" outlineLevel="0" collapsed="false">
      <c r="A4" s="3" t="s">
        <v>207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9.5" hidden="false" customHeight="true" outlineLevel="0" collapsed="false">
      <c r="B5" s="15" t="s">
        <v>208</v>
      </c>
      <c r="C5" s="15"/>
      <c r="D5" s="15"/>
      <c r="E5" s="15"/>
      <c r="F5" s="16" t="s">
        <v>121</v>
      </c>
      <c r="G5" s="16"/>
    </row>
    <row r="6" customFormat="false" ht="19.5" hidden="false" customHeight="true" outlineLevel="0" collapsed="false">
      <c r="B6" s="15" t="s">
        <v>209</v>
      </c>
      <c r="C6" s="15"/>
      <c r="D6" s="15"/>
      <c r="E6" s="15"/>
      <c r="F6" s="19" t="n">
        <v>150000</v>
      </c>
      <c r="G6" s="19"/>
    </row>
    <row r="7" customFormat="false" ht="18" hidden="false" customHeight="true" outlineLevel="0" collapsed="false">
      <c r="B7" s="15" t="s">
        <v>210</v>
      </c>
      <c r="C7" s="15"/>
      <c r="D7" s="15"/>
      <c r="E7" s="15"/>
      <c r="F7" s="106" t="n">
        <v>0.02</v>
      </c>
      <c r="G7" s="106"/>
    </row>
    <row r="8" customFormat="false" ht="18" hidden="false" customHeight="true" outlineLevel="0" collapsed="false">
      <c r="B8" s="15" t="s">
        <v>211</v>
      </c>
      <c r="C8" s="15"/>
      <c r="D8" s="15"/>
      <c r="E8" s="15"/>
      <c r="F8" s="106" t="n">
        <v>0.015</v>
      </c>
      <c r="G8" s="106"/>
    </row>
    <row r="9" customFormat="false" ht="21.75" hidden="false" customHeight="true" outlineLevel="0" collapsed="false">
      <c r="B9" s="22" t="s">
        <v>212</v>
      </c>
      <c r="C9" s="22"/>
      <c r="D9" s="22"/>
      <c r="E9" s="22"/>
      <c r="F9" s="107" t="n">
        <f aca="false">IMOV_VALOR*(1+IMOV_ITBI+IMOV_CARTORIO)</f>
        <v>155250</v>
      </c>
      <c r="G9" s="107"/>
    </row>
    <row r="10" customFormat="false" ht="30" hidden="false" customHeight="true" outlineLevel="0" collapsed="false">
      <c r="B10" s="108" t="str">
        <f aca="false">IF(MotorImovel!$B$12&lt;0,"⚠ O cliente tem "&amp;TEXT(IN_CAPITAL,"R$ #,##0")&amp;" e a compra exige "&amp;TEXT(IMOV_DESEMBOLSO,"R$ #,##0")&amp;". Faltam "&amp;TEXT(-MotorImovel!$B$12,"R$ #,##0")&amp;" — quase ninguém lembra dos custos de aquisição, e eles mudam a conta.","✓ O capital disponível cobre o imóvel e os custos de aquisição. A sobra de "&amp;TEXT(MotorImovel!$B$12,"R$ #,##0")&amp;" entra na simulação como caixa aplicado.")</f>
        <v>⚠ O cliente tem R$ 150,000 e a compra exige R$ 155,250. Faltam R$ 5,250 — quase ninguém lembra dos custos de aquisição, e eles mudam a conta.</v>
      </c>
      <c r="C10" s="108"/>
      <c r="D10" s="108"/>
      <c r="E10" s="108"/>
      <c r="F10" s="108"/>
      <c r="G10" s="108"/>
      <c r="H10" s="108"/>
      <c r="I10" s="108"/>
      <c r="J10" s="108"/>
      <c r="K10" s="108"/>
    </row>
    <row r="11" customFormat="false" ht="21.75" hidden="false" customHeight="true" outlineLevel="0" collapsed="false">
      <c r="A11" s="3" t="s">
        <v>213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9.5" hidden="false" customHeight="true" outlineLevel="0" collapsed="false">
      <c r="B12" s="15" t="s">
        <v>214</v>
      </c>
      <c r="C12" s="15"/>
      <c r="D12" s="15"/>
      <c r="E12" s="15"/>
      <c r="F12" s="16" t="s">
        <v>215</v>
      </c>
      <c r="G12" s="16"/>
    </row>
    <row r="13" customFormat="false" ht="18" hidden="false" customHeight="true" outlineLevel="0" collapsed="false">
      <c r="B13" s="15" t="s">
        <v>216</v>
      </c>
      <c r="C13" s="15"/>
      <c r="D13" s="15"/>
      <c r="E13" s="15"/>
      <c r="F13" s="19" t="n">
        <v>900</v>
      </c>
      <c r="G13" s="19"/>
    </row>
    <row r="14" customFormat="false" ht="21.75" hidden="false" customHeight="true" outlineLevel="0" collapsed="false">
      <c r="B14" s="22" t="s">
        <v>217</v>
      </c>
      <c r="C14" s="22"/>
      <c r="D14" s="22"/>
      <c r="E14" s="22"/>
      <c r="F14" s="107" t="n">
        <f aca="false">MotorImovel!$B$13</f>
        <v>900</v>
      </c>
      <c r="G14" s="107"/>
    </row>
    <row r="15" customFormat="false" ht="19.5" hidden="false" customHeight="true" outlineLevel="0" collapsed="false">
      <c r="B15" s="15" t="s">
        <v>218</v>
      </c>
      <c r="C15" s="15"/>
      <c r="D15" s="15"/>
      <c r="E15" s="15"/>
      <c r="F15" s="106" t="n">
        <v>0.08</v>
      </c>
      <c r="G15" s="106"/>
      <c r="H15" s="20" t="s">
        <v>219</v>
      </c>
      <c r="I15" s="20"/>
      <c r="J15" s="20"/>
      <c r="K15" s="20"/>
    </row>
    <row r="16" customFormat="false" ht="18" hidden="false" customHeight="true" outlineLevel="0" collapsed="false">
      <c r="B16" s="15" t="s">
        <v>220</v>
      </c>
      <c r="C16" s="15"/>
      <c r="D16" s="15"/>
      <c r="E16" s="15"/>
      <c r="F16" s="106" t="n">
        <f aca="false">IPCA_CENARIO</f>
        <v>0.04</v>
      </c>
      <c r="G16" s="106"/>
      <c r="H16" s="97" t="str">
        <f aca="false">"Padrão: o IPCA do cenário ("&amp;TEXT(IPCA_CENARIO,"0.0%")&amp;" a.a.)."</f>
        <v>Padrão: o IPCA do cenário (4.0% a.a.).</v>
      </c>
      <c r="I16" s="97"/>
      <c r="J16" s="97"/>
      <c r="K16" s="97"/>
    </row>
    <row r="18" customFormat="false" ht="21.75" hidden="false" customHeight="true" outlineLevel="0" collapsed="false">
      <c r="A18" s="3" t="s">
        <v>221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8" hidden="false" customHeight="true" outlineLevel="0" collapsed="false">
      <c r="B19" s="15" t="s">
        <v>222</v>
      </c>
      <c r="C19" s="15"/>
      <c r="D19" s="15"/>
      <c r="E19" s="15"/>
      <c r="F19" s="106" t="n">
        <v>0.006</v>
      </c>
      <c r="G19" s="106"/>
      <c r="H19" s="20" t="s">
        <v>223</v>
      </c>
      <c r="I19" s="20"/>
      <c r="J19" s="20"/>
      <c r="K19" s="20"/>
    </row>
    <row r="20" customFormat="false" ht="18" hidden="false" customHeight="true" outlineLevel="0" collapsed="false">
      <c r="B20" s="15" t="s">
        <v>224</v>
      </c>
      <c r="C20" s="15"/>
      <c r="D20" s="15"/>
      <c r="E20" s="15"/>
      <c r="F20" s="106" t="n">
        <v>0.01</v>
      </c>
      <c r="G20" s="106"/>
      <c r="H20" s="20"/>
      <c r="I20" s="20"/>
      <c r="J20" s="20"/>
      <c r="K20" s="20"/>
    </row>
    <row r="21" customFormat="false" ht="18" hidden="false" customHeight="true" outlineLevel="0" collapsed="false">
      <c r="B21" s="15" t="s">
        <v>225</v>
      </c>
      <c r="C21" s="15"/>
      <c r="D21" s="15"/>
      <c r="E21" s="15"/>
      <c r="F21" s="106" t="n">
        <v>0.08</v>
      </c>
      <c r="G21" s="106"/>
      <c r="H21" s="20"/>
      <c r="I21" s="20"/>
      <c r="J21" s="20"/>
      <c r="K21" s="20"/>
    </row>
    <row r="23" customFormat="false" ht="21.75" hidden="false" customHeight="true" outlineLevel="0" collapsed="false">
      <c r="A23" s="3" t="s">
        <v>226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8" hidden="false" customHeight="true" outlineLevel="0" collapsed="false">
      <c r="B24" s="15" t="s">
        <v>227</v>
      </c>
      <c r="C24" s="15"/>
      <c r="D24" s="15"/>
      <c r="E24" s="15"/>
      <c r="F24" s="106" t="n">
        <f aca="false">IFERROR(INDEX(TAB_MACRO_VAL,MATCH("IMOB_VAL",TAB_MACRO_COD,0)),0.04)</f>
        <v>0.04</v>
      </c>
      <c r="G24" s="106"/>
      <c r="H24" s="20" t="s">
        <v>228</v>
      </c>
      <c r="I24" s="20"/>
      <c r="J24" s="20"/>
      <c r="K24" s="20"/>
    </row>
    <row r="25" customFormat="false" ht="18" hidden="false" customHeight="true" outlineLevel="0" collapsed="false">
      <c r="B25" s="15" t="s">
        <v>229</v>
      </c>
      <c r="C25" s="15"/>
      <c r="D25" s="15"/>
      <c r="E25" s="15"/>
      <c r="F25" s="106" t="n">
        <v>0.06</v>
      </c>
      <c r="G25" s="106"/>
      <c r="H25" s="20"/>
      <c r="I25" s="20"/>
      <c r="J25" s="20"/>
      <c r="K25" s="20"/>
    </row>
    <row r="26" customFormat="false" ht="19.5" hidden="false" customHeight="true" outlineLevel="0" collapsed="false">
      <c r="B26" s="15" t="s">
        <v>230</v>
      </c>
      <c r="C26" s="15"/>
      <c r="D26" s="15"/>
      <c r="E26" s="15"/>
      <c r="F26" s="16" t="s">
        <v>118</v>
      </c>
      <c r="G26" s="16"/>
      <c r="H26" s="20"/>
      <c r="I26" s="20"/>
      <c r="J26" s="20"/>
      <c r="K26" s="20"/>
    </row>
    <row r="28" customFormat="false" ht="21.75" hidden="false" customHeight="true" outlineLevel="0" collapsed="false">
      <c r="A28" s="3" t="s">
        <v>231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21.75" hidden="false" customHeight="true" outlineLevel="0" collapsed="false">
      <c r="B29" s="15" t="s">
        <v>232</v>
      </c>
      <c r="C29" s="15"/>
      <c r="D29" s="15"/>
      <c r="E29" s="15"/>
      <c r="F29" s="16" t="s">
        <v>233</v>
      </c>
      <c r="G29" s="16"/>
      <c r="H29" s="31" t="str">
        <f aca="false">IF(IMOV_DESTINO="Reinvestir","O aluguel líquido é aplicado todo mês e volta a render. O patrimônio final fica maior, mas o cliente não usa esse dinheiro no dia a dia.","O aluguel é gasto: hoje isso vira cerca de "&amp;TEXT(MotorImovel!$B$45,"R$ #,##0")&amp;" por mês no bolso, e o patrimônio cresce só pela valorização do imóvel.")</f>
        <v>O aluguel líquido é aplicado todo mês e volta a render. O patrimônio final fica maior, mas o cliente não usa esse dinheiro no dia a dia.</v>
      </c>
      <c r="I29" s="31"/>
      <c r="J29" s="31"/>
      <c r="K29" s="31"/>
    </row>
    <row r="30" customFormat="false" ht="18" hidden="false" customHeight="true" outlineLevel="0" collapsed="false">
      <c r="B30" s="15" t="s">
        <v>234</v>
      </c>
      <c r="C30" s="15"/>
      <c r="D30" s="15"/>
      <c r="E30" s="15"/>
      <c r="F30" s="106" t="n">
        <f aca="false">CDI_CENARIO*0.98</f>
        <v>0.10682</v>
      </c>
      <c r="G30" s="106"/>
      <c r="H30" s="31"/>
      <c r="I30" s="31"/>
      <c r="J30" s="31"/>
      <c r="K30" s="31"/>
    </row>
    <row r="32" customFormat="false" ht="21.75" hidden="false" customHeight="true" outlineLevel="0" collapsed="false">
      <c r="A32" s="3" t="s">
        <v>235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8" hidden="false" customHeight="true" outlineLevel="0" collapsed="false">
      <c r="B33" s="108" t="s">
        <v>236</v>
      </c>
      <c r="C33" s="108"/>
      <c r="D33" s="108"/>
      <c r="E33" s="108"/>
      <c r="F33" s="109" t="n">
        <f aca="false">MotorImovel!$B$34</f>
        <v>329895.572514463</v>
      </c>
      <c r="G33" s="109"/>
      <c r="H33" s="31" t="str">
        <f aca="false">"Comparando com a melhor alternativa financeira em uso: "&amp;TEXT(MAX(Motor!$B$40:$G$40),"R$ #,##0")&amp;". "&amp;IF(MotorImovel!$B$34&gt;MAX(Motor!$B$40:$G$40),"Nestas premissas o imóvel termina à frente — mas lembre que ele não tem liquidez, depende de inquilino e concentra todo o patrimônio em um único bem.","Nestas premissas a aplicação financeira termina à frente. Ainda assim, o imóvel pode fazer sentido por outros motivos: uso próprio, herança, segurança percebida.")</f>
        <v>Comparando com a melhor alternativa financeira em uso: R$ 410,727. Nestas premissas a aplicação financeira termina à frente. Ainda assim, o imóvel pode fazer sentido por outros motivos: uso próprio, herança, segurança percebida.</v>
      </c>
      <c r="I33" s="31"/>
      <c r="J33" s="31"/>
      <c r="K33" s="31"/>
    </row>
    <row r="34" customFormat="false" ht="18" hidden="false" customHeight="true" outlineLevel="0" collapsed="false">
      <c r="B34" s="110" t="s">
        <v>237</v>
      </c>
      <c r="C34" s="110"/>
      <c r="D34" s="110"/>
      <c r="E34" s="110"/>
      <c r="F34" s="111" t="n">
        <f aca="false">MotorImovel!$B$36</f>
        <v>222865.628245043</v>
      </c>
      <c r="G34" s="111"/>
      <c r="H34" s="31"/>
      <c r="I34" s="31"/>
      <c r="J34" s="31"/>
      <c r="K34" s="31"/>
    </row>
    <row r="35" customFormat="false" ht="18" hidden="false" customHeight="true" outlineLevel="0" collapsed="false">
      <c r="B35" s="110" t="s">
        <v>238</v>
      </c>
      <c r="C35" s="110"/>
      <c r="D35" s="110"/>
      <c r="E35" s="110"/>
      <c r="F35" s="111" t="n">
        <f aca="false">MotorImovel!$B$37</f>
        <v>155250</v>
      </c>
      <c r="G35" s="111"/>
      <c r="H35" s="31"/>
      <c r="I35" s="31"/>
      <c r="J35" s="31"/>
      <c r="K35" s="31"/>
    </row>
    <row r="36" customFormat="false" ht="18" hidden="false" customHeight="true" outlineLevel="0" collapsed="false">
      <c r="B36" s="110" t="s">
        <v>95</v>
      </c>
      <c r="C36" s="110"/>
      <c r="D36" s="110"/>
      <c r="E36" s="110"/>
      <c r="F36" s="111" t="n">
        <f aca="false">MotorImovel!$B$38</f>
        <v>174645.572514463</v>
      </c>
      <c r="G36" s="111"/>
      <c r="H36" s="31"/>
      <c r="I36" s="31"/>
      <c r="J36" s="31"/>
      <c r="K36" s="31"/>
    </row>
    <row r="37" customFormat="false" ht="18" hidden="false" customHeight="true" outlineLevel="0" collapsed="false">
      <c r="B37" s="110" t="s">
        <v>239</v>
      </c>
      <c r="C37" s="110"/>
      <c r="D37" s="110"/>
      <c r="E37" s="110"/>
      <c r="F37" s="111" t="n">
        <f aca="false">MotorImovel!$B$39</f>
        <v>16294.185644713</v>
      </c>
      <c r="G37" s="111"/>
      <c r="H37" s="31"/>
      <c r="I37" s="31"/>
      <c r="J37" s="31"/>
      <c r="K37" s="31"/>
    </row>
    <row r="38" customFormat="false" ht="18" hidden="false" customHeight="true" outlineLevel="0" collapsed="false">
      <c r="B38" s="110" t="s">
        <v>240</v>
      </c>
      <c r="C38" s="110"/>
      <c r="D38" s="110"/>
      <c r="E38" s="110"/>
      <c r="F38" s="111" t="n">
        <f aca="false">MotorImovel!$B$40</f>
        <v>68286.677027061</v>
      </c>
      <c r="G38" s="111"/>
      <c r="H38" s="31"/>
      <c r="I38" s="31"/>
      <c r="J38" s="31"/>
      <c r="K38" s="31"/>
    </row>
    <row r="39" customFormat="false" ht="18" hidden="false" customHeight="true" outlineLevel="0" collapsed="false">
      <c r="B39" s="110" t="s">
        <v>241</v>
      </c>
      <c r="C39" s="110"/>
      <c r="D39" s="110"/>
      <c r="E39" s="110"/>
      <c r="F39" s="112" t="n">
        <f aca="false">MotorImovel!$B$41</f>
        <v>1.12493122392569</v>
      </c>
      <c r="G39" s="112"/>
      <c r="H39" s="31"/>
      <c r="I39" s="31"/>
      <c r="J39" s="31"/>
      <c r="K39" s="31"/>
    </row>
    <row r="40" customFormat="false" ht="18" hidden="false" customHeight="true" outlineLevel="0" collapsed="false">
      <c r="B40" s="110" t="s">
        <v>242</v>
      </c>
      <c r="C40" s="110"/>
      <c r="D40" s="110"/>
      <c r="E40" s="110"/>
      <c r="F40" s="112" t="n">
        <f aca="false">MotorImovel!$B$42</f>
        <v>0.0782872942052704</v>
      </c>
      <c r="G40" s="112"/>
      <c r="H40" s="31"/>
      <c r="I40" s="31"/>
      <c r="J40" s="31"/>
      <c r="K40" s="31"/>
    </row>
    <row r="41" customFormat="false" ht="18" hidden="false" customHeight="true" outlineLevel="0" collapsed="false">
      <c r="B41" s="110" t="s">
        <v>243</v>
      </c>
      <c r="C41" s="110"/>
      <c r="D41" s="110"/>
      <c r="E41" s="110"/>
      <c r="F41" s="112" t="n">
        <f aca="false">MotorImovel!$B$43</f>
        <v>0.0368147059666062</v>
      </c>
      <c r="G41" s="112"/>
      <c r="H41" s="31"/>
      <c r="I41" s="31"/>
      <c r="J41" s="31"/>
      <c r="K41" s="31"/>
    </row>
    <row r="42" customFormat="false" ht="18" hidden="false" customHeight="true" outlineLevel="0" collapsed="false">
      <c r="B42" s="110" t="s">
        <v>244</v>
      </c>
      <c r="C42" s="110"/>
      <c r="D42" s="110"/>
      <c r="E42" s="110"/>
      <c r="F42" s="111" t="n">
        <f aca="false">MotorImovel!$B$45</f>
        <v>827.862635730365</v>
      </c>
      <c r="G42" s="111"/>
      <c r="H42" s="31"/>
      <c r="I42" s="31"/>
      <c r="J42" s="31"/>
      <c r="K42" s="31"/>
    </row>
    <row r="44" customFormat="false" ht="25.5" hidden="false" customHeight="true" outlineLevel="0" collapsed="false">
      <c r="A44" s="12" t="s">
        <v>245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6" customFormat="false" ht="25.5" hidden="false" customHeight="true" outlineLevel="0" collapsed="false">
      <c r="B46" s="47" t="s">
        <v>84</v>
      </c>
      <c r="C46" s="47"/>
      <c r="D46" s="47" t="s">
        <v>107</v>
      </c>
      <c r="E46" s="47"/>
      <c r="F46" s="47" t="s">
        <v>188</v>
      </c>
      <c r="G46" s="47"/>
      <c r="H46" s="47" t="s">
        <v>246</v>
      </c>
      <c r="I46" s="47"/>
      <c r="J46" s="47" t="s">
        <v>23</v>
      </c>
      <c r="K46" s="47"/>
    </row>
  </sheetData>
  <mergeCells count="77">
    <mergeCell ref="A1:K1"/>
    <mergeCell ref="A2:K2"/>
    <mergeCell ref="A4:K4"/>
    <mergeCell ref="B5:E5"/>
    <mergeCell ref="F5:G5"/>
    <mergeCell ref="B6:E6"/>
    <mergeCell ref="F6:G6"/>
    <mergeCell ref="B7:E7"/>
    <mergeCell ref="F7:G7"/>
    <mergeCell ref="B8:E8"/>
    <mergeCell ref="F8:G8"/>
    <mergeCell ref="B9:E9"/>
    <mergeCell ref="F9:G9"/>
    <mergeCell ref="B10:K10"/>
    <mergeCell ref="A11:K11"/>
    <mergeCell ref="B12:E12"/>
    <mergeCell ref="F12:G12"/>
    <mergeCell ref="B13:E13"/>
    <mergeCell ref="F13:G13"/>
    <mergeCell ref="B14:E14"/>
    <mergeCell ref="F14:G14"/>
    <mergeCell ref="B15:E15"/>
    <mergeCell ref="F15:G15"/>
    <mergeCell ref="H15:K15"/>
    <mergeCell ref="B16:E16"/>
    <mergeCell ref="F16:G16"/>
    <mergeCell ref="H16:K16"/>
    <mergeCell ref="A18:K18"/>
    <mergeCell ref="B19:E19"/>
    <mergeCell ref="F19:G19"/>
    <mergeCell ref="H19:K21"/>
    <mergeCell ref="B20:E20"/>
    <mergeCell ref="F20:G20"/>
    <mergeCell ref="B21:E21"/>
    <mergeCell ref="F21:G21"/>
    <mergeCell ref="A23:K23"/>
    <mergeCell ref="B24:E24"/>
    <mergeCell ref="F24:G24"/>
    <mergeCell ref="H24:K26"/>
    <mergeCell ref="B25:E25"/>
    <mergeCell ref="F25:G25"/>
    <mergeCell ref="B26:E26"/>
    <mergeCell ref="F26:G26"/>
    <mergeCell ref="A28:K28"/>
    <mergeCell ref="B29:E29"/>
    <mergeCell ref="F29:G29"/>
    <mergeCell ref="H29:K30"/>
    <mergeCell ref="B30:E30"/>
    <mergeCell ref="F30:G30"/>
    <mergeCell ref="A32:K32"/>
    <mergeCell ref="B33:E33"/>
    <mergeCell ref="F33:G33"/>
    <mergeCell ref="H33:K42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E39"/>
    <mergeCell ref="F39:G39"/>
    <mergeCell ref="B40:E40"/>
    <mergeCell ref="F40:G40"/>
    <mergeCell ref="B41:E41"/>
    <mergeCell ref="F41:G41"/>
    <mergeCell ref="B42:E42"/>
    <mergeCell ref="F42:G42"/>
    <mergeCell ref="A44:K44"/>
    <mergeCell ref="B46:C46"/>
    <mergeCell ref="D46:E46"/>
    <mergeCell ref="F46:G46"/>
    <mergeCell ref="H46:I46"/>
    <mergeCell ref="J46:K46"/>
  </mergeCells>
  <conditionalFormatting sqref="B10:K10">
    <cfRule type="expression" priority="2" aboveAverage="0" equalAverage="0" bottom="0" percent="0" rank="0" text="" dxfId="1">
      <formula>LEFT($B$10,1)="⚠"</formula>
    </cfRule>
    <cfRule type="expression" priority="3" aboveAverage="0" equalAverage="0" bottom="0" percent="0" rank="0" text="" dxfId="0">
      <formula>LEFT($B$10,1)="✓"</formula>
    </cfRule>
  </conditionalFormatting>
  <dataValidations count="4">
    <dataValidation allowBlank="true" errorStyle="stop" operator="between" showDropDown="false" showErrorMessage="false" showInputMessage="false" sqref="F5" type="list">
      <formula1>"Sim,Não"</formula1>
      <formula2>0</formula2>
    </dataValidation>
    <dataValidation allowBlank="true" errorStyle="stop" operator="between" showDropDown="false" showErrorMessage="false" showInputMessage="false" sqref="F12" type="list">
      <formula1>"Informar o valor do aluguel,Usar o yield da aba Premissas"</formula1>
      <formula2>0</formula2>
    </dataValidation>
    <dataValidation allowBlank="true" errorStyle="stop" operator="between" showDropDown="false" showErrorMessage="false" showInputMessage="false" sqref="F26" type="list">
      <formula1>"Sim,Não"</formula1>
      <formula2>0</formula2>
    </dataValidation>
    <dataValidation allowBlank="true" errorStyle="stop" operator="between" showDropDown="false" showErrorMessage="false" showInputMessage="false" sqref="F29" type="list">
      <formula1>"Reinvestir,Consumir (renda mensal)"</formula1>
      <formula2>0</formula2>
    </dataValidation>
  </dataValidations>
  <hyperlinks>
    <hyperlink ref="B46" location="Inicio!A1" display="◀ INÍCIO"/>
    <hyperlink ref="D46" location="Cliente!A1" display="◀ CLIENTE"/>
    <hyperlink ref="F46" location="Comparar!A1" display="COMPARAR"/>
    <hyperlink ref="H46" location="MotorImovel!A1" display="VER MÊS A MÊS DO IMÓVEL"/>
    <hyperlink ref="J46" location="Premissas!A1" display="PREMISS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EBB"/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8"/>
    <col collapsed="false" customWidth="true" hidden="false" outlineLevel="0" max="11" min="10" style="0" width="26"/>
    <col collapsed="false" customWidth="true" hidden="false" outlineLevel="0" max="12" min="12" style="0" width="2"/>
  </cols>
  <sheetData>
    <row r="1" customFormat="false" ht="33.75" hidden="false" customHeight="true" outlineLevel="0" collapsed="false">
      <c r="A1" s="13" t="s">
        <v>247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8" hidden="false" customHeight="true" outlineLevel="0" collapsed="false">
      <c r="A2" s="14" t="s">
        <v>248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21.75" hidden="false" customHeight="true" outlineLevel="0" collapsed="false">
      <c r="A4" s="3" t="s">
        <v>249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8" hidden="false" customHeight="true" outlineLevel="0" collapsed="false">
      <c r="B5" s="110" t="s">
        <v>250</v>
      </c>
      <c r="C5" s="110"/>
      <c r="D5" s="110"/>
      <c r="E5" s="113" t="str">
        <f aca="false">PGBL_COMPLETA</f>
        <v>Não</v>
      </c>
      <c r="F5" s="114" t="str">
        <f aca="false">IF(PGBL_COMPLETA&lt;&gt;"Sim","VEREDITO: o PGBL não faz sentido aqui. Ele só entrega vantagem para quem declara no modelo completo e tem imposto a deduzir. Para quem declara simplificado ou é isento, o VGBL é o caminho, porque cobra imposto apenas sobre o rendimento.",IF(PGBL_RENDA&lt;=0,"VEREDITO: informe a renda bruta anual tributável na aba Consultor para calcular o benefício.","VEREDITO: o PGBL faz sentido. O cliente pode deduzir "&amp;TEXT(MIN(IN_APORTE*12,PGBL_RENDA*LIMITE_PGBL),"R$ #,##0")&amp;" por ano, o que devolve cerca de "&amp;TEXT(PGBL_BENEFICIO,"R$ #,##0")&amp;" na declaração. Atenção: na saída o imposto incide sobre o VALOR TOTAL resgatado, não só sobre o rendimento — o benefício é um adiantamento, não um perdão."))</f>
        <v>VEREDITO: o PGBL não faz sentido aqui. Ele só entrega vantagem para quem declara no modelo completo e tem imposto a deduzir. Para quem declara simplificado ou é isento, o VGBL é o caminho, porque cobra imposto apenas sobre o rendimento.</v>
      </c>
      <c r="G5" s="114"/>
      <c r="H5" s="114"/>
      <c r="I5" s="114"/>
      <c r="J5" s="114"/>
      <c r="K5" s="114"/>
    </row>
    <row r="6" customFormat="false" ht="18" hidden="false" customHeight="true" outlineLevel="0" collapsed="false">
      <c r="B6" s="110" t="s">
        <v>251</v>
      </c>
      <c r="C6" s="110"/>
      <c r="D6" s="110"/>
      <c r="E6" s="113" t="str">
        <f aca="false">IF(PGBL_RENDA&gt;0,"Sim","Não informada")</f>
        <v>Não informada</v>
      </c>
      <c r="F6" s="114"/>
      <c r="G6" s="114"/>
      <c r="H6" s="114"/>
      <c r="I6" s="114"/>
      <c r="J6" s="114"/>
      <c r="K6" s="114"/>
    </row>
    <row r="7" customFormat="false" ht="18" hidden="false" customHeight="true" outlineLevel="0" collapsed="false">
      <c r="B7" s="110" t="s">
        <v>252</v>
      </c>
      <c r="C7" s="110"/>
      <c r="D7" s="110"/>
      <c r="E7" s="115" t="n">
        <f aca="false">PGBL_RENDA*LIMITE_PGBL</f>
        <v>0</v>
      </c>
      <c r="F7" s="114"/>
      <c r="G7" s="114"/>
      <c r="H7" s="114"/>
      <c r="I7" s="114"/>
      <c r="J7" s="114"/>
      <c r="K7" s="114"/>
    </row>
    <row r="8" customFormat="false" ht="18" hidden="false" customHeight="true" outlineLevel="0" collapsed="false">
      <c r="B8" s="110" t="s">
        <v>253</v>
      </c>
      <c r="C8" s="110"/>
      <c r="D8" s="110"/>
      <c r="E8" s="115" t="n">
        <f aca="false">IN_APORTE*12</f>
        <v>0</v>
      </c>
      <c r="F8" s="114"/>
      <c r="G8" s="114"/>
      <c r="H8" s="114"/>
      <c r="I8" s="114"/>
      <c r="J8" s="114"/>
      <c r="K8" s="114"/>
    </row>
    <row r="9" customFormat="false" ht="18" hidden="false" customHeight="true" outlineLevel="0" collapsed="false">
      <c r="B9" s="110" t="s">
        <v>254</v>
      </c>
      <c r="C9" s="110"/>
      <c r="D9" s="110"/>
      <c r="E9" s="115" t="n">
        <f aca="false">MIN(IN_APORTE*12,PGBL_RENDA*LIMITE_PGBL)</f>
        <v>0</v>
      </c>
      <c r="F9" s="114"/>
      <c r="G9" s="114"/>
      <c r="H9" s="114"/>
      <c r="I9" s="114"/>
      <c r="J9" s="114"/>
      <c r="K9" s="114"/>
    </row>
    <row r="11" customFormat="false" ht="21.75" hidden="false" customHeight="true" outlineLevel="0" collapsed="false">
      <c r="A11" s="3" t="s">
        <v>255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8" hidden="false" customHeight="true" outlineLevel="0" collapsed="false">
      <c r="B12" s="110" t="s">
        <v>256</v>
      </c>
      <c r="C12" s="110"/>
      <c r="D12" s="110"/>
      <c r="E12" s="116" t="n">
        <f aca="false">PGBL_BENEFICIO</f>
        <v>0</v>
      </c>
      <c r="F12" s="31" t="s">
        <v>257</v>
      </c>
      <c r="G12" s="31"/>
      <c r="H12" s="31"/>
      <c r="I12" s="31"/>
      <c r="J12" s="31"/>
      <c r="K12" s="31"/>
    </row>
    <row r="13" customFormat="false" ht="18" hidden="false" customHeight="true" outlineLevel="0" collapsed="false">
      <c r="B13" s="110" t="s">
        <v>258</v>
      </c>
      <c r="C13" s="110"/>
      <c r="D13" s="110"/>
      <c r="E13" s="116" t="n">
        <f aca="false">PGBL_BENEFICIO*IN_PRAZO/12</f>
        <v>0</v>
      </c>
      <c r="F13" s="31"/>
      <c r="G13" s="31"/>
      <c r="H13" s="31"/>
      <c r="I13" s="31"/>
      <c r="J13" s="31"/>
      <c r="K13" s="31"/>
    </row>
    <row r="14" customFormat="false" ht="18" hidden="false" customHeight="true" outlineLevel="0" collapsed="false">
      <c r="B14" s="110" t="s">
        <v>259</v>
      </c>
      <c r="C14" s="110"/>
      <c r="D14" s="110"/>
      <c r="E14" s="116" t="n">
        <f aca="false">IF(PGBL_REINVESTE&lt;&gt;"Sim",0,IF(CDI_CENARIO=0,PGBL_BENEFICIO*IN_PRAZO/12,PGBL_BENEFICIO*((1+CDI_CENARIO)^(IN_PRAZO/12)-1)/CDI_CENARIO))</f>
        <v>0</v>
      </c>
      <c r="F14" s="31"/>
      <c r="G14" s="31"/>
      <c r="H14" s="31"/>
      <c r="I14" s="31"/>
      <c r="J14" s="31"/>
      <c r="K14" s="31"/>
    </row>
    <row r="15" customFormat="false" ht="18" hidden="false" customHeight="true" outlineLevel="0" collapsed="false">
      <c r="B15" s="110" t="s">
        <v>260</v>
      </c>
      <c r="C15" s="110"/>
      <c r="D15" s="110"/>
      <c r="E15" s="117" t="str">
        <f aca="false">PGBL_REINVESTE</f>
        <v>Sim</v>
      </c>
      <c r="F15" s="31"/>
      <c r="G15" s="31"/>
      <c r="H15" s="31"/>
      <c r="I15" s="31"/>
      <c r="J15" s="31"/>
      <c r="K15" s="31"/>
    </row>
    <row r="17" customFormat="false" ht="21.75" hidden="false" customHeight="true" outlineLevel="0" collapsed="false">
      <c r="A17" s="3" t="s">
        <v>261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25.5" hidden="false" customHeight="true" outlineLevel="0" collapsed="false">
      <c r="B18" s="34" t="s">
        <v>262</v>
      </c>
      <c r="C18" s="34" t="s">
        <v>263</v>
      </c>
      <c r="D18" s="34" t="s">
        <v>264</v>
      </c>
      <c r="E18" s="34" t="s">
        <v>265</v>
      </c>
      <c r="F18" s="34" t="s">
        <v>266</v>
      </c>
    </row>
    <row r="19" customFormat="false" ht="15.75" hidden="false" customHeight="true" outlineLevel="0" collapsed="false">
      <c r="B19" s="118" t="s">
        <v>267</v>
      </c>
      <c r="C19" s="119" t="n">
        <f aca="false">INDEX(TAB_IR,MATCH(0,TAB_IR_DIAS,1),MATCH("PREV_REGR",TAB_IR_REGIMES,0))</f>
        <v>0.35</v>
      </c>
      <c r="D19" s="90" t="n">
        <f aca="false">INDEX(TAB_IR,MATCH(0,TAB_IR_DIAS,1),MATCH("PREV_PROG",TAB_IR_REGIMES,0))</f>
        <v>0.15</v>
      </c>
      <c r="E19" s="120" t="str">
        <f aca="false">IF($C19&lt;$D19,"Regressivo",IF($C19=$D19,"Empate","Progressivo"))</f>
        <v>Progressivo</v>
      </c>
      <c r="F19" s="121" t="s">
        <v>268</v>
      </c>
      <c r="G19" s="121"/>
      <c r="H19" s="121"/>
      <c r="I19" s="121"/>
      <c r="J19" s="121"/>
      <c r="K19" s="121"/>
    </row>
    <row r="20" customFormat="false" ht="15.75" hidden="false" customHeight="true" outlineLevel="0" collapsed="false">
      <c r="B20" s="118" t="s">
        <v>269</v>
      </c>
      <c r="C20" s="119" t="n">
        <f aca="false">INDEX(TAB_IR,MATCH(721,TAB_IR_DIAS,1),MATCH("PREV_REGR",TAB_IR_REGIMES,0))</f>
        <v>0.3</v>
      </c>
      <c r="D20" s="90" t="n">
        <f aca="false">INDEX(TAB_IR,MATCH(721,TAB_IR_DIAS,1),MATCH("PREV_PROG",TAB_IR_REGIMES,0))</f>
        <v>0.15</v>
      </c>
      <c r="E20" s="120" t="str">
        <f aca="false">IF($C20&lt;$D20,"Regressivo",IF($C20=$D20,"Empate","Progressivo"))</f>
        <v>Progressivo</v>
      </c>
      <c r="F20" s="121" t="s">
        <v>270</v>
      </c>
      <c r="G20" s="121"/>
      <c r="H20" s="121"/>
      <c r="I20" s="121"/>
      <c r="J20" s="121"/>
      <c r="K20" s="121"/>
    </row>
    <row r="21" customFormat="false" ht="15.75" hidden="false" customHeight="true" outlineLevel="0" collapsed="false">
      <c r="B21" s="118" t="s">
        <v>271</v>
      </c>
      <c r="C21" s="119" t="n">
        <f aca="false">INDEX(TAB_IR,MATCH(1441,TAB_IR_DIAS,1),MATCH("PREV_REGR",TAB_IR_REGIMES,0))</f>
        <v>0.25</v>
      </c>
      <c r="D21" s="90" t="n">
        <f aca="false">INDEX(TAB_IR,MATCH(1441,TAB_IR_DIAS,1),MATCH("PREV_PROG",TAB_IR_REGIMES,0))</f>
        <v>0.15</v>
      </c>
      <c r="E21" s="120" t="str">
        <f aca="false">IF($C21&lt;$D21,"Regressivo",IF($C21=$D21,"Empate","Progressivo"))</f>
        <v>Progressivo</v>
      </c>
      <c r="F21" s="121" t="s">
        <v>272</v>
      </c>
      <c r="G21" s="121"/>
      <c r="H21" s="121"/>
      <c r="I21" s="121"/>
      <c r="J21" s="121"/>
      <c r="K21" s="121"/>
    </row>
    <row r="22" customFormat="false" ht="15.75" hidden="false" customHeight="true" outlineLevel="0" collapsed="false">
      <c r="B22" s="118" t="s">
        <v>273</v>
      </c>
      <c r="C22" s="119" t="n">
        <f aca="false">INDEX(TAB_IR,MATCH(2161,TAB_IR_DIAS,1),MATCH("PREV_REGR",TAB_IR_REGIMES,0))</f>
        <v>0.2</v>
      </c>
      <c r="D22" s="90" t="n">
        <f aca="false">INDEX(TAB_IR,MATCH(2161,TAB_IR_DIAS,1),MATCH("PREV_PROG",TAB_IR_REGIMES,0))</f>
        <v>0.15</v>
      </c>
      <c r="E22" s="120" t="str">
        <f aca="false">IF($C22&lt;$D22,"Regressivo",IF($C22=$D22,"Empate","Progressivo"))</f>
        <v>Progressivo</v>
      </c>
      <c r="F22" s="121" t="s">
        <v>272</v>
      </c>
      <c r="G22" s="121"/>
      <c r="H22" s="121"/>
      <c r="I22" s="121"/>
      <c r="J22" s="121"/>
      <c r="K22" s="121"/>
    </row>
    <row r="23" customFormat="false" ht="15.75" hidden="false" customHeight="true" outlineLevel="0" collapsed="false">
      <c r="B23" s="118" t="s">
        <v>274</v>
      </c>
      <c r="C23" s="119" t="n">
        <f aca="false">INDEX(TAB_IR,MATCH(2881,TAB_IR_DIAS,1),MATCH("PREV_REGR",TAB_IR_REGIMES,0))</f>
        <v>0.15</v>
      </c>
      <c r="D23" s="90" t="n">
        <f aca="false">INDEX(TAB_IR,MATCH(2881,TAB_IR_DIAS,1),MATCH("PREV_PROG",TAB_IR_REGIMES,0))</f>
        <v>0.15</v>
      </c>
      <c r="E23" s="120" t="str">
        <f aca="false">IF($C23&lt;$D23,"Regressivo",IF($C23=$D23,"Empate","Progressivo"))</f>
        <v>Empate</v>
      </c>
      <c r="F23" s="121" t="s">
        <v>272</v>
      </c>
      <c r="G23" s="121"/>
      <c r="H23" s="121"/>
      <c r="I23" s="121"/>
      <c r="J23" s="121"/>
      <c r="K23" s="121"/>
    </row>
    <row r="24" customFormat="false" ht="15.75" hidden="false" customHeight="true" outlineLevel="0" collapsed="false">
      <c r="B24" s="118" t="s">
        <v>275</v>
      </c>
      <c r="C24" s="119" t="n">
        <f aca="false">INDEX(TAB_IR,MATCH(3601,TAB_IR_DIAS,1),MATCH("PREV_REGR",TAB_IR_REGIMES,0))</f>
        <v>0.1</v>
      </c>
      <c r="D24" s="90" t="n">
        <f aca="false">INDEX(TAB_IR,MATCH(3601,TAB_IR_DIAS,1),MATCH("PREV_PROG",TAB_IR_REGIMES,0))</f>
        <v>0.15</v>
      </c>
      <c r="E24" s="120" t="str">
        <f aca="false">IF($C24&lt;$D24,"Regressivo",IF($C24=$D24,"Empate","Progressivo"))</f>
        <v>Regressivo</v>
      </c>
      <c r="F24" s="121" t="s">
        <v>276</v>
      </c>
      <c r="G24" s="121"/>
      <c r="H24" s="121"/>
      <c r="I24" s="121"/>
      <c r="J24" s="121"/>
      <c r="K24" s="121"/>
    </row>
    <row r="26" customFormat="false" ht="31.5" hidden="false" customHeight="true" outlineLevel="0" collapsed="false">
      <c r="B26" s="122" t="str">
        <f aca="false">"No prazo escolhido ("&amp;IN_PRAZO&amp;" meses), o regime regressivo cobraria "&amp;TEXT(INDEX(TAB_IR,MATCH(IN_PRAZO*30,TAB_IR_DIAS,1),MATCH("PREV_REGR",TAB_IR_REGIMES,0)),"0.0%")&amp;" e o progressivo, "&amp;TEXT(INDEX(TAB_IR,MATCH(IN_PRAZO*30,TAB_IR_DIAS,1),MATCH("PREV_PROG",TAB_IR_REGIMES,0)),"0.0%")&amp;" na fonte. O progressivo só ganha quando a renda futura do cliente for baixa ou isenta — porque aí o acerto na declaração devolve imposto."</f>
        <v>No prazo escolhido (120 meses), o regime regressivo cobraria 15.0% e o progressivo, 15.0% na fonte. O progressivo só ganha quando a renda futura do cliente for baixa ou isenta — porque aí o acerto na declaração devolve imposto.</v>
      </c>
      <c r="C26" s="122"/>
      <c r="D26" s="122"/>
      <c r="E26" s="122"/>
      <c r="F26" s="122"/>
      <c r="G26" s="122"/>
      <c r="H26" s="122"/>
      <c r="I26" s="122"/>
      <c r="J26" s="122"/>
      <c r="K26" s="122"/>
    </row>
    <row r="28" customFormat="false" ht="21.75" hidden="false" customHeight="true" outlineLevel="0" collapsed="false">
      <c r="A28" s="3" t="s">
        <v>277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21.75" hidden="false" customHeight="true" outlineLevel="0" collapsed="false">
      <c r="A29" s="18" t="s">
        <v>278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customFormat="false" ht="25.5" hidden="false" customHeight="true" outlineLevel="0" collapsed="false">
      <c r="B30" s="34" t="s">
        <v>279</v>
      </c>
      <c r="C30" s="34" t="s">
        <v>280</v>
      </c>
      <c r="D30" s="34" t="s">
        <v>281</v>
      </c>
      <c r="E30" s="34" t="s">
        <v>282</v>
      </c>
      <c r="F30" s="34" t="s">
        <v>283</v>
      </c>
      <c r="G30" s="34" t="s">
        <v>93</v>
      </c>
      <c r="H30" s="34" t="s">
        <v>284</v>
      </c>
      <c r="I30" s="34" t="s">
        <v>101</v>
      </c>
    </row>
    <row r="31" customFormat="false" ht="19.5" hidden="false" customHeight="true" outlineLevel="0" collapsed="false">
      <c r="B31" s="123" t="str">
        <f aca="false">IF(ISNUMBER(SEARCH("PREV",Motor!$B$8)),Motor!$B$6,"—")</f>
        <v>—</v>
      </c>
      <c r="C31" s="124" t="str">
        <f aca="false">IF(ISNUMBER(SEARCH("PREV",Motor!$B$8)),IF(Motor!$B$26=2,"PGBL (IR sobre o total)","VGBL (IR só sobre o rendimento)"),"")</f>
        <v/>
      </c>
      <c r="D31" s="125" t="str">
        <f aca="false">IF(ISNUMBER(SEARCH("PREV",Motor!$B$8)),Motor!$B$8,"")</f>
        <v/>
      </c>
      <c r="E31" s="126" t="str">
        <f aca="false">IF(ISNUMBER(SEARCH("PREV",Motor!$B$8)),Motor!$B$20,"")</f>
        <v/>
      </c>
      <c r="F31" s="126" t="str">
        <f aca="false">IF(ISNUMBER(SEARCH("PREV",Motor!$B$8)),Motor!$B$24,"")</f>
        <v/>
      </c>
      <c r="G31" s="127" t="str">
        <f aca="false">IF(ISNUMBER(SEARCH("PREV",Motor!$B$8)),Motor!$B$40,"")</f>
        <v/>
      </c>
      <c r="H31" s="128" t="str">
        <f aca="false">IF(ISNUMBER(SEARCH("PREV",Motor!$B$8)),Motor!$B$45,"")</f>
        <v/>
      </c>
      <c r="I31" s="128" t="str">
        <f aca="false">IF(ISNUMBER(SEARCH("PREV",Motor!$B$8)),Motor!$B$51,"")</f>
        <v/>
      </c>
    </row>
    <row r="32" customFormat="false" ht="19.5" hidden="false" customHeight="true" outlineLevel="0" collapsed="false">
      <c r="B32" s="123" t="str">
        <f aca="false">IF(ISNUMBER(SEARCH("PREV",Motor!$C$8)),Motor!$C$6,"—")</f>
        <v>—</v>
      </c>
      <c r="C32" s="124" t="str">
        <f aca="false">IF(ISNUMBER(SEARCH("PREV",Motor!$C$8)),IF(Motor!$C$26=2,"PGBL (IR sobre o total)","VGBL (IR só sobre o rendimento)"),"")</f>
        <v/>
      </c>
      <c r="D32" s="125" t="str">
        <f aca="false">IF(ISNUMBER(SEARCH("PREV",Motor!$C$8)),Motor!$C$8,"")</f>
        <v/>
      </c>
      <c r="E32" s="126" t="str">
        <f aca="false">IF(ISNUMBER(SEARCH("PREV",Motor!$C$8)),Motor!$C$20,"")</f>
        <v/>
      </c>
      <c r="F32" s="126" t="str">
        <f aca="false">IF(ISNUMBER(SEARCH("PREV",Motor!$C$8)),Motor!$C$24,"")</f>
        <v/>
      </c>
      <c r="G32" s="127" t="str">
        <f aca="false">IF(ISNUMBER(SEARCH("PREV",Motor!$C$8)),Motor!$C$40,"")</f>
        <v/>
      </c>
      <c r="H32" s="128" t="str">
        <f aca="false">IF(ISNUMBER(SEARCH("PREV",Motor!$C$8)),Motor!$C$45,"")</f>
        <v/>
      </c>
      <c r="I32" s="128" t="str">
        <f aca="false">IF(ISNUMBER(SEARCH("PREV",Motor!$C$8)),Motor!$C$51,"")</f>
        <v/>
      </c>
    </row>
    <row r="33" customFormat="false" ht="19.5" hidden="false" customHeight="true" outlineLevel="0" collapsed="false">
      <c r="B33" s="123" t="str">
        <f aca="false">IF(ISNUMBER(SEARCH("PREV",Motor!$D$8)),Motor!$D$6,"—")</f>
        <v>—</v>
      </c>
      <c r="C33" s="124" t="str">
        <f aca="false">IF(ISNUMBER(SEARCH("PREV",Motor!$D$8)),IF(Motor!$D$26=2,"PGBL (IR sobre o total)","VGBL (IR só sobre o rendimento)"),"")</f>
        <v/>
      </c>
      <c r="D33" s="125" t="str">
        <f aca="false">IF(ISNUMBER(SEARCH("PREV",Motor!$D$8)),Motor!$D$8,"")</f>
        <v/>
      </c>
      <c r="E33" s="126" t="str">
        <f aca="false">IF(ISNUMBER(SEARCH("PREV",Motor!$D$8)),Motor!$D$20,"")</f>
        <v/>
      </c>
      <c r="F33" s="126" t="str">
        <f aca="false">IF(ISNUMBER(SEARCH("PREV",Motor!$D$8)),Motor!$D$24,"")</f>
        <v/>
      </c>
      <c r="G33" s="127" t="str">
        <f aca="false">IF(ISNUMBER(SEARCH("PREV",Motor!$D$8)),Motor!$D$40,"")</f>
        <v/>
      </c>
      <c r="H33" s="128" t="str">
        <f aca="false">IF(ISNUMBER(SEARCH("PREV",Motor!$D$8)),Motor!$D$45,"")</f>
        <v/>
      </c>
      <c r="I33" s="128" t="str">
        <f aca="false">IF(ISNUMBER(SEARCH("PREV",Motor!$D$8)),Motor!$D$51,"")</f>
        <v/>
      </c>
    </row>
    <row r="34" customFormat="false" ht="19.5" hidden="false" customHeight="true" outlineLevel="0" collapsed="false">
      <c r="B34" s="123" t="str">
        <f aca="false">IF(ISNUMBER(SEARCH("PREV",Motor!$E$8)),Motor!$E$6,"—")</f>
        <v>VGBL CAIXA Composto 30 — Regressivo</v>
      </c>
      <c r="C34" s="124" t="str">
        <f aca="false">IF(ISNUMBER(SEARCH("PREV",Motor!$E$8)),IF(Motor!$E$26=2,"PGBL (IR sobre o total)","VGBL (IR só sobre o rendimento)"),"")</f>
        <v>VGBL (IR só sobre o rendimento)</v>
      </c>
      <c r="D34" s="125" t="str">
        <f aca="false">IF(ISNUMBER(SEARCH("PREV",Motor!$E$8)),Motor!$E$8,"")</f>
        <v>PREV_REGR</v>
      </c>
      <c r="E34" s="126" t="n">
        <f aca="false">IF(ISNUMBER(SEARCH("PREV",Motor!$E$8)),Motor!$E$20,"")</f>
        <v>0.015</v>
      </c>
      <c r="F34" s="126" t="n">
        <f aca="false">IF(ISNUMBER(SEARCH("PREV",Motor!$E$8)),Motor!$E$24,"")</f>
        <v>0</v>
      </c>
      <c r="G34" s="127" t="n">
        <f aca="false">IF(ISNUMBER(SEARCH("PREV",Motor!$E$8)),Motor!$E$40,"")</f>
        <v>376188.272968797</v>
      </c>
      <c r="H34" s="128" t="n">
        <f aca="false">IF(ISNUMBER(SEARCH("PREV",Motor!$E$8)),Motor!$E$45,"")</f>
        <v>39915.577582729</v>
      </c>
      <c r="I34" s="128" t="n">
        <f aca="false">IF(ISNUMBER(SEARCH("PREV",Motor!$E$8)),Motor!$E$51,"")</f>
        <v>2730.34948662969</v>
      </c>
    </row>
    <row r="35" customFormat="false" ht="19.5" hidden="false" customHeight="true" outlineLevel="0" collapsed="false">
      <c r="B35" s="123" t="str">
        <f aca="false">IF(ISNUMBER(SEARCH("PREV",Motor!$F$8)),Motor!$F$6,"—")</f>
        <v>PGBL CAIXA Composto 30 — Regressivo</v>
      </c>
      <c r="C35" s="124" t="str">
        <f aca="false">IF(ISNUMBER(SEARCH("PREV",Motor!$F$8)),IF(Motor!$F$26=2,"PGBL (IR sobre o total)","VGBL (IR só sobre o rendimento)"),"")</f>
        <v>PGBL (IR sobre o total)</v>
      </c>
      <c r="D35" s="125" t="str">
        <f aca="false">IF(ISNUMBER(SEARCH("PREV",Motor!$F$8)),Motor!$F$8,"")</f>
        <v>PREV_REGR</v>
      </c>
      <c r="E35" s="126" t="n">
        <f aca="false">IF(ISNUMBER(SEARCH("PREV",Motor!$F$8)),Motor!$F$20,"")</f>
        <v>0.015</v>
      </c>
      <c r="F35" s="126" t="n">
        <f aca="false">IF(ISNUMBER(SEARCH("PREV",Motor!$F$8)),Motor!$F$24,"")</f>
        <v>0</v>
      </c>
      <c r="G35" s="127" t="n">
        <f aca="false">IF(ISNUMBER(SEARCH("PREV",Motor!$F$8)),Motor!$F$40,"")</f>
        <v>353688.272968797</v>
      </c>
      <c r="H35" s="128" t="n">
        <f aca="false">IF(ISNUMBER(SEARCH("PREV",Motor!$F$8)),Motor!$F$45,"")</f>
        <v>62415.577582729</v>
      </c>
      <c r="I35" s="128" t="n">
        <f aca="false">IF(ISNUMBER(SEARCH("PREV",Motor!$F$8)),Motor!$F$51,"")</f>
        <v>2567.04598180655</v>
      </c>
    </row>
    <row r="36" customFormat="false" ht="19.5" hidden="false" customHeight="true" outlineLevel="0" collapsed="false">
      <c r="B36" s="123" t="str">
        <f aca="false">IF(ISNUMBER(SEARCH("PREV",Motor!$G$8)),Motor!$G$6,"—")</f>
        <v>—</v>
      </c>
      <c r="C36" s="124" t="str">
        <f aca="false">IF(ISNUMBER(SEARCH("PREV",Motor!$G$8)),IF(Motor!$G$26=2,"PGBL (IR sobre o total)","VGBL (IR só sobre o rendimento)"),"")</f>
        <v/>
      </c>
      <c r="D36" s="125" t="str">
        <f aca="false">IF(ISNUMBER(SEARCH("PREV",Motor!$G$8)),Motor!$G$8,"")</f>
        <v/>
      </c>
      <c r="E36" s="126" t="str">
        <f aca="false">IF(ISNUMBER(SEARCH("PREV",Motor!$G$8)),Motor!$G$20,"")</f>
        <v/>
      </c>
      <c r="F36" s="126" t="str">
        <f aca="false">IF(ISNUMBER(SEARCH("PREV",Motor!$G$8)),Motor!$G$24,"")</f>
        <v/>
      </c>
      <c r="G36" s="127" t="str">
        <f aca="false">IF(ISNUMBER(SEARCH("PREV",Motor!$G$8)),Motor!$G$40,"")</f>
        <v/>
      </c>
      <c r="H36" s="128" t="str">
        <f aca="false">IF(ISNUMBER(SEARCH("PREV",Motor!$G$8)),Motor!$G$45,"")</f>
        <v/>
      </c>
      <c r="I36" s="128" t="str">
        <f aca="false">IF(ISNUMBER(SEARCH("PREV",Motor!$G$8)),Motor!$G$51,"")</f>
        <v/>
      </c>
    </row>
    <row r="38" customFormat="false" ht="21.75" hidden="false" customHeight="true" outlineLevel="0" collapsed="false">
      <c r="A38" s="3" t="s">
        <v>285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21.75" hidden="false" customHeight="true" outlineLevel="0" collapsed="false">
      <c r="A39" s="18" t="s">
        <v>286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customFormat="false" ht="18" hidden="false" customHeight="true" outlineLevel="0" collapsed="false">
      <c r="B40" s="110" t="s">
        <v>287</v>
      </c>
      <c r="C40" s="110"/>
      <c r="D40" s="129" t="n">
        <f aca="false">IF(Motor!$B$9=0,"",Motor!$B$51)</f>
        <v>3254.51962490677</v>
      </c>
      <c r="E40" s="129" t="n">
        <f aca="false">IF(Motor!$C$9=0,"",Motor!$C$51)</f>
        <v>2403.33481029411</v>
      </c>
      <c r="F40" s="129" t="n">
        <f aca="false">IF(Motor!$D$9=0,"",Motor!$D$51)</f>
        <v>2387.93680069255</v>
      </c>
      <c r="G40" s="129" t="n">
        <f aca="false">IF(Motor!$E$9=0,"",Motor!$E$51)</f>
        <v>2730.34948662969</v>
      </c>
      <c r="H40" s="129" t="n">
        <f aca="false">IF(Motor!$F$9=0,"",Motor!$F$51)</f>
        <v>2567.04598180655</v>
      </c>
      <c r="I40" s="129" t="n">
        <f aca="false">IF(Motor!$G$9=0,"",Motor!$G$51)</f>
        <v>1970.28211864106</v>
      </c>
    </row>
    <row r="41" customFormat="false" ht="18" hidden="false" customHeight="true" outlineLevel="0" collapsed="false">
      <c r="B41" s="108" t="s">
        <v>288</v>
      </c>
      <c r="C41" s="108"/>
      <c r="D41" s="127" t="n">
        <f aca="false">IF(Motor!$B$9=0,"",Motor!$B$52)</f>
        <v>1903.67498993128</v>
      </c>
      <c r="E41" s="127" t="n">
        <f aca="false">IF(Motor!$C$9=0,"",Motor!$C$52)</f>
        <v>1240.86239267196</v>
      </c>
      <c r="F41" s="127" t="n">
        <f aca="false">IF(Motor!$D$9=0,"",Motor!$D$52)</f>
        <v>1256.09573377489</v>
      </c>
      <c r="G41" s="127" t="n">
        <f aca="false">IF(Motor!$E$9=0,"",Motor!$E$52)</f>
        <v>1493.91627866229</v>
      </c>
      <c r="H41" s="127" t="n">
        <f aca="false">IF(Motor!$F$9=0,"",Motor!$F$52)</f>
        <v>1404.56443362833</v>
      </c>
      <c r="I41" s="127" t="n">
        <f aca="false">IF(Motor!$G$9=0,"",Motor!$G$52)</f>
        <v>931.109967090371</v>
      </c>
    </row>
    <row r="43" customFormat="false" ht="25.5" hidden="false" customHeight="true" outlineLevel="0" collapsed="false">
      <c r="A43" s="12" t="s">
        <v>289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5" customFormat="false" ht="25.5" hidden="false" customHeight="true" outlineLevel="0" collapsed="false">
      <c r="B45" s="47" t="s">
        <v>84</v>
      </c>
      <c r="C45" s="47"/>
      <c r="D45" s="47" t="s">
        <v>290</v>
      </c>
      <c r="E45" s="47"/>
      <c r="F45" s="47" t="s">
        <v>188</v>
      </c>
      <c r="G45" s="47"/>
      <c r="H45" s="47" t="s">
        <v>27</v>
      </c>
      <c r="I45" s="47"/>
    </row>
  </sheetData>
  <mergeCells count="34">
    <mergeCell ref="A1:K1"/>
    <mergeCell ref="A2:K2"/>
    <mergeCell ref="A4:K4"/>
    <mergeCell ref="B5:D5"/>
    <mergeCell ref="F5:K9"/>
    <mergeCell ref="B6:D6"/>
    <mergeCell ref="B7:D7"/>
    <mergeCell ref="B8:D8"/>
    <mergeCell ref="B9:D9"/>
    <mergeCell ref="A11:K11"/>
    <mergeCell ref="B12:D12"/>
    <mergeCell ref="F12:K15"/>
    <mergeCell ref="B13:D13"/>
    <mergeCell ref="B14:D14"/>
    <mergeCell ref="B15:D15"/>
    <mergeCell ref="A17:K17"/>
    <mergeCell ref="F19:K19"/>
    <mergeCell ref="F20:K20"/>
    <mergeCell ref="F21:K21"/>
    <mergeCell ref="F22:K22"/>
    <mergeCell ref="F23:K23"/>
    <mergeCell ref="F24:K24"/>
    <mergeCell ref="B26:K26"/>
    <mergeCell ref="A28:K28"/>
    <mergeCell ref="A29:K29"/>
    <mergeCell ref="A38:K38"/>
    <mergeCell ref="A39:K39"/>
    <mergeCell ref="B40:C40"/>
    <mergeCell ref="B41:C41"/>
    <mergeCell ref="A43:K43"/>
    <mergeCell ref="B45:C45"/>
    <mergeCell ref="D45:E45"/>
    <mergeCell ref="F45:G45"/>
    <mergeCell ref="H45:I45"/>
  </mergeCells>
  <hyperlinks>
    <hyperlink ref="B45" location="Inicio!A1" display="◀ INÍCIO"/>
    <hyperlink ref="D45" location="Consultor!A1" display="◀ CONSULTOR"/>
    <hyperlink ref="F45" location="Comparar!A1" display="COMPARAR"/>
    <hyperlink ref="H45" location="Glossario!A1" display="GLOSSÁ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CA9"/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7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2"/>
  </cols>
  <sheetData>
    <row r="1" customFormat="false" ht="25.5" hidden="false" customHeight="true" outlineLevel="0" collapsed="false">
      <c r="A1" s="130" t="s">
        <v>291</v>
      </c>
      <c r="B1" s="130"/>
      <c r="C1" s="130"/>
      <c r="D1" s="130"/>
      <c r="E1" s="130"/>
      <c r="F1" s="130"/>
      <c r="G1" s="130"/>
      <c r="H1" s="130"/>
    </row>
    <row r="2" customFormat="false" ht="12" hidden="false" customHeight="true" outlineLevel="0" collapsed="false">
      <c r="A2" s="130"/>
      <c r="B2" s="130"/>
      <c r="C2" s="130"/>
      <c r="D2" s="130"/>
      <c r="E2" s="130"/>
      <c r="F2" s="130"/>
      <c r="G2" s="130"/>
      <c r="H2" s="130"/>
    </row>
    <row r="3" customFormat="false" ht="18" hidden="false" customHeight="true" outlineLevel="0" collapsed="false">
      <c r="A3" s="131" t="str">
        <f aca="false">"  Cliente: "&amp;IN_NOME&amp;"          Simulação feita em: "&amp;TEXT(IN_DATA_SIM,"dd/mm/yyyy")&amp;"          Dados de: "&amp;DATA_DADOS</f>
        <v>  Cliente: (preencher)          Simulação feita em: 23/08/2026          Dados de: 2026-08-23</v>
      </c>
      <c r="B3" s="131"/>
      <c r="C3" s="131"/>
      <c r="D3" s="131"/>
      <c r="E3" s="131"/>
      <c r="F3" s="131"/>
      <c r="G3" s="131"/>
      <c r="H3" s="131"/>
    </row>
    <row r="5" customFormat="false" ht="21.75" hidden="false" customHeight="true" outlineLevel="0" collapsed="false">
      <c r="A5" s="3" t="s">
        <v>292</v>
      </c>
      <c r="B5" s="3"/>
      <c r="C5" s="3"/>
      <c r="D5" s="3"/>
      <c r="E5" s="3"/>
      <c r="F5" s="3"/>
      <c r="G5" s="3"/>
      <c r="H5" s="3"/>
    </row>
    <row r="6" customFormat="false" ht="15.75" hidden="false" customHeight="true" outlineLevel="0" collapsed="false">
      <c r="B6" s="132" t="s">
        <v>293</v>
      </c>
      <c r="C6" s="133" t="n">
        <f aca="false">IN_CAPITAL</f>
        <v>150000</v>
      </c>
      <c r="D6" s="133"/>
      <c r="E6" s="132" t="s">
        <v>294</v>
      </c>
      <c r="F6" s="132"/>
      <c r="G6" s="133" t="n">
        <f aca="false">IN_APORTE</f>
        <v>0</v>
      </c>
      <c r="H6" s="133"/>
    </row>
    <row r="7" customFormat="false" ht="15.75" hidden="false" customHeight="true" outlineLevel="0" collapsed="false">
      <c r="B7" s="132" t="s">
        <v>295</v>
      </c>
      <c r="C7" s="134" t="str">
        <f aca="false">IN_PRAZO&amp;" meses ("&amp;ROUND(IN_PRAZO/12,1)&amp;" anos)"</f>
        <v>120 meses (10 anos)</v>
      </c>
      <c r="D7" s="134"/>
      <c r="E7" s="132" t="s">
        <v>296</v>
      </c>
      <c r="F7" s="132"/>
      <c r="G7" s="134" t="str">
        <f aca="false">IN_RESGATE</f>
        <v>Talvez</v>
      </c>
      <c r="H7" s="134"/>
    </row>
    <row r="8" customFormat="false" ht="15.75" hidden="false" customHeight="true" outlineLevel="0" collapsed="false">
      <c r="B8" s="132" t="s">
        <v>297</v>
      </c>
      <c r="C8" s="134" t="str">
        <f aca="false">IN_PRIORIDADE</f>
        <v>Equilíbrio entre segurança e rentabilidade</v>
      </c>
      <c r="D8" s="134"/>
      <c r="E8" s="132" t="s">
        <v>298</v>
      </c>
      <c r="F8" s="132"/>
      <c r="G8" s="134" t="str">
        <f aca="false">IN_PERFIL</f>
        <v>Moderado</v>
      </c>
      <c r="H8" s="134"/>
    </row>
    <row r="9" customFormat="false" ht="15.75" hidden="false" customHeight="true" outlineLevel="0" collapsed="false">
      <c r="B9" s="132" t="s">
        <v>112</v>
      </c>
      <c r="C9" s="134" t="str">
        <f aca="false">CENARIO</f>
        <v>Base</v>
      </c>
      <c r="D9" s="134"/>
      <c r="E9" s="132" t="s">
        <v>299</v>
      </c>
      <c r="F9" s="132"/>
      <c r="G9" s="135" t="n">
        <f aca="false">IPCA_CENARIO</f>
        <v>0.04</v>
      </c>
      <c r="H9" s="135"/>
    </row>
    <row r="11" customFormat="false" ht="21.75" hidden="false" customHeight="true" outlineLevel="0" collapsed="false">
      <c r="A11" s="3" t="s">
        <v>300</v>
      </c>
      <c r="B11" s="3"/>
      <c r="C11" s="3"/>
      <c r="D11" s="3"/>
      <c r="E11" s="3"/>
      <c r="F11" s="3"/>
      <c r="G11" s="3"/>
      <c r="H11" s="3"/>
    </row>
    <row r="12" customFormat="false" ht="27.75" hidden="false" customHeight="true" outlineLevel="0" collapsed="false">
      <c r="B12" s="34" t="s">
        <v>74</v>
      </c>
      <c r="C12" s="34" t="s">
        <v>75</v>
      </c>
      <c r="D12" s="34" t="s">
        <v>80</v>
      </c>
      <c r="E12" s="34" t="s">
        <v>76</v>
      </c>
      <c r="F12" s="34" t="s">
        <v>101</v>
      </c>
      <c r="G12" s="34" t="s">
        <v>78</v>
      </c>
      <c r="H12" s="34" t="s">
        <v>79</v>
      </c>
    </row>
    <row r="13" customFormat="false" ht="21.75" hidden="false" customHeight="true" outlineLevel="0" collapsed="false">
      <c r="B13" s="35" t="str">
        <f aca="false">IF(Motor!$B$9=0,"",Motor!$B$6)</f>
        <v>Tesouro Prefixado 2031</v>
      </c>
      <c r="C13" s="36" t="n">
        <f aca="false">IF(Motor!$B$9=0,"",Motor!$B$40)</f>
        <v>410726.749187574</v>
      </c>
      <c r="D13" s="37" t="n">
        <f aca="false">IF(Motor!$B$9=0,"",Motor!$B$42)</f>
        <v>277472.274929425</v>
      </c>
      <c r="E13" s="37" t="n">
        <f aca="false">IF(Motor!$B$9=0,"",Motor!$B$44)</f>
        <v>260726.749187574</v>
      </c>
      <c r="F13" s="37" t="n">
        <f aca="false">IF(Motor!$B$9=0,"",Motor!$B$51)</f>
        <v>3254.51962490677</v>
      </c>
      <c r="G13" s="38" t="str">
        <f aca="false">IF(Motor!$B$9=0,"",Motor!$B$56)</f>
        <v>Em 1 dia útil</v>
      </c>
      <c r="H13" s="39" t="str">
        <f aca="false">IF(Motor!$B$9=0,"",Motor!$B$57)</f>
        <v>Baixa</v>
      </c>
    </row>
    <row r="14" customFormat="false" ht="21.75" hidden="false" customHeight="true" outlineLevel="0" collapsed="false">
      <c r="B14" s="41" t="str">
        <f aca="false">IF(Motor!$C$9=0,"",Motor!$C$6)</f>
        <v>Tesouro IPCA+ 2035</v>
      </c>
      <c r="C14" s="42" t="n">
        <f aca="false">IF(Motor!$C$9=0,"",Motor!$C$40)</f>
        <v>353849.18598047</v>
      </c>
      <c r="D14" s="43" t="n">
        <f aca="false">IF(Motor!$C$9=0,"",Motor!$C$42)</f>
        <v>239047.831216581</v>
      </c>
      <c r="E14" s="43" t="n">
        <f aca="false">IF(Motor!$C$9=0,"",Motor!$C$44)</f>
        <v>203849.18598047</v>
      </c>
      <c r="F14" s="43" t="n">
        <f aca="false">IF(Motor!$C$9=0,"",Motor!$C$51)</f>
        <v>2403.33481029411</v>
      </c>
      <c r="G14" s="44" t="str">
        <f aca="false">IF(Motor!$C$9=0,"",Motor!$C$56)</f>
        <v>Em 1 dia útil</v>
      </c>
      <c r="H14" s="45" t="str">
        <f aca="false">IF(Motor!$C$9=0,"",Motor!$C$57)</f>
        <v>Baixa</v>
      </c>
    </row>
    <row r="15" customFormat="false" ht="21.75" hidden="false" customHeight="true" outlineLevel="0" collapsed="false">
      <c r="B15" s="35" t="str">
        <f aca="false">IF(Motor!$D$9=0,"",Motor!$D$6)</f>
        <v>Fundo CAIXA RF Crédito Privado LP</v>
      </c>
      <c r="C15" s="36" t="n">
        <f aca="false">IF(Motor!$D$9=0,"",Motor!$D$40)</f>
        <v>344477.26800885</v>
      </c>
      <c r="D15" s="37" t="n">
        <f aca="false">IF(Motor!$D$9=0,"",Motor!$D$42)</f>
        <v>232716.499241781</v>
      </c>
      <c r="E15" s="37" t="n">
        <f aca="false">IF(Motor!$D$9=0,"",Motor!$D$44)</f>
        <v>194477.26800885</v>
      </c>
      <c r="F15" s="37" t="n">
        <f aca="false">IF(Motor!$D$9=0,"",Motor!$D$51)</f>
        <v>2387.93680069255</v>
      </c>
      <c r="G15" s="38" t="str">
        <f aca="false">IF(Motor!$D$9=0,"",Motor!$D$56)</f>
        <v>Em até 30 dias</v>
      </c>
      <c r="H15" s="39" t="str">
        <f aca="false">IF(Motor!$D$9=0,"",Motor!$D$57)</f>
        <v>Baixa</v>
      </c>
    </row>
    <row r="16" customFormat="false" ht="21.75" hidden="false" customHeight="true" outlineLevel="0" collapsed="false">
      <c r="B16" s="41" t="str">
        <f aca="false">IF(Motor!$E$9=0,"",Motor!$E$6)</f>
        <v>VGBL CAIXA Composto 30 — Regressivo</v>
      </c>
      <c r="C16" s="42" t="n">
        <f aca="false">IF(Motor!$E$9=0,"",Motor!$E$40)</f>
        <v>376188.272968797</v>
      </c>
      <c r="D16" s="43" t="n">
        <f aca="false">IF(Motor!$E$9=0,"",Motor!$E$42)</f>
        <v>254139.317950178</v>
      </c>
      <c r="E16" s="43" t="n">
        <f aca="false">IF(Motor!$E$9=0,"",Motor!$E$44)</f>
        <v>226188.272968797</v>
      </c>
      <c r="F16" s="43" t="n">
        <f aca="false">IF(Motor!$E$9=0,"",Motor!$E$51)</f>
        <v>2730.34948662969</v>
      </c>
      <c r="G16" s="44" t="str">
        <f aca="false">IF(Motor!$E$9=0,"",Motor!$E$56)</f>
        <v>Em até 5 dias</v>
      </c>
      <c r="H16" s="45" t="str">
        <f aca="false">IF(Motor!$E$9=0,"",Motor!$E$57)</f>
        <v>Média</v>
      </c>
    </row>
    <row r="17" customFormat="false" ht="21.75" hidden="false" customHeight="true" outlineLevel="0" collapsed="false">
      <c r="B17" s="35" t="str">
        <f aca="false">IF(Motor!$F$9=0,"",Motor!$F$6)</f>
        <v>PGBL CAIXA Composto 30 — Regressivo</v>
      </c>
      <c r="C17" s="36" t="n">
        <f aca="false">IF(Motor!$F$9=0,"",Motor!$F$40)</f>
        <v>353688.272968797</v>
      </c>
      <c r="D17" s="37" t="n">
        <f aca="false">IF(Motor!$F$9=0,"",Motor!$F$42)</f>
        <v>238939.124151598</v>
      </c>
      <c r="E17" s="37" t="n">
        <f aca="false">IF(Motor!$F$9=0,"",Motor!$F$44)</f>
        <v>203688.272968797</v>
      </c>
      <c r="F17" s="37" t="n">
        <f aca="false">IF(Motor!$F$9=0,"",Motor!$F$51)</f>
        <v>2567.04598180655</v>
      </c>
      <c r="G17" s="38" t="str">
        <f aca="false">IF(Motor!$F$9=0,"",Motor!$F$56)</f>
        <v>Em até 5 dias</v>
      </c>
      <c r="H17" s="39" t="str">
        <f aca="false">IF(Motor!$F$9=0,"",Motor!$F$57)</f>
        <v>Média</v>
      </c>
    </row>
    <row r="18" customFormat="false" ht="21.75" hidden="false" customHeight="true" outlineLevel="0" collapsed="false">
      <c r="B18" s="41" t="str">
        <f aca="false">IF(Motor!$G$9=0,"",Motor!$G$6)</f>
        <v>Fundo CAIXA RF IPCA Longo Prazo</v>
      </c>
      <c r="C18" s="42" t="n">
        <f aca="false">IF(Motor!$G$9=0,"",Motor!$G$40)</f>
        <v>316495.509338824</v>
      </c>
      <c r="D18" s="43" t="n">
        <f aca="false">IF(Motor!$G$9=0,"",Motor!$G$42)</f>
        <v>213813.02570358</v>
      </c>
      <c r="E18" s="43" t="n">
        <f aca="false">IF(Motor!$G$9=0,"",Motor!$G$44)</f>
        <v>166495.509338824</v>
      </c>
      <c r="F18" s="43" t="n">
        <f aca="false">IF(Motor!$G$9=0,"",Motor!$G$51)</f>
        <v>1970.28211864106</v>
      </c>
      <c r="G18" s="44" t="str">
        <f aca="false">IF(Motor!$G$9=0,"",Motor!$G$56)</f>
        <v>Em até 5 dias</v>
      </c>
      <c r="H18" s="45" t="str">
        <f aca="false">IF(Motor!$G$9=0,"",Motor!$G$57)</f>
        <v>Média</v>
      </c>
    </row>
    <row r="19" customFormat="false" ht="21.75" hidden="false" customHeight="true" outlineLevel="0" collapsed="false">
      <c r="B19" s="35" t="str">
        <f aca="false">IF(MotorImovel!$B$5=0,"","Imóvel para aluguel")</f>
        <v>Imóvel para aluguel</v>
      </c>
      <c r="C19" s="36" t="n">
        <f aca="false">IF(MotorImovel!$B$5=0,"",MotorImovel!$B$34)</f>
        <v>329895.572514463</v>
      </c>
      <c r="D19" s="37" t="n">
        <f aca="false">IF(MotorImovel!$B$5=0,"",MotorImovel!$B$36)</f>
        <v>222865.628245043</v>
      </c>
      <c r="E19" s="37" t="n">
        <f aca="false">IF(MotorImovel!$B$5=0,"",MotorImovel!$B$38)</f>
        <v>174645.572514463</v>
      </c>
      <c r="F19" s="37" t="n">
        <f aca="false">IF(MotorImovel!$B$5=0,"",MotorImovel!$B$45)</f>
        <v>827.862635730365</v>
      </c>
      <c r="G19" s="38" t="str">
        <f aca="false">IF(MotorImovel!$B$5=0,"",MotorImovel!$B$50)</f>
        <v>Depende de encontrar comprador — normalmente meses</v>
      </c>
      <c r="H19" s="39" t="str">
        <f aca="false">IF(MotorImovel!$B$5=0,"",MotorImovel!$B$51)</f>
        <v>Média</v>
      </c>
    </row>
    <row r="21" customFormat="false" ht="21.75" hidden="false" customHeight="true" outlineLevel="0" collapsed="false">
      <c r="A21" s="3" t="s">
        <v>301</v>
      </c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B22" s="136" t="str">
        <f aca="false">IF(COUNT(Comparar!$Q$7:$Q$13)&lt;2,"Há apenas uma alternativa na comparação. Coloque outras na aba Consultor para o cliente enxergar a diferença entre os caminhos possíveis.","Entre a alternativa que termina com mais patrimônio e a que termina com menos há uma diferença de "&amp;TEXT(MAX(Comparar!$Q$7:$Q$13)-MIN(Comparar!$Q$7:$Q$13),"R$ #,##0")&amp;". Esse número, sozinho, não decide nada: uma alternativa que rende um pouco menos, mas permite retirar o dinheiro quando for preciso, pode ser a escolha certa. O contrário também vale — travar o dinheiro por mais tempo costuma vir junto com uma taxa melhor e menos imposto.")</f>
        <v>Entre a alternativa que termina com mais patrimônio e a que termina com menos há uma diferença de R$ 94,231. Esse número, sozinho, não decide nada: uma alternativa que rende um pouco menos, mas permite retirar o dinheiro quando for preciso, pode ser a escolha certa. O contrário também vale — travar o dinheiro por mais tempo costuma vir junto com uma taxa melhor e menos imposto.</v>
      </c>
      <c r="C22" s="136"/>
      <c r="D22" s="136"/>
      <c r="E22" s="136"/>
      <c r="F22" s="136"/>
      <c r="G22" s="136"/>
      <c r="H22" s="136"/>
    </row>
    <row r="23" customFormat="false" ht="15" hidden="false" customHeight="false" outlineLevel="0" collapsed="false">
      <c r="B23" s="136"/>
      <c r="C23" s="136"/>
      <c r="D23" s="136"/>
      <c r="E23" s="136"/>
      <c r="F23" s="136"/>
      <c r="G23" s="136"/>
      <c r="H23" s="136"/>
    </row>
    <row r="24" customFormat="false" ht="15" hidden="false" customHeight="false" outlineLevel="0" collapsed="false">
      <c r="B24" s="136"/>
      <c r="C24" s="136"/>
      <c r="D24" s="136"/>
      <c r="E24" s="136"/>
      <c r="F24" s="136"/>
      <c r="G24" s="136"/>
      <c r="H24" s="136"/>
    </row>
    <row r="26" customFormat="false" ht="21.75" hidden="false" customHeight="true" outlineLevel="0" collapsed="false">
      <c r="A26" s="3" t="s">
        <v>302</v>
      </c>
      <c r="B26" s="3"/>
      <c r="C26" s="3"/>
      <c r="D26" s="3"/>
      <c r="E26" s="3"/>
      <c r="F26" s="3"/>
      <c r="G26" s="3"/>
      <c r="H26" s="3"/>
    </row>
    <row r="46" customFormat="false" ht="21.75" hidden="false" customHeight="true" outlineLevel="0" collapsed="false">
      <c r="A46" s="3" t="s">
        <v>303</v>
      </c>
      <c r="B46" s="3"/>
      <c r="C46" s="3"/>
      <c r="D46" s="3"/>
      <c r="E46" s="3"/>
      <c r="F46" s="3"/>
      <c r="G46" s="3"/>
      <c r="H46" s="3"/>
    </row>
    <row r="47" customFormat="false" ht="21.75" hidden="false" customHeight="true" outlineLevel="0" collapsed="false">
      <c r="B47" s="137" t="s">
        <v>304</v>
      </c>
      <c r="C47" s="137"/>
      <c r="D47" s="137"/>
      <c r="E47" s="137"/>
      <c r="F47" s="137"/>
      <c r="G47" s="137"/>
      <c r="H47" s="137"/>
    </row>
    <row r="48" customFormat="false" ht="21.75" hidden="false" customHeight="true" outlineLevel="0" collapsed="false">
      <c r="B48" s="137" t="s">
        <v>305</v>
      </c>
      <c r="C48" s="137"/>
      <c r="D48" s="137"/>
      <c r="E48" s="137"/>
      <c r="F48" s="137"/>
      <c r="G48" s="137"/>
      <c r="H48" s="137"/>
    </row>
    <row r="49" customFormat="false" ht="21.75" hidden="false" customHeight="true" outlineLevel="0" collapsed="false">
      <c r="B49" s="137" t="s">
        <v>306</v>
      </c>
      <c r="C49" s="137"/>
      <c r="D49" s="137"/>
      <c r="E49" s="137"/>
      <c r="F49" s="137"/>
      <c r="G49" s="137"/>
      <c r="H49" s="137"/>
    </row>
    <row r="50" customFormat="false" ht="21.75" hidden="false" customHeight="true" outlineLevel="0" collapsed="false">
      <c r="B50" s="137" t="s">
        <v>307</v>
      </c>
      <c r="C50" s="137"/>
      <c r="D50" s="137"/>
      <c r="E50" s="137"/>
      <c r="F50" s="137"/>
      <c r="G50" s="137"/>
      <c r="H50" s="137"/>
    </row>
    <row r="51" customFormat="false" ht="21.75" hidden="false" customHeight="true" outlineLevel="0" collapsed="false">
      <c r="B51" s="137" t="s">
        <v>308</v>
      </c>
      <c r="C51" s="137"/>
      <c r="D51" s="137"/>
      <c r="E51" s="137"/>
      <c r="F51" s="137"/>
      <c r="G51" s="137"/>
      <c r="H51" s="137"/>
    </row>
    <row r="53" customFormat="false" ht="15" hidden="false" customHeight="false" outlineLevel="0" collapsed="false">
      <c r="B53" s="138" t="str">
        <f aca="true">"Documento gerado em "&amp;TEXT(TODAY(),"dd/mm/yyyy")&amp;" a partir das premissas registradas nesta planilha. Fontes e datas de atualização de cada dado estão registradas na aba Fontes."</f>
        <v>Documento gerado em 23/08/2026 a partir das premissas registradas nesta planilha. Fontes e datas de atualização de cada dado estão registradas na aba Fontes.</v>
      </c>
      <c r="C53" s="138"/>
      <c r="D53" s="138"/>
      <c r="E53" s="138"/>
      <c r="F53" s="138"/>
      <c r="G53" s="138"/>
      <c r="H53" s="138"/>
    </row>
    <row r="56" customFormat="false" ht="25.5" hidden="false" customHeight="true" outlineLevel="0" collapsed="false">
      <c r="B56" s="47" t="s">
        <v>84</v>
      </c>
      <c r="C56" s="47"/>
      <c r="D56" s="47" t="s">
        <v>107</v>
      </c>
      <c r="E56" s="47"/>
      <c r="F56" s="47" t="s">
        <v>188</v>
      </c>
      <c r="G56" s="47"/>
    </row>
    <row r="57" customFormat="false" ht="15" hidden="false" customHeight="true" outlineLevel="0" collapsed="false">
      <c r="A57" s="18" t="s">
        <v>309</v>
      </c>
      <c r="B57" s="18"/>
      <c r="C57" s="18"/>
      <c r="D57" s="18"/>
      <c r="E57" s="18"/>
      <c r="F57" s="18"/>
      <c r="G57" s="18"/>
      <c r="H57" s="18"/>
    </row>
  </sheetData>
  <mergeCells count="30">
    <mergeCell ref="A1:H2"/>
    <mergeCell ref="A3:H3"/>
    <mergeCell ref="A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A11:H11"/>
    <mergeCell ref="A21:H21"/>
    <mergeCell ref="B22:H24"/>
    <mergeCell ref="A26:H26"/>
    <mergeCell ref="A46:H46"/>
    <mergeCell ref="B47:H47"/>
    <mergeCell ref="B48:H48"/>
    <mergeCell ref="B49:H49"/>
    <mergeCell ref="B50:H50"/>
    <mergeCell ref="B51:H51"/>
    <mergeCell ref="B53:H53"/>
    <mergeCell ref="B56:C56"/>
    <mergeCell ref="D56:E56"/>
    <mergeCell ref="F56:G56"/>
    <mergeCell ref="A57:H57"/>
  </mergeCells>
  <hyperlinks>
    <hyperlink ref="B56" location="Inicio!A1" display="◀ INÍCIO"/>
    <hyperlink ref="D56" location="Cliente!A1" display="◀ CLIENTE"/>
    <hyperlink ref="F56" location="Comparar!A1" display="COMPARAR"/>
  </hyperlink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X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6" min="11" style="0" width="9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24"/>
    <col collapsed="false" customWidth="true" hidden="false" outlineLevel="0" max="20" min="20" style="0" width="52"/>
    <col collapsed="false" customWidth="true" hidden="false" outlineLevel="0" max="21" min="21" style="0" width="46"/>
    <col collapsed="false" customWidth="true" hidden="false" outlineLevel="0" max="22" min="22" style="0" width="12"/>
    <col collapsed="false" customWidth="true" hidden="false" outlineLevel="0" max="24" min="23" style="0" width="10"/>
  </cols>
  <sheetData>
    <row r="1" customFormat="false" ht="33.75" hidden="false" customHeight="true" outlineLevel="0" collapsed="false">
      <c r="A1" s="13" t="s">
        <v>310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customFormat="false" ht="18" hidden="false" customHeight="true" outlineLevel="0" collapsed="false">
      <c r="A2" s="14" t="s">
        <v>311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4" customFormat="false" ht="21.75" hidden="false" customHeight="true" outlineLevel="0" collapsed="false">
      <c r="A4" s="3" t="s">
        <v>312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94" t="s">
        <v>84</v>
      </c>
    </row>
    <row r="5" customFormat="false" ht="33.75" hidden="false" customHeight="true" outlineLevel="0" collapsed="false">
      <c r="A5" s="18" t="s">
        <v>313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customFormat="false" ht="15" hidden="false" customHeight="true" outlineLevel="0" collapsed="false">
      <c r="A6" s="139" t="s">
        <v>314</v>
      </c>
      <c r="B6" s="140" t="s">
        <v>295</v>
      </c>
      <c r="C6" s="140" t="s">
        <v>315</v>
      </c>
      <c r="D6" s="140" t="s">
        <v>316</v>
      </c>
      <c r="E6" s="140" t="s">
        <v>317</v>
      </c>
    </row>
    <row r="7" customFormat="false" ht="15" hidden="false" customHeight="false" outlineLevel="0" collapsed="false">
      <c r="A7" s="139"/>
      <c r="B7" s="141" t="n">
        <f aca="false">IFERROR(INDEX($B$91:$B$94,MATCH(IN_PRIORIDADE,$A$91:$A$94,0)),25)</f>
        <v>25</v>
      </c>
      <c r="C7" s="141" t="n">
        <f aca="false">IFERROR(INDEX($C$91:$C$94,MATCH(IN_PRIORIDADE,$A$91:$A$94,0)),25)</f>
        <v>25</v>
      </c>
      <c r="D7" s="141" t="n">
        <f aca="false">IFERROR(INDEX($D$91:$D$94,MATCH(IN_PRIORIDADE,$A$91:$A$94,0)),25)</f>
        <v>35</v>
      </c>
      <c r="E7" s="141" t="n">
        <f aca="false">IFERROR(INDEX($E$91:$E$94,MATCH(IN_PRIORIDADE,$A$91:$A$94,0)),25)</f>
        <v>15</v>
      </c>
    </row>
    <row r="8" customFormat="false" ht="42" hidden="false" customHeight="true" outlineLevel="0" collapsed="false">
      <c r="A8" s="34" t="s">
        <v>318</v>
      </c>
      <c r="B8" s="34" t="s">
        <v>146</v>
      </c>
      <c r="C8" s="34" t="s">
        <v>147</v>
      </c>
      <c r="D8" s="34" t="s">
        <v>319</v>
      </c>
      <c r="E8" s="34" t="s">
        <v>160</v>
      </c>
      <c r="F8" s="34" t="s">
        <v>320</v>
      </c>
      <c r="G8" s="34" t="s">
        <v>162</v>
      </c>
      <c r="H8" s="34" t="s">
        <v>281</v>
      </c>
      <c r="I8" s="34" t="s">
        <v>282</v>
      </c>
      <c r="J8" s="34" t="s">
        <v>321</v>
      </c>
      <c r="K8" s="34" t="s">
        <v>322</v>
      </c>
      <c r="L8" s="34" t="s">
        <v>323</v>
      </c>
      <c r="M8" s="34" t="s">
        <v>324</v>
      </c>
      <c r="N8" s="34" t="s">
        <v>325</v>
      </c>
      <c r="O8" s="34" t="s">
        <v>326</v>
      </c>
      <c r="P8" s="34" t="s">
        <v>327</v>
      </c>
      <c r="Q8" s="34" t="s">
        <v>328</v>
      </c>
      <c r="R8" s="34" t="s">
        <v>329</v>
      </c>
      <c r="S8" s="34" t="s">
        <v>330</v>
      </c>
      <c r="T8" s="34" t="s">
        <v>331</v>
      </c>
      <c r="U8" s="34" t="s">
        <v>83</v>
      </c>
      <c r="V8" s="34" t="s">
        <v>332</v>
      </c>
      <c r="W8" s="34" t="s">
        <v>149</v>
      </c>
      <c r="X8" s="34" t="s">
        <v>333</v>
      </c>
    </row>
    <row r="9" customFormat="false" ht="21.75" hidden="false" customHeight="true" outlineLevel="0" collapsed="false">
      <c r="A9" s="74" t="str">
        <f aca="false">IF(Produtos!$B9="","",Produtos!$A9)</f>
        <v>RF01</v>
      </c>
      <c r="B9" s="142" t="str">
        <f aca="false">IF(Produtos!$B9="","",Produtos!$B9)</f>
        <v>Poupança</v>
      </c>
      <c r="C9" s="74" t="str">
        <f aca="false">IF(Produtos!$B9="","",Produtos!$C9)</f>
        <v>Renda Fixa</v>
      </c>
      <c r="D9" s="77" t="n">
        <f aca="false">IF(Produtos!$B9="",0,Produtos!$T9)</f>
        <v>1</v>
      </c>
      <c r="E9" s="77" t="n">
        <f aca="false">IF(Produtos!$B9="",0,Produtos!$P9)</f>
        <v>0</v>
      </c>
      <c r="F9" s="77" t="n">
        <f aca="false">IF(Produtos!$B9="",0,Produtos!$Q9)</f>
        <v>0</v>
      </c>
      <c r="G9" s="78" t="n">
        <f aca="false">IF(Produtos!$B9="",0,Produtos!$R9)</f>
        <v>0.01</v>
      </c>
      <c r="H9" s="74" t="str">
        <f aca="false">IF(Produtos!$B9="","",Produtos!$N9)</f>
        <v>ISENTO</v>
      </c>
      <c r="I9" s="76" t="n">
        <f aca="false">IF(Produtos!$B9="",0,Produtos!$I9)</f>
        <v>0</v>
      </c>
      <c r="J9" s="74" t="str">
        <f aca="false">IF(Produtos!$B9="","NÃO",Produtos!$AD9)</f>
        <v>SIM</v>
      </c>
      <c r="K9" s="143" t="n">
        <f aca="false">IF(AND($B9&lt;&gt;"",IN_CAPITAL&gt;=$G9),1,0)</f>
        <v>1</v>
      </c>
      <c r="L9" s="143" t="n">
        <f aca="false">IF(AND($B9&lt;&gt;"",$D9&lt;=IFERROR(INDEX(Premissas!$B$102:$B$104,MATCH(IN_PERFIL,Premissas!$A$102:$A$104,0)),5)),1,0)</f>
        <v>1</v>
      </c>
      <c r="M9" s="143" t="n">
        <f aca="false">IF(IN_PRAZO*30&lt;$E9,0,IF($D9&gt;=4,IF(IN_PRAZO&gt;=60,100,IF(IN_PRAZO&gt;=36,60,IF(IN_PRAZO&gt;=24,30,0))),IF($D9=3,IF(IN_PRAZO&gt;=24,100,IF(IN_PRAZO&gt;=12,70,40)),100)))</f>
        <v>100</v>
      </c>
      <c r="N9" s="143" t="n">
        <f aca="false">IF(IN_RESGATE="Sim",IF($E9+$F9&lt;=3,100,IF($E9+$F9&lt;=31,50,0)),IF(IN_RESGATE="Talvez",IF($E9+$F9&lt;=90,100,IF($E9+$F9&lt;=360,50,20)),100))</f>
        <v>100</v>
      </c>
      <c r="O9" s="143" t="n">
        <f aca="false">IF($D9=0,0,IFERROR(INDEX($B$98:$F$101,MATCH(IN_PRIORIDADE,$A$98:$A$101,0),$D9),0))</f>
        <v>60</v>
      </c>
      <c r="P9" s="143" t="n">
        <f aca="false">MAX(0,MIN(100,60+IF($H9="ISENTO",25,0)+IF($I9&lt;=0.005,15,IF($I9&gt;=0.015,-15,0))+IF(AND($H9="PREV_REGR",IN_PRAZO&gt;=120),20,0)+IF(AND($H9="FUNDO_LP",IN_PRAZO&lt;=12),-10,0)+IF(AND($H9="FUNDO_CP",IN_PRAZO&gt;=24),-15,0)))</f>
        <v>100</v>
      </c>
      <c r="Q9" s="144" t="n">
        <f aca="false">IF(OR($B9="",$J9&lt;&gt;"SIM",$K9=0,$L9=0),0,ROUND(($M9*$B$7+$N9*$C$7+$O9*$D$7+$P9*$E$7)/MAX(1,$B$7+$C$7+$D$7+$E$7),1))</f>
        <v>86</v>
      </c>
      <c r="R9" s="145" t="n">
        <f aca="false">IF($H9="IMOVEL",0,$Q9+ROW()/1000000)</f>
        <v>86.000009</v>
      </c>
      <c r="S9" s="146" t="str">
        <f aca="false">IF($B9="","",IF($Q9=0,"Não indicado agora",IF($Q9&gt;=75,"Pode fazer sentido",IF($Q9&gt;=50,"Talvez faça sentido","Provavelmente não é o mais indicado"))))</f>
        <v>Pode fazer sentido</v>
      </c>
      <c r="T9" s="147" t="str">
        <f aca="false">IF($B9="","",IF($Q9=0,IF($K9=0,"O valor disponível é menor que a aplicação mínima deste produto.",IF($L9=0,"O risco deste produto está acima do perfil declarado pelo cliente.","Produto não está ativo na base.")),IF($Q9&lt;50,"Encaixa pouco no que foi pedido — veja o ponto de atenção ao lado.",IF($H9="ISENTO","Não paga Imposto de Renda para pessoa física.",IF($W9="PRE","A taxa fica travada na contratação: não cai se os juros da economia caírem.",IF($W9="IPCA","Protege o poder de compra: rende a inflação mais uma taxa fixa por cima.",IF(AND($E9=0,$F9&lt;=1),"O dinheiro pode ser retirado praticamente a qualquer momento.",IF(AND($H9="PREV_REGR",IN_PRAZO&gt;=120),"No prazo escolhido a previdência alcança a menor alíquota de imposto (10%).",IF($D9&gt;=4,"Pode render mais no prazo longo, aceitando oscilação pelo caminho.","Combina com o prazo, a liquidez e a prioridade informados.")))))))))</f>
        <v>Não paga Imposto de Renda para pessoa física.</v>
      </c>
      <c r="U9" s="147" t="str">
        <f aca="false">IF($B9="","",IF($E9&gt;0,"Carência de "&amp;$E9&amp;" dias: não dá para resgatar antes.",IF($F9&gt;60,"Não é dinheiro rápido: leva meses para virar caixa.",IF(LEFT($H9,4)="PREV",IF(IN_PRAZO&lt;24,"Resgate antes de 2 anos paga 35% de imposto.","Não tem cobertura do FGC: quem responde pelo dinheiro é a seguradora."),IF($D9&gt;=4,"Pode cair no caminho e demorar a se recuperar.",IF(AND($H9="RF_REGR",$X9&gt;=0.03),"Se vender antes do vencimento, o preço pode estar abaixo do que você pagou.",IF($X9&gt;=0.03,"O valor oscila mês a mês: em prazo curto pode estar abaixo do que você aplicou.",IF($H9="FUNDO_LP","Tem come-cotas em maio e novembro, que antecipam parte do imposto.",IF($F9&gt;7,"Para o dinheiro cair na conta leva cerca de "&amp;$F9&amp;" dias.",IF($I9&gt;=0.015,"Taxa de administração alta em relação ao retorno esperado.","Confirme prazo, liquidez e tributação antes de contratar."))))))))))</f>
        <v>Confirme prazo, liquidez e tributação antes de contratar.</v>
      </c>
      <c r="V9" s="148" t="n">
        <f aca="false">IF($B9="","",IFERROR(IF(Produtos!$H9="MULT",(1+INDEX(TAB_MACRO_VAL,MATCH(Produtos!$E9,TAB_MACRO_COD,0))*Produtos!$F9)*(1+Produtos!$G9)-1,INDEX(TAB_MACRO_VAL,MATCH(Produtos!$E9,TAB_MACRO_COD,0))*Produtos!$F9+Produtos!$G9),""))</f>
        <v>0.0716778118644983</v>
      </c>
      <c r="W9" s="74" t="str">
        <f aca="false">IF(Produtos!$B9="","",Produtos!$E9)</f>
        <v>POUP</v>
      </c>
      <c r="X9" s="76" t="n">
        <f aca="false">IF(Produtos!$B9="",0,Produtos!$U9)</f>
        <v>0.001</v>
      </c>
    </row>
    <row r="10" customFormat="false" ht="21.75" hidden="false" customHeight="true" outlineLevel="0" collapsed="false">
      <c r="A10" s="74" t="str">
        <f aca="false">IF(Produtos!$B10="","",Produtos!$A10)</f>
        <v>RF02</v>
      </c>
      <c r="B10" s="142" t="str">
        <f aca="false">IF(Produtos!$B10="","",Produtos!$B10)</f>
        <v>CDB CAIXA Liquidez Diária</v>
      </c>
      <c r="C10" s="74" t="str">
        <f aca="false">IF(Produtos!$B10="","",Produtos!$C10)</f>
        <v>Renda Fixa</v>
      </c>
      <c r="D10" s="77" t="n">
        <f aca="false">IF(Produtos!$B10="",0,Produtos!$T10)</f>
        <v>1</v>
      </c>
      <c r="E10" s="77" t="n">
        <f aca="false">IF(Produtos!$B10="",0,Produtos!$P10)</f>
        <v>0</v>
      </c>
      <c r="F10" s="77" t="n">
        <f aca="false">IF(Produtos!$B10="",0,Produtos!$Q10)</f>
        <v>0</v>
      </c>
      <c r="G10" s="78" t="n">
        <f aca="false">IF(Produtos!$B10="",0,Produtos!$R10)</f>
        <v>100</v>
      </c>
      <c r="H10" s="74" t="str">
        <f aca="false">IF(Produtos!$B10="","",Produtos!$N10)</f>
        <v>RF_REGR</v>
      </c>
      <c r="I10" s="76" t="n">
        <f aca="false">IF(Produtos!$B10="",0,Produtos!$I10)</f>
        <v>0</v>
      </c>
      <c r="J10" s="74" t="str">
        <f aca="false">IF(Produtos!$B10="","NÃO",Produtos!$AD10)</f>
        <v>SIM</v>
      </c>
      <c r="K10" s="143" t="n">
        <f aca="false">IF(AND($B10&lt;&gt;"",IN_CAPITAL&gt;=$G10),1,0)</f>
        <v>1</v>
      </c>
      <c r="L10" s="143" t="n">
        <f aca="false">IF(AND($B10&lt;&gt;"",$D10&lt;=IFERROR(INDEX(Premissas!$B$102:$B$104,MATCH(IN_PERFIL,Premissas!$A$102:$A$104,0)),5)),1,0)</f>
        <v>1</v>
      </c>
      <c r="M10" s="143" t="n">
        <f aca="false">IF(IN_PRAZO*30&lt;$E10,0,IF($D10&gt;=4,IF(IN_PRAZO&gt;=60,100,IF(IN_PRAZO&gt;=36,60,IF(IN_PRAZO&gt;=24,30,0))),IF($D10=3,IF(IN_PRAZO&gt;=24,100,IF(IN_PRAZO&gt;=12,70,40)),100)))</f>
        <v>100</v>
      </c>
      <c r="N10" s="143" t="n">
        <f aca="false">IF(IN_RESGATE="Sim",IF($E10+$F10&lt;=3,100,IF($E10+$F10&lt;=31,50,0)),IF(IN_RESGATE="Talvez",IF($E10+$F10&lt;=90,100,IF($E10+$F10&lt;=360,50,20)),100))</f>
        <v>100</v>
      </c>
      <c r="O10" s="143" t="n">
        <f aca="false">IF($D10=0,0,IFERROR(INDEX($B$98:$F$101,MATCH(IN_PRIORIDADE,$A$98:$A$101,0),$D10),0))</f>
        <v>60</v>
      </c>
      <c r="P10" s="143" t="n">
        <f aca="false">MAX(0,MIN(100,60+IF($H10="ISENTO",25,0)+IF($I10&lt;=0.005,15,IF($I10&gt;=0.015,-15,0))+IF(AND($H10="PREV_REGR",IN_PRAZO&gt;=120),20,0)+IF(AND($H10="FUNDO_LP",IN_PRAZO&lt;=12),-10,0)+IF(AND($H10="FUNDO_CP",IN_PRAZO&gt;=24),-15,0)))</f>
        <v>75</v>
      </c>
      <c r="Q10" s="144" t="n">
        <f aca="false">IF(OR($B10="",$J10&lt;&gt;"SIM",$K10=0,$L10=0),0,ROUND(($M10*$B$7+$N10*$C$7+$O10*$D$7+$P10*$E$7)/MAX(1,$B$7+$C$7+$D$7+$E$7),1))</f>
        <v>82.3</v>
      </c>
      <c r="R10" s="145" t="n">
        <f aca="false">IF($H10="IMOVEL",0,$Q10+ROW()/1000000)</f>
        <v>82.30001</v>
      </c>
      <c r="S10" s="146" t="str">
        <f aca="false">IF($B10="","",IF($Q10=0,"Não indicado agora",IF($Q10&gt;=75,"Pode fazer sentido",IF($Q10&gt;=50,"Talvez faça sentido","Provavelmente não é o mais indicado"))))</f>
        <v>Pode fazer sentido</v>
      </c>
      <c r="T10" s="147" t="str">
        <f aca="false">IF($B10="","",IF($Q10=0,IF($K10=0,"O valor disponível é menor que a aplicação mínima deste produto.",IF($L10=0,"O risco deste produto está acima do perfil declarado pelo cliente.","Produto não está ativo na base.")),IF($Q10&lt;50,"Encaixa pouco no que foi pedido — veja o ponto de atenção ao lado.",IF($H10="ISENTO","Não paga Imposto de Renda para pessoa física.",IF($W10="PRE","A taxa fica travada na contratação: não cai se os juros da economia caírem.",IF($W10="IPCA","Protege o poder de compra: rende a inflação mais uma taxa fixa por cima.",IF(AND($E10=0,$F10&lt;=1),"O dinheiro pode ser retirado praticamente a qualquer momento.",IF(AND($H10="PREV_REGR",IN_PRAZO&gt;=120),"No prazo escolhido a previdência alcança a menor alíquota de imposto (10%).",IF($D10&gt;=4,"Pode render mais no prazo longo, aceitando oscilação pelo caminho.","Combina com o prazo, a liquidez e a prioridade informados.")))))))))</f>
        <v>O dinheiro pode ser retirado praticamente a qualquer momento.</v>
      </c>
      <c r="U10" s="147" t="str">
        <f aca="false">IF($B10="","",IF($E10&gt;0,"Carência de "&amp;$E10&amp;" dias: não dá para resgatar antes.",IF($F10&gt;60,"Não é dinheiro rápido: leva meses para virar caixa.",IF(LEFT($H10,4)="PREV",IF(IN_PRAZO&lt;24,"Resgate antes de 2 anos paga 35% de imposto.","Não tem cobertura do FGC: quem responde pelo dinheiro é a seguradora."),IF($D10&gt;=4,"Pode cair no caminho e demorar a se recuperar.",IF(AND($H10="RF_REGR",$X10&gt;=0.03),"Se vender antes do vencimento, o preço pode estar abaixo do que você pagou.",IF($X10&gt;=0.03,"O valor oscila mês a mês: em prazo curto pode estar abaixo do que você aplicou.",IF($H10="FUNDO_LP","Tem come-cotas em maio e novembro, que antecipam parte do imposto.",IF($F10&gt;7,"Para o dinheiro cair na conta leva cerca de "&amp;$F10&amp;" dias.",IF($I10&gt;=0.015,"Taxa de administração alta em relação ao retorno esperado.","Confirme prazo, liquidez e tributação antes de contratar."))))))))))</f>
        <v>Confirme prazo, liquidez e tributação antes de contratar.</v>
      </c>
      <c r="V10" s="148" t="n">
        <f aca="false">IF($B10="","",IFERROR(IF(Produtos!$H10="MULT",(1+INDEX(TAB_MACRO_VAL,MATCH(Produtos!$E10,TAB_MACRO_COD,0))*Produtos!$F10)*(1+Produtos!$G10)-1,INDEX(TAB_MACRO_VAL,MATCH(Produtos!$E10,TAB_MACRO_COD,0))*Produtos!$F10+Produtos!$G10),""))</f>
        <v>0.10682</v>
      </c>
      <c r="W10" s="74" t="str">
        <f aca="false">IF(Produtos!$B10="","",Produtos!$E10)</f>
        <v>CDI</v>
      </c>
      <c r="X10" s="76" t="n">
        <f aca="false">IF(Produtos!$B10="",0,Produtos!$U10)</f>
        <v>0.001</v>
      </c>
    </row>
    <row r="11" customFormat="false" ht="21.75" hidden="false" customHeight="true" outlineLevel="0" collapsed="false">
      <c r="A11" s="74" t="str">
        <f aca="false">IF(Produtos!$B11="","",Produtos!$A11)</f>
        <v>RF03</v>
      </c>
      <c r="B11" s="142" t="str">
        <f aca="false">IF(Produtos!$B11="","",Produtos!$B11)</f>
        <v>CDB CAIXA 12 meses</v>
      </c>
      <c r="C11" s="74" t="str">
        <f aca="false">IF(Produtos!$B11="","",Produtos!$C11)</f>
        <v>Renda Fixa</v>
      </c>
      <c r="D11" s="77" t="n">
        <f aca="false">IF(Produtos!$B11="",0,Produtos!$T11)</f>
        <v>1</v>
      </c>
      <c r="E11" s="77" t="n">
        <f aca="false">IF(Produtos!$B11="",0,Produtos!$P11)</f>
        <v>360</v>
      </c>
      <c r="F11" s="77" t="n">
        <f aca="false">IF(Produtos!$B11="",0,Produtos!$Q11)</f>
        <v>0</v>
      </c>
      <c r="G11" s="78" t="n">
        <f aca="false">IF(Produtos!$B11="",0,Produtos!$R11)</f>
        <v>1000</v>
      </c>
      <c r="H11" s="74" t="str">
        <f aca="false">IF(Produtos!$B11="","",Produtos!$N11)</f>
        <v>RF_REGR</v>
      </c>
      <c r="I11" s="76" t="n">
        <f aca="false">IF(Produtos!$B11="",0,Produtos!$I11)</f>
        <v>0</v>
      </c>
      <c r="J11" s="74" t="str">
        <f aca="false">IF(Produtos!$B11="","NÃO",Produtos!$AD11)</f>
        <v>SIM</v>
      </c>
      <c r="K11" s="143" t="n">
        <f aca="false">IF(AND($B11&lt;&gt;"",IN_CAPITAL&gt;=$G11),1,0)</f>
        <v>1</v>
      </c>
      <c r="L11" s="143" t="n">
        <f aca="false">IF(AND($B11&lt;&gt;"",$D11&lt;=IFERROR(INDEX(Premissas!$B$102:$B$104,MATCH(IN_PERFIL,Premissas!$A$102:$A$104,0)),5)),1,0)</f>
        <v>1</v>
      </c>
      <c r="M11" s="143" t="n">
        <f aca="false">IF(IN_PRAZO*30&lt;$E11,0,IF($D11&gt;=4,IF(IN_PRAZO&gt;=60,100,IF(IN_PRAZO&gt;=36,60,IF(IN_PRAZO&gt;=24,30,0))),IF($D11=3,IF(IN_PRAZO&gt;=24,100,IF(IN_PRAZO&gt;=12,70,40)),100)))</f>
        <v>100</v>
      </c>
      <c r="N11" s="143" t="n">
        <f aca="false">IF(IN_RESGATE="Sim",IF($E11+$F11&lt;=3,100,IF($E11+$F11&lt;=31,50,0)),IF(IN_RESGATE="Talvez",IF($E11+$F11&lt;=90,100,IF($E11+$F11&lt;=360,50,20)),100))</f>
        <v>50</v>
      </c>
      <c r="O11" s="143" t="n">
        <f aca="false">IF($D11=0,0,IFERROR(INDEX($B$98:$F$101,MATCH(IN_PRIORIDADE,$A$98:$A$101,0),$D11),0))</f>
        <v>60</v>
      </c>
      <c r="P11" s="143" t="n">
        <f aca="false">MAX(0,MIN(100,60+IF($H11="ISENTO",25,0)+IF($I11&lt;=0.005,15,IF($I11&gt;=0.015,-15,0))+IF(AND($H11="PREV_REGR",IN_PRAZO&gt;=120),20,0)+IF(AND($H11="FUNDO_LP",IN_PRAZO&lt;=12),-10,0)+IF(AND($H11="FUNDO_CP",IN_PRAZO&gt;=24),-15,0)))</f>
        <v>75</v>
      </c>
      <c r="Q11" s="144" t="n">
        <f aca="false">IF(OR($B11="",$J11&lt;&gt;"SIM",$K11=0,$L11=0),0,ROUND(($M11*$B$7+$N11*$C$7+$O11*$D$7+$P11*$E$7)/MAX(1,$B$7+$C$7+$D$7+$E$7),1))</f>
        <v>69.8</v>
      </c>
      <c r="R11" s="145" t="n">
        <f aca="false">IF($H11="IMOVEL",0,$Q11+ROW()/1000000)</f>
        <v>69.800011</v>
      </c>
      <c r="S11" s="146" t="str">
        <f aca="false">IF($B11="","",IF($Q11=0,"Não indicado agora",IF($Q11&gt;=75,"Pode fazer sentido",IF($Q11&gt;=50,"Talvez faça sentido","Provavelmente não é o mais indicado"))))</f>
        <v>Talvez faça sentido</v>
      </c>
      <c r="T11" s="147" t="str">
        <f aca="false">IF($B11="","",IF($Q11=0,IF($K11=0,"O valor disponível é menor que a aplicação mínima deste produto.",IF($L11=0,"O risco deste produto está acima do perfil declarado pelo cliente.","Produto não está ativo na base.")),IF($Q11&lt;50,"Encaixa pouco no que foi pedido — veja o ponto de atenção ao lado.",IF($H11="ISENTO","Não paga Imposto de Renda para pessoa física.",IF($W11="PRE","A taxa fica travada na contratação: não cai se os juros da economia caírem.",IF($W11="IPCA","Protege o poder de compra: rende a inflação mais uma taxa fixa por cima.",IF(AND($E11=0,$F11&lt;=1),"O dinheiro pode ser retirado praticamente a qualquer momento.",IF(AND($H11="PREV_REGR",IN_PRAZO&gt;=120),"No prazo escolhido a previdência alcança a menor alíquota de imposto (10%).",IF($D11&gt;=4,"Pode render mais no prazo longo, aceitando oscilação pelo caminho.","Combina com o prazo, a liquidez e a prioridade informados.")))))))))</f>
        <v>Combina com o prazo, a liquidez e a prioridade informados.</v>
      </c>
      <c r="U11" s="147" t="str">
        <f aca="false">IF($B11="","",IF($E11&gt;0,"Carência de "&amp;$E11&amp;" dias: não dá para resgatar antes.",IF($F11&gt;60,"Não é dinheiro rápido: leva meses para virar caixa.",IF(LEFT($H11,4)="PREV",IF(IN_PRAZO&lt;24,"Resgate antes de 2 anos paga 35% de imposto.","Não tem cobertura do FGC: quem responde pelo dinheiro é a seguradora."),IF($D11&gt;=4,"Pode cair no caminho e demorar a se recuperar.",IF(AND($H11="RF_REGR",$X11&gt;=0.03),"Se vender antes do vencimento, o preço pode estar abaixo do que você pagou.",IF($X11&gt;=0.03,"O valor oscila mês a mês: em prazo curto pode estar abaixo do que você aplicou.",IF($H11="FUNDO_LP","Tem come-cotas em maio e novembro, que antecipam parte do imposto.",IF($F11&gt;7,"Para o dinheiro cair na conta leva cerca de "&amp;$F11&amp;" dias.",IF($I11&gt;=0.015,"Taxa de administração alta em relação ao retorno esperado.","Confirme prazo, liquidez e tributação antes de contratar."))))))))))</f>
        <v>Carência de 360 dias: não dá para resgatar antes.</v>
      </c>
      <c r="V11" s="148" t="n">
        <f aca="false">IF($B11="","",IFERROR(IF(Produtos!$H11="MULT",(1+INDEX(TAB_MACRO_VAL,MATCH(Produtos!$E11,TAB_MACRO_COD,0))*Produtos!$F11)*(1+Produtos!$G11)-1,INDEX(TAB_MACRO_VAL,MATCH(Produtos!$E11,TAB_MACRO_COD,0))*Produtos!$F11+Produtos!$G11),""))</f>
        <v>0.11118</v>
      </c>
      <c r="W11" s="74" t="str">
        <f aca="false">IF(Produtos!$B11="","",Produtos!$E11)</f>
        <v>CDI</v>
      </c>
      <c r="X11" s="76" t="n">
        <f aca="false">IF(Produtos!$B11="",0,Produtos!$U11)</f>
        <v>0.001</v>
      </c>
    </row>
    <row r="12" customFormat="false" ht="21.75" hidden="false" customHeight="true" outlineLevel="0" collapsed="false">
      <c r="A12" s="74" t="str">
        <f aca="false">IF(Produtos!$B12="","",Produtos!$A12)</f>
        <v>RF04</v>
      </c>
      <c r="B12" s="142" t="str">
        <f aca="false">IF(Produtos!$B12="","",Produtos!$B12)</f>
        <v>CDB CAIXA 24 meses</v>
      </c>
      <c r="C12" s="74" t="str">
        <f aca="false">IF(Produtos!$B12="","",Produtos!$C12)</f>
        <v>Renda Fixa</v>
      </c>
      <c r="D12" s="77" t="n">
        <f aca="false">IF(Produtos!$B12="",0,Produtos!$T12)</f>
        <v>1</v>
      </c>
      <c r="E12" s="77" t="n">
        <f aca="false">IF(Produtos!$B12="",0,Produtos!$P12)</f>
        <v>720</v>
      </c>
      <c r="F12" s="77" t="n">
        <f aca="false">IF(Produtos!$B12="",0,Produtos!$Q12)</f>
        <v>0</v>
      </c>
      <c r="G12" s="78" t="n">
        <f aca="false">IF(Produtos!$B12="",0,Produtos!$R12)</f>
        <v>5000</v>
      </c>
      <c r="H12" s="74" t="str">
        <f aca="false">IF(Produtos!$B12="","",Produtos!$N12)</f>
        <v>RF_REGR</v>
      </c>
      <c r="I12" s="76" t="n">
        <f aca="false">IF(Produtos!$B12="",0,Produtos!$I12)</f>
        <v>0</v>
      </c>
      <c r="J12" s="74" t="str">
        <f aca="false">IF(Produtos!$B12="","NÃO",Produtos!$AD12)</f>
        <v>SIM</v>
      </c>
      <c r="K12" s="143" t="n">
        <f aca="false">IF(AND($B12&lt;&gt;"",IN_CAPITAL&gt;=$G12),1,0)</f>
        <v>1</v>
      </c>
      <c r="L12" s="143" t="n">
        <f aca="false">IF(AND($B12&lt;&gt;"",$D12&lt;=IFERROR(INDEX(Premissas!$B$102:$B$104,MATCH(IN_PERFIL,Premissas!$A$102:$A$104,0)),5)),1,0)</f>
        <v>1</v>
      </c>
      <c r="M12" s="143" t="n">
        <f aca="false">IF(IN_PRAZO*30&lt;$E12,0,IF($D12&gt;=4,IF(IN_PRAZO&gt;=60,100,IF(IN_PRAZO&gt;=36,60,IF(IN_PRAZO&gt;=24,30,0))),IF($D12=3,IF(IN_PRAZO&gt;=24,100,IF(IN_PRAZO&gt;=12,70,40)),100)))</f>
        <v>100</v>
      </c>
      <c r="N12" s="143" t="n">
        <f aca="false">IF(IN_RESGATE="Sim",IF($E12+$F12&lt;=3,100,IF($E12+$F12&lt;=31,50,0)),IF(IN_RESGATE="Talvez",IF($E12+$F12&lt;=90,100,IF($E12+$F12&lt;=360,50,20)),100))</f>
        <v>20</v>
      </c>
      <c r="O12" s="143" t="n">
        <f aca="false">IF($D12=0,0,IFERROR(INDEX($B$98:$F$101,MATCH(IN_PRIORIDADE,$A$98:$A$101,0),$D12),0))</f>
        <v>60</v>
      </c>
      <c r="P12" s="143" t="n">
        <f aca="false">MAX(0,MIN(100,60+IF($H12="ISENTO",25,0)+IF($I12&lt;=0.005,15,IF($I12&gt;=0.015,-15,0))+IF(AND($H12="PREV_REGR",IN_PRAZO&gt;=120),20,0)+IF(AND($H12="FUNDO_LP",IN_PRAZO&lt;=12),-10,0)+IF(AND($H12="FUNDO_CP",IN_PRAZO&gt;=24),-15,0)))</f>
        <v>75</v>
      </c>
      <c r="Q12" s="144" t="n">
        <f aca="false">IF(OR($B12="",$J12&lt;&gt;"SIM",$K12=0,$L12=0),0,ROUND(($M12*$B$7+$N12*$C$7+$O12*$D$7+$P12*$E$7)/MAX(1,$B$7+$C$7+$D$7+$E$7),1))</f>
        <v>62.3</v>
      </c>
      <c r="R12" s="145" t="n">
        <f aca="false">IF($H12="IMOVEL",0,$Q12+ROW()/1000000)</f>
        <v>62.300012</v>
      </c>
      <c r="S12" s="146" t="str">
        <f aca="false">IF($B12="","",IF($Q12=0,"Não indicado agora",IF($Q12&gt;=75,"Pode fazer sentido",IF($Q12&gt;=50,"Talvez faça sentido","Provavelmente não é o mais indicado"))))</f>
        <v>Talvez faça sentido</v>
      </c>
      <c r="T12" s="147" t="str">
        <f aca="false">IF($B12="","",IF($Q12=0,IF($K12=0,"O valor disponível é menor que a aplicação mínima deste produto.",IF($L12=0,"O risco deste produto está acima do perfil declarado pelo cliente.","Produto não está ativo na base.")),IF($Q12&lt;50,"Encaixa pouco no que foi pedido — veja o ponto de atenção ao lado.",IF($H12="ISENTO","Não paga Imposto de Renda para pessoa física.",IF($W12="PRE","A taxa fica travada na contratação: não cai se os juros da economia caírem.",IF($W12="IPCA","Protege o poder de compra: rende a inflação mais uma taxa fixa por cima.",IF(AND($E12=0,$F12&lt;=1),"O dinheiro pode ser retirado praticamente a qualquer momento.",IF(AND($H12="PREV_REGR",IN_PRAZO&gt;=120),"No prazo escolhido a previdência alcança a menor alíquota de imposto (10%).",IF($D12&gt;=4,"Pode render mais no prazo longo, aceitando oscilação pelo caminho.","Combina com o prazo, a liquidez e a prioridade informados.")))))))))</f>
        <v>Combina com o prazo, a liquidez e a prioridade informados.</v>
      </c>
      <c r="U12" s="147" t="str">
        <f aca="false">IF($B12="","",IF($E12&gt;0,"Carência de "&amp;$E12&amp;" dias: não dá para resgatar antes.",IF($F12&gt;60,"Não é dinheiro rápido: leva meses para virar caixa.",IF(LEFT($H12,4)="PREV",IF(IN_PRAZO&lt;24,"Resgate antes de 2 anos paga 35% de imposto.","Não tem cobertura do FGC: quem responde pelo dinheiro é a seguradora."),IF($D12&gt;=4,"Pode cair no caminho e demorar a se recuperar.",IF(AND($H12="RF_REGR",$X12&gt;=0.03),"Se vender antes do vencimento, o preço pode estar abaixo do que você pagou.",IF($X12&gt;=0.03,"O valor oscila mês a mês: em prazo curto pode estar abaixo do que você aplicou.",IF($H12="FUNDO_LP","Tem come-cotas em maio e novembro, que antecipam parte do imposto.",IF($F12&gt;7,"Para o dinheiro cair na conta leva cerca de "&amp;$F12&amp;" dias.",IF($I12&gt;=0.015,"Taxa de administração alta em relação ao retorno esperado.","Confirme prazo, liquidez e tributação antes de contratar."))))))))))</f>
        <v>Carência de 720 dias: não dá para resgatar antes.</v>
      </c>
      <c r="V12" s="148" t="n">
        <f aca="false">IF($B12="","",IFERROR(IF(Produtos!$H12="MULT",(1+INDEX(TAB_MACRO_VAL,MATCH(Produtos!$E12,TAB_MACRO_COD,0))*Produtos!$F12)*(1+Produtos!$G12)-1,INDEX(TAB_MACRO_VAL,MATCH(Produtos!$E12,TAB_MACRO_COD,0))*Produtos!$F12+Produtos!$G12),""))</f>
        <v>0.11445</v>
      </c>
      <c r="W12" s="74" t="str">
        <f aca="false">IF(Produtos!$B12="","",Produtos!$E12)</f>
        <v>CDI</v>
      </c>
      <c r="X12" s="76" t="n">
        <f aca="false">IF(Produtos!$B12="",0,Produtos!$U12)</f>
        <v>0.001</v>
      </c>
    </row>
    <row r="13" customFormat="false" ht="21.75" hidden="false" customHeight="true" outlineLevel="0" collapsed="false">
      <c r="A13" s="74" t="str">
        <f aca="false">IF(Produtos!$B13="","",Produtos!$A13)</f>
        <v>RF05</v>
      </c>
      <c r="B13" s="142" t="str">
        <f aca="false">IF(Produtos!$B13="","",Produtos!$B13)</f>
        <v>CDB CAIXA 60 meses</v>
      </c>
      <c r="C13" s="74" t="str">
        <f aca="false">IF(Produtos!$B13="","",Produtos!$C13)</f>
        <v>Renda Fixa</v>
      </c>
      <c r="D13" s="77" t="n">
        <f aca="false">IF(Produtos!$B13="",0,Produtos!$T13)</f>
        <v>1</v>
      </c>
      <c r="E13" s="77" t="n">
        <f aca="false">IF(Produtos!$B13="",0,Produtos!$P13)</f>
        <v>1800</v>
      </c>
      <c r="F13" s="77" t="n">
        <f aca="false">IF(Produtos!$B13="",0,Produtos!$Q13)</f>
        <v>0</v>
      </c>
      <c r="G13" s="78" t="n">
        <f aca="false">IF(Produtos!$B13="",0,Produtos!$R13)</f>
        <v>10000</v>
      </c>
      <c r="H13" s="74" t="str">
        <f aca="false">IF(Produtos!$B13="","",Produtos!$N13)</f>
        <v>RF_REGR</v>
      </c>
      <c r="I13" s="76" t="n">
        <f aca="false">IF(Produtos!$B13="",0,Produtos!$I13)</f>
        <v>0</v>
      </c>
      <c r="J13" s="74" t="str">
        <f aca="false">IF(Produtos!$B13="","NÃO",Produtos!$AD13)</f>
        <v>SIM</v>
      </c>
      <c r="K13" s="143" t="n">
        <f aca="false">IF(AND($B13&lt;&gt;"",IN_CAPITAL&gt;=$G13),1,0)</f>
        <v>1</v>
      </c>
      <c r="L13" s="143" t="n">
        <f aca="false">IF(AND($B13&lt;&gt;"",$D13&lt;=IFERROR(INDEX(Premissas!$B$102:$B$104,MATCH(IN_PERFIL,Premissas!$A$102:$A$104,0)),5)),1,0)</f>
        <v>1</v>
      </c>
      <c r="M13" s="143" t="n">
        <f aca="false">IF(IN_PRAZO*30&lt;$E13,0,IF($D13&gt;=4,IF(IN_PRAZO&gt;=60,100,IF(IN_PRAZO&gt;=36,60,IF(IN_PRAZO&gt;=24,30,0))),IF($D13=3,IF(IN_PRAZO&gt;=24,100,IF(IN_PRAZO&gt;=12,70,40)),100)))</f>
        <v>100</v>
      </c>
      <c r="N13" s="143" t="n">
        <f aca="false">IF(IN_RESGATE="Sim",IF($E13+$F13&lt;=3,100,IF($E13+$F13&lt;=31,50,0)),IF(IN_RESGATE="Talvez",IF($E13+$F13&lt;=90,100,IF($E13+$F13&lt;=360,50,20)),100))</f>
        <v>20</v>
      </c>
      <c r="O13" s="143" t="n">
        <f aca="false">IF($D13=0,0,IFERROR(INDEX($B$98:$F$101,MATCH(IN_PRIORIDADE,$A$98:$A$101,0),$D13),0))</f>
        <v>60</v>
      </c>
      <c r="P13" s="143" t="n">
        <f aca="false">MAX(0,MIN(100,60+IF($H13="ISENTO",25,0)+IF($I13&lt;=0.005,15,IF($I13&gt;=0.015,-15,0))+IF(AND($H13="PREV_REGR",IN_PRAZO&gt;=120),20,0)+IF(AND($H13="FUNDO_LP",IN_PRAZO&lt;=12),-10,0)+IF(AND($H13="FUNDO_CP",IN_PRAZO&gt;=24),-15,0)))</f>
        <v>75</v>
      </c>
      <c r="Q13" s="144" t="n">
        <f aca="false">IF(OR($B13="",$J13&lt;&gt;"SIM",$K13=0,$L13=0),0,ROUND(($M13*$B$7+$N13*$C$7+$O13*$D$7+$P13*$E$7)/MAX(1,$B$7+$C$7+$D$7+$E$7),1))</f>
        <v>62.3</v>
      </c>
      <c r="R13" s="145" t="n">
        <f aca="false">IF($H13="IMOVEL",0,$Q13+ROW()/1000000)</f>
        <v>62.300013</v>
      </c>
      <c r="S13" s="146" t="str">
        <f aca="false">IF($B13="","",IF($Q13=0,"Não indicado agora",IF($Q13&gt;=75,"Pode fazer sentido",IF($Q13&gt;=50,"Talvez faça sentido","Provavelmente não é o mais indicado"))))</f>
        <v>Talvez faça sentido</v>
      </c>
      <c r="T13" s="147" t="str">
        <f aca="false">IF($B13="","",IF($Q13=0,IF($K13=0,"O valor disponível é menor que a aplicação mínima deste produto.",IF($L13=0,"O risco deste produto está acima do perfil declarado pelo cliente.","Produto não está ativo na base.")),IF($Q13&lt;50,"Encaixa pouco no que foi pedido — veja o ponto de atenção ao lado.",IF($H13="ISENTO","Não paga Imposto de Renda para pessoa física.",IF($W13="PRE","A taxa fica travada na contratação: não cai se os juros da economia caírem.",IF($W13="IPCA","Protege o poder de compra: rende a inflação mais uma taxa fixa por cima.",IF(AND($E13=0,$F13&lt;=1),"O dinheiro pode ser retirado praticamente a qualquer momento.",IF(AND($H13="PREV_REGR",IN_PRAZO&gt;=120),"No prazo escolhido a previdência alcança a menor alíquota de imposto (10%).",IF($D13&gt;=4,"Pode render mais no prazo longo, aceitando oscilação pelo caminho.","Combina com o prazo, a liquidez e a prioridade informados.")))))))))</f>
        <v>Combina com o prazo, a liquidez e a prioridade informados.</v>
      </c>
      <c r="U13" s="147" t="str">
        <f aca="false">IF($B13="","",IF($E13&gt;0,"Carência de "&amp;$E13&amp;" dias: não dá para resgatar antes.",IF($F13&gt;60,"Não é dinheiro rápido: leva meses para virar caixa.",IF(LEFT($H13,4)="PREV",IF(IN_PRAZO&lt;24,"Resgate antes de 2 anos paga 35% de imposto.","Não tem cobertura do FGC: quem responde pelo dinheiro é a seguradora."),IF($D13&gt;=4,"Pode cair no caminho e demorar a se recuperar.",IF(AND($H13="RF_REGR",$X13&gt;=0.03),"Se vender antes do vencimento, o preço pode estar abaixo do que você pagou.",IF($X13&gt;=0.03,"O valor oscila mês a mês: em prazo curto pode estar abaixo do que você aplicou.",IF($H13="FUNDO_LP","Tem come-cotas em maio e novembro, que antecipam parte do imposto.",IF($F13&gt;7,"Para o dinheiro cair na conta leva cerca de "&amp;$F13&amp;" dias.",IF($I13&gt;=0.015,"Taxa de administração alta em relação ao retorno esperado.","Confirme prazo, liquidez e tributação antes de contratar."))))))))))</f>
        <v>Carência de 1800 dias: não dá para resgatar antes.</v>
      </c>
      <c r="V13" s="148" t="n">
        <f aca="false">IF($B13="","",IFERROR(IF(Produtos!$H13="MULT",(1+INDEX(TAB_MACRO_VAL,MATCH(Produtos!$E13,TAB_MACRO_COD,0))*Produtos!$F13)*(1+Produtos!$G13)-1,INDEX(TAB_MACRO_VAL,MATCH(Produtos!$E13,TAB_MACRO_COD,0))*Produtos!$F13+Produtos!$G13),""))</f>
        <v>0.1199</v>
      </c>
      <c r="W13" s="74" t="str">
        <f aca="false">IF(Produtos!$B13="","",Produtos!$E13)</f>
        <v>CDI</v>
      </c>
      <c r="X13" s="76" t="n">
        <f aca="false">IF(Produtos!$B13="",0,Produtos!$U13)</f>
        <v>0.001</v>
      </c>
    </row>
    <row r="14" customFormat="false" ht="21.75" hidden="false" customHeight="true" outlineLevel="0" collapsed="false">
      <c r="A14" s="74" t="str">
        <f aca="false">IF(Produtos!$B14="","",Produtos!$A14)</f>
        <v>RF06</v>
      </c>
      <c r="B14" s="142" t="str">
        <f aca="false">IF(Produtos!$B14="","",Produtos!$B14)</f>
        <v>LCI CAIXA 12 meses</v>
      </c>
      <c r="C14" s="74" t="str">
        <f aca="false">IF(Produtos!$B14="","",Produtos!$C14)</f>
        <v>Renda Fixa</v>
      </c>
      <c r="D14" s="77" t="n">
        <f aca="false">IF(Produtos!$B14="",0,Produtos!$T14)</f>
        <v>1</v>
      </c>
      <c r="E14" s="77" t="n">
        <f aca="false">IF(Produtos!$B14="",0,Produtos!$P14)</f>
        <v>360</v>
      </c>
      <c r="F14" s="77" t="n">
        <f aca="false">IF(Produtos!$B14="",0,Produtos!$Q14)</f>
        <v>0</v>
      </c>
      <c r="G14" s="78" t="n">
        <f aca="false">IF(Produtos!$B14="",0,Produtos!$R14)</f>
        <v>5000</v>
      </c>
      <c r="H14" s="74" t="str">
        <f aca="false">IF(Produtos!$B14="","",Produtos!$N14)</f>
        <v>ISENTO</v>
      </c>
      <c r="I14" s="76" t="n">
        <f aca="false">IF(Produtos!$B14="",0,Produtos!$I14)</f>
        <v>0</v>
      </c>
      <c r="J14" s="74" t="str">
        <f aca="false">IF(Produtos!$B14="","NÃO",Produtos!$AD14)</f>
        <v>SIM</v>
      </c>
      <c r="K14" s="143" t="n">
        <f aca="false">IF(AND($B14&lt;&gt;"",IN_CAPITAL&gt;=$G14),1,0)</f>
        <v>1</v>
      </c>
      <c r="L14" s="143" t="n">
        <f aca="false">IF(AND($B14&lt;&gt;"",$D14&lt;=IFERROR(INDEX(Premissas!$B$102:$B$104,MATCH(IN_PERFIL,Premissas!$A$102:$A$104,0)),5)),1,0)</f>
        <v>1</v>
      </c>
      <c r="M14" s="143" t="n">
        <f aca="false">IF(IN_PRAZO*30&lt;$E14,0,IF($D14&gt;=4,IF(IN_PRAZO&gt;=60,100,IF(IN_PRAZO&gt;=36,60,IF(IN_PRAZO&gt;=24,30,0))),IF($D14=3,IF(IN_PRAZO&gt;=24,100,IF(IN_PRAZO&gt;=12,70,40)),100)))</f>
        <v>100</v>
      </c>
      <c r="N14" s="143" t="n">
        <f aca="false">IF(IN_RESGATE="Sim",IF($E14+$F14&lt;=3,100,IF($E14+$F14&lt;=31,50,0)),IF(IN_RESGATE="Talvez",IF($E14+$F14&lt;=90,100,IF($E14+$F14&lt;=360,50,20)),100))</f>
        <v>50</v>
      </c>
      <c r="O14" s="143" t="n">
        <f aca="false">IF($D14=0,0,IFERROR(INDEX($B$98:$F$101,MATCH(IN_PRIORIDADE,$A$98:$A$101,0),$D14),0))</f>
        <v>60</v>
      </c>
      <c r="P14" s="143" t="n">
        <f aca="false">MAX(0,MIN(100,60+IF($H14="ISENTO",25,0)+IF($I14&lt;=0.005,15,IF($I14&gt;=0.015,-15,0))+IF(AND($H14="PREV_REGR",IN_PRAZO&gt;=120),20,0)+IF(AND($H14="FUNDO_LP",IN_PRAZO&lt;=12),-10,0)+IF(AND($H14="FUNDO_CP",IN_PRAZO&gt;=24),-15,0)))</f>
        <v>100</v>
      </c>
      <c r="Q14" s="144" t="n">
        <f aca="false">IF(OR($B14="",$J14&lt;&gt;"SIM",$K14=0,$L14=0),0,ROUND(($M14*$B$7+$N14*$C$7+$O14*$D$7+$P14*$E$7)/MAX(1,$B$7+$C$7+$D$7+$E$7),1))</f>
        <v>73.5</v>
      </c>
      <c r="R14" s="145" t="n">
        <f aca="false">IF($H14="IMOVEL",0,$Q14+ROW()/1000000)</f>
        <v>73.500014</v>
      </c>
      <c r="S14" s="146" t="str">
        <f aca="false">IF($B14="","",IF($Q14=0,"Não indicado agora",IF($Q14&gt;=75,"Pode fazer sentido",IF($Q14&gt;=50,"Talvez faça sentido","Provavelmente não é o mais indicado"))))</f>
        <v>Talvez faça sentido</v>
      </c>
      <c r="T14" s="147" t="str">
        <f aca="false">IF($B14="","",IF($Q14=0,IF($K14=0,"O valor disponível é menor que a aplicação mínima deste produto.",IF($L14=0,"O risco deste produto está acima do perfil declarado pelo cliente.","Produto não está ativo na base.")),IF($Q14&lt;50,"Encaixa pouco no que foi pedido — veja o ponto de atenção ao lado.",IF($H14="ISENTO","Não paga Imposto de Renda para pessoa física.",IF($W14="PRE","A taxa fica travada na contratação: não cai se os juros da economia caírem.",IF($W14="IPCA","Protege o poder de compra: rende a inflação mais uma taxa fixa por cima.",IF(AND($E14=0,$F14&lt;=1),"O dinheiro pode ser retirado praticamente a qualquer momento.",IF(AND($H14="PREV_REGR",IN_PRAZO&gt;=120),"No prazo escolhido a previdência alcança a menor alíquota de imposto (10%).",IF($D14&gt;=4,"Pode render mais no prazo longo, aceitando oscilação pelo caminho.","Combina com o prazo, a liquidez e a prioridade informados.")))))))))</f>
        <v>Não paga Imposto de Renda para pessoa física.</v>
      </c>
      <c r="U14" s="147" t="str">
        <f aca="false">IF($B14="","",IF($E14&gt;0,"Carência de "&amp;$E14&amp;" dias: não dá para resgatar antes.",IF($F14&gt;60,"Não é dinheiro rápido: leva meses para virar caixa.",IF(LEFT($H14,4)="PREV",IF(IN_PRAZO&lt;24,"Resgate antes de 2 anos paga 35% de imposto.","Não tem cobertura do FGC: quem responde pelo dinheiro é a seguradora."),IF($D14&gt;=4,"Pode cair no caminho e demorar a se recuperar.",IF(AND($H14="RF_REGR",$X14&gt;=0.03),"Se vender antes do vencimento, o preço pode estar abaixo do que você pagou.",IF($X14&gt;=0.03,"O valor oscila mês a mês: em prazo curto pode estar abaixo do que você aplicou.",IF($H14="FUNDO_LP","Tem come-cotas em maio e novembro, que antecipam parte do imposto.",IF($F14&gt;7,"Para o dinheiro cair na conta leva cerca de "&amp;$F14&amp;" dias.",IF($I14&gt;=0.015,"Taxa de administração alta em relação ao retorno esperado.","Confirme prazo, liquidez e tributação antes de contratar."))))))))))</f>
        <v>Carência de 360 dias: não dá para resgatar antes.</v>
      </c>
      <c r="V14" s="148" t="n">
        <f aca="false">IF($B14="","",IFERROR(IF(Produtos!$H14="MULT",(1+INDEX(TAB_MACRO_VAL,MATCH(Produtos!$E14,TAB_MACRO_COD,0))*Produtos!$F14)*(1+Produtos!$G14)-1,INDEX(TAB_MACRO_VAL,MATCH(Produtos!$E14,TAB_MACRO_COD,0))*Produtos!$F14+Produtos!$G14),""))</f>
        <v>0.10028</v>
      </c>
      <c r="W14" s="74" t="str">
        <f aca="false">IF(Produtos!$B14="","",Produtos!$E14)</f>
        <v>CDI</v>
      </c>
      <c r="X14" s="76" t="n">
        <f aca="false">IF(Produtos!$B14="",0,Produtos!$U14)</f>
        <v>0.001</v>
      </c>
    </row>
    <row r="15" customFormat="false" ht="21.75" hidden="false" customHeight="true" outlineLevel="0" collapsed="false">
      <c r="A15" s="74" t="str">
        <f aca="false">IF(Produtos!$B15="","",Produtos!$A15)</f>
        <v>RF07</v>
      </c>
      <c r="B15" s="142" t="str">
        <f aca="false">IF(Produtos!$B15="","",Produtos!$B15)</f>
        <v>LCA CAIXA 12 meses</v>
      </c>
      <c r="C15" s="74" t="str">
        <f aca="false">IF(Produtos!$B15="","",Produtos!$C15)</f>
        <v>Renda Fixa</v>
      </c>
      <c r="D15" s="77" t="n">
        <f aca="false">IF(Produtos!$B15="",0,Produtos!$T15)</f>
        <v>1</v>
      </c>
      <c r="E15" s="77" t="n">
        <f aca="false">IF(Produtos!$B15="",0,Produtos!$P15)</f>
        <v>270</v>
      </c>
      <c r="F15" s="77" t="n">
        <f aca="false">IF(Produtos!$B15="",0,Produtos!$Q15)</f>
        <v>0</v>
      </c>
      <c r="G15" s="78" t="n">
        <f aca="false">IF(Produtos!$B15="",0,Produtos!$R15)</f>
        <v>5000</v>
      </c>
      <c r="H15" s="74" t="str">
        <f aca="false">IF(Produtos!$B15="","",Produtos!$N15)</f>
        <v>ISENTO</v>
      </c>
      <c r="I15" s="76" t="n">
        <f aca="false">IF(Produtos!$B15="",0,Produtos!$I15)</f>
        <v>0</v>
      </c>
      <c r="J15" s="74" t="str">
        <f aca="false">IF(Produtos!$B15="","NÃO",Produtos!$AD15)</f>
        <v>SIM</v>
      </c>
      <c r="K15" s="143" t="n">
        <f aca="false">IF(AND($B15&lt;&gt;"",IN_CAPITAL&gt;=$G15),1,0)</f>
        <v>1</v>
      </c>
      <c r="L15" s="143" t="n">
        <f aca="false">IF(AND($B15&lt;&gt;"",$D15&lt;=IFERROR(INDEX(Premissas!$B$102:$B$104,MATCH(IN_PERFIL,Premissas!$A$102:$A$104,0)),5)),1,0)</f>
        <v>1</v>
      </c>
      <c r="M15" s="143" t="n">
        <f aca="false">IF(IN_PRAZO*30&lt;$E15,0,IF($D15&gt;=4,IF(IN_PRAZO&gt;=60,100,IF(IN_PRAZO&gt;=36,60,IF(IN_PRAZO&gt;=24,30,0))),IF($D15=3,IF(IN_PRAZO&gt;=24,100,IF(IN_PRAZO&gt;=12,70,40)),100)))</f>
        <v>100</v>
      </c>
      <c r="N15" s="143" t="n">
        <f aca="false">IF(IN_RESGATE="Sim",IF($E15+$F15&lt;=3,100,IF($E15+$F15&lt;=31,50,0)),IF(IN_RESGATE="Talvez",IF($E15+$F15&lt;=90,100,IF($E15+$F15&lt;=360,50,20)),100))</f>
        <v>50</v>
      </c>
      <c r="O15" s="143" t="n">
        <f aca="false">IF($D15=0,0,IFERROR(INDEX($B$98:$F$101,MATCH(IN_PRIORIDADE,$A$98:$A$101,0),$D15),0))</f>
        <v>60</v>
      </c>
      <c r="P15" s="143" t="n">
        <f aca="false">MAX(0,MIN(100,60+IF($H15="ISENTO",25,0)+IF($I15&lt;=0.005,15,IF($I15&gt;=0.015,-15,0))+IF(AND($H15="PREV_REGR",IN_PRAZO&gt;=120),20,0)+IF(AND($H15="FUNDO_LP",IN_PRAZO&lt;=12),-10,0)+IF(AND($H15="FUNDO_CP",IN_PRAZO&gt;=24),-15,0)))</f>
        <v>100</v>
      </c>
      <c r="Q15" s="144" t="n">
        <f aca="false">IF(OR($B15="",$J15&lt;&gt;"SIM",$K15=0,$L15=0),0,ROUND(($M15*$B$7+$N15*$C$7+$O15*$D$7+$P15*$E$7)/MAX(1,$B$7+$C$7+$D$7+$E$7),1))</f>
        <v>73.5</v>
      </c>
      <c r="R15" s="145" t="n">
        <f aca="false">IF($H15="IMOVEL",0,$Q15+ROW()/1000000)</f>
        <v>73.500015</v>
      </c>
      <c r="S15" s="146" t="str">
        <f aca="false">IF($B15="","",IF($Q15=0,"Não indicado agora",IF($Q15&gt;=75,"Pode fazer sentido",IF($Q15&gt;=50,"Talvez faça sentido","Provavelmente não é o mais indicado"))))</f>
        <v>Talvez faça sentido</v>
      </c>
      <c r="T15" s="147" t="str">
        <f aca="false">IF($B15="","",IF($Q15=0,IF($K15=0,"O valor disponível é menor que a aplicação mínima deste produto.",IF($L15=0,"O risco deste produto está acima do perfil declarado pelo cliente.","Produto não está ativo na base.")),IF($Q15&lt;50,"Encaixa pouco no que foi pedido — veja o ponto de atenção ao lado.",IF($H15="ISENTO","Não paga Imposto de Renda para pessoa física.",IF($W15="PRE","A taxa fica travada na contratação: não cai se os juros da economia caírem.",IF($W15="IPCA","Protege o poder de compra: rende a inflação mais uma taxa fixa por cima.",IF(AND($E15=0,$F15&lt;=1),"O dinheiro pode ser retirado praticamente a qualquer momento.",IF(AND($H15="PREV_REGR",IN_PRAZO&gt;=120),"No prazo escolhido a previdência alcança a menor alíquota de imposto (10%).",IF($D15&gt;=4,"Pode render mais no prazo longo, aceitando oscilação pelo caminho.","Combina com o prazo, a liquidez e a prioridade informados.")))))))))</f>
        <v>Não paga Imposto de Renda para pessoa física.</v>
      </c>
      <c r="U15" s="147" t="str">
        <f aca="false">IF($B15="","",IF($E15&gt;0,"Carência de "&amp;$E15&amp;" dias: não dá para resgatar antes.",IF($F15&gt;60,"Não é dinheiro rápido: leva meses para virar caixa.",IF(LEFT($H15,4)="PREV",IF(IN_PRAZO&lt;24,"Resgate antes de 2 anos paga 35% de imposto.","Não tem cobertura do FGC: quem responde pelo dinheiro é a seguradora."),IF($D15&gt;=4,"Pode cair no caminho e demorar a se recuperar.",IF(AND($H15="RF_REGR",$X15&gt;=0.03),"Se vender antes do vencimento, o preço pode estar abaixo do que você pagou.",IF($X15&gt;=0.03,"O valor oscila mês a mês: em prazo curto pode estar abaixo do que você aplicou.",IF($H15="FUNDO_LP","Tem come-cotas em maio e novembro, que antecipam parte do imposto.",IF($F15&gt;7,"Para o dinheiro cair na conta leva cerca de "&amp;$F15&amp;" dias.",IF($I15&gt;=0.015,"Taxa de administração alta em relação ao retorno esperado.","Confirme prazo, liquidez e tributação antes de contratar."))))))))))</f>
        <v>Carência de 270 dias: não dá para resgatar antes.</v>
      </c>
      <c r="V15" s="148" t="n">
        <f aca="false">IF($B15="","",IFERROR(IF(Produtos!$H15="MULT",(1+INDEX(TAB_MACRO_VAL,MATCH(Produtos!$E15,TAB_MACRO_COD,0))*Produtos!$F15)*(1+Produtos!$G15)-1,INDEX(TAB_MACRO_VAL,MATCH(Produtos!$E15,TAB_MACRO_COD,0))*Produtos!$F15+Produtos!$G15),""))</f>
        <v>0.09919</v>
      </c>
      <c r="W15" s="74" t="str">
        <f aca="false">IF(Produtos!$B15="","",Produtos!$E15)</f>
        <v>CDI</v>
      </c>
      <c r="X15" s="76" t="n">
        <f aca="false">IF(Produtos!$B15="",0,Produtos!$U15)</f>
        <v>0.001</v>
      </c>
    </row>
    <row r="16" customFormat="false" ht="21.75" hidden="false" customHeight="true" outlineLevel="0" collapsed="false">
      <c r="A16" s="74" t="str">
        <f aca="false">IF(Produtos!$B16="","",Produtos!$A16)</f>
        <v>RF08</v>
      </c>
      <c r="B16" s="142" t="str">
        <f aca="false">IF(Produtos!$B16="","",Produtos!$B16)</f>
        <v>Tesouro Selic 2031</v>
      </c>
      <c r="C16" s="74" t="str">
        <f aca="false">IF(Produtos!$B16="","",Produtos!$C16)</f>
        <v>Renda Fixa</v>
      </c>
      <c r="D16" s="77" t="n">
        <f aca="false">IF(Produtos!$B16="",0,Produtos!$T16)</f>
        <v>1</v>
      </c>
      <c r="E16" s="77" t="n">
        <f aca="false">IF(Produtos!$B16="",0,Produtos!$P16)</f>
        <v>0</v>
      </c>
      <c r="F16" s="77" t="n">
        <f aca="false">IF(Produtos!$B16="",0,Produtos!$Q16)</f>
        <v>1</v>
      </c>
      <c r="G16" s="78" t="n">
        <f aca="false">IF(Produtos!$B16="",0,Produtos!$R16)</f>
        <v>100</v>
      </c>
      <c r="H16" s="74" t="str">
        <f aca="false">IF(Produtos!$B16="","",Produtos!$N16)</f>
        <v>RF_REGR</v>
      </c>
      <c r="I16" s="76" t="n">
        <f aca="false">IF(Produtos!$B16="",0,Produtos!$I16)</f>
        <v>0</v>
      </c>
      <c r="J16" s="74" t="str">
        <f aca="false">IF(Produtos!$B16="","NÃO",Produtos!$AD16)</f>
        <v>SIM</v>
      </c>
      <c r="K16" s="143" t="n">
        <f aca="false">IF(AND($B16&lt;&gt;"",IN_CAPITAL&gt;=$G16),1,0)</f>
        <v>1</v>
      </c>
      <c r="L16" s="143" t="n">
        <f aca="false">IF(AND($B16&lt;&gt;"",$D16&lt;=IFERROR(INDEX(Premissas!$B$102:$B$104,MATCH(IN_PERFIL,Premissas!$A$102:$A$104,0)),5)),1,0)</f>
        <v>1</v>
      </c>
      <c r="M16" s="143" t="n">
        <f aca="false">IF(IN_PRAZO*30&lt;$E16,0,IF($D16&gt;=4,IF(IN_PRAZO&gt;=60,100,IF(IN_PRAZO&gt;=36,60,IF(IN_PRAZO&gt;=24,30,0))),IF($D16=3,IF(IN_PRAZO&gt;=24,100,IF(IN_PRAZO&gt;=12,70,40)),100)))</f>
        <v>100</v>
      </c>
      <c r="N16" s="143" t="n">
        <f aca="false">IF(IN_RESGATE="Sim",IF($E16+$F16&lt;=3,100,IF($E16+$F16&lt;=31,50,0)),IF(IN_RESGATE="Talvez",IF($E16+$F16&lt;=90,100,IF($E16+$F16&lt;=360,50,20)),100))</f>
        <v>100</v>
      </c>
      <c r="O16" s="143" t="n">
        <f aca="false">IF($D16=0,0,IFERROR(INDEX($B$98:$F$101,MATCH(IN_PRIORIDADE,$A$98:$A$101,0),$D16),0))</f>
        <v>60</v>
      </c>
      <c r="P16" s="143" t="n">
        <f aca="false">MAX(0,MIN(100,60+IF($H16="ISENTO",25,0)+IF($I16&lt;=0.005,15,IF($I16&gt;=0.015,-15,0))+IF(AND($H16="PREV_REGR",IN_PRAZO&gt;=120),20,0)+IF(AND($H16="FUNDO_LP",IN_PRAZO&lt;=12),-10,0)+IF(AND($H16="FUNDO_CP",IN_PRAZO&gt;=24),-15,0)))</f>
        <v>75</v>
      </c>
      <c r="Q16" s="144" t="n">
        <f aca="false">IF(OR($B16="",$J16&lt;&gt;"SIM",$K16=0,$L16=0),0,ROUND(($M16*$B$7+$N16*$C$7+$O16*$D$7+$P16*$E$7)/MAX(1,$B$7+$C$7+$D$7+$E$7),1))</f>
        <v>82.3</v>
      </c>
      <c r="R16" s="145" t="n">
        <f aca="false">IF($H16="IMOVEL",0,$Q16+ROW()/1000000)</f>
        <v>82.300016</v>
      </c>
      <c r="S16" s="146" t="str">
        <f aca="false">IF($B16="","",IF($Q16=0,"Não indicado agora",IF($Q16&gt;=75,"Pode fazer sentido",IF($Q16&gt;=50,"Talvez faça sentido","Provavelmente não é o mais indicado"))))</f>
        <v>Pode fazer sentido</v>
      </c>
      <c r="T16" s="147" t="str">
        <f aca="false">IF($B16="","",IF($Q16=0,IF($K16=0,"O valor disponível é menor que a aplicação mínima deste produto.",IF($L16=0,"O risco deste produto está acima do perfil declarado pelo cliente.","Produto não está ativo na base.")),IF($Q16&lt;50,"Encaixa pouco no que foi pedido — veja o ponto de atenção ao lado.",IF($H16="ISENTO","Não paga Imposto de Renda para pessoa física.",IF($W16="PRE","A taxa fica travada na contratação: não cai se os juros da economia caírem.",IF($W16="IPCA","Protege o poder de compra: rende a inflação mais uma taxa fixa por cima.",IF(AND($E16=0,$F16&lt;=1),"O dinheiro pode ser retirado praticamente a qualquer momento.",IF(AND($H16="PREV_REGR",IN_PRAZO&gt;=120),"No prazo escolhido a previdência alcança a menor alíquota de imposto (10%).",IF($D16&gt;=4,"Pode render mais no prazo longo, aceitando oscilação pelo caminho.","Combina com o prazo, a liquidez e a prioridade informados.")))))))))</f>
        <v>O dinheiro pode ser retirado praticamente a qualquer momento.</v>
      </c>
      <c r="U16" s="147" t="str">
        <f aca="false">IF($B16="","",IF($E16&gt;0,"Carência de "&amp;$E16&amp;" dias: não dá para resgatar antes.",IF($F16&gt;60,"Não é dinheiro rápido: leva meses para virar caixa.",IF(LEFT($H16,4)="PREV",IF(IN_PRAZO&lt;24,"Resgate antes de 2 anos paga 35% de imposto.","Não tem cobertura do FGC: quem responde pelo dinheiro é a seguradora."),IF($D16&gt;=4,"Pode cair no caminho e demorar a se recuperar.",IF(AND($H16="RF_REGR",$X16&gt;=0.03),"Se vender antes do vencimento, o preço pode estar abaixo do que você pagou.",IF($X16&gt;=0.03,"O valor oscila mês a mês: em prazo curto pode estar abaixo do que você aplicou.",IF($H16="FUNDO_LP","Tem come-cotas em maio e novembro, que antecipam parte do imposto.",IF($F16&gt;7,"Para o dinheiro cair na conta leva cerca de "&amp;$F16&amp;" dias.",IF($I16&gt;=0.015,"Taxa de administração alta em relação ao retorno esperado.","Confirme prazo, liquidez e tributação antes de contratar."))))))))))</f>
        <v>Confirme prazo, liquidez e tributação antes de contratar.</v>
      </c>
      <c r="V16" s="148" t="n">
        <f aca="false">IF($B16="","",IFERROR(IF(Produtos!$H16="MULT",(1+INDEX(TAB_MACRO_VAL,MATCH(Produtos!$E16,TAB_MACRO_COD,0))*Produtos!$F16)*(1+Produtos!$G16)-1,INDEX(TAB_MACRO_VAL,MATCH(Produtos!$E16,TAB_MACRO_COD,0))*Produtos!$F16+Produtos!$G16),""))</f>
        <v>0.1102</v>
      </c>
      <c r="W16" s="74" t="str">
        <f aca="false">IF(Produtos!$B16="","",Produtos!$E16)</f>
        <v>SELIC</v>
      </c>
      <c r="X16" s="76" t="n">
        <f aca="false">IF(Produtos!$B16="",0,Produtos!$U16)</f>
        <v>0.002</v>
      </c>
    </row>
    <row r="17" customFormat="false" ht="21.75" hidden="false" customHeight="true" outlineLevel="0" collapsed="false">
      <c r="A17" s="74" t="str">
        <f aca="false">IF(Produtos!$B17="","",Produtos!$A17)</f>
        <v>RF09</v>
      </c>
      <c r="B17" s="142" t="str">
        <f aca="false">IF(Produtos!$B17="","",Produtos!$B17)</f>
        <v>Tesouro IPCA+ 2035</v>
      </c>
      <c r="C17" s="74" t="str">
        <f aca="false">IF(Produtos!$B17="","",Produtos!$C17)</f>
        <v>Renda Fixa</v>
      </c>
      <c r="D17" s="77" t="n">
        <f aca="false">IF(Produtos!$B17="",0,Produtos!$T17)</f>
        <v>2</v>
      </c>
      <c r="E17" s="77" t="n">
        <f aca="false">IF(Produtos!$B17="",0,Produtos!$P17)</f>
        <v>0</v>
      </c>
      <c r="F17" s="77" t="n">
        <f aca="false">IF(Produtos!$B17="",0,Produtos!$Q17)</f>
        <v>1</v>
      </c>
      <c r="G17" s="78" t="n">
        <f aca="false">IF(Produtos!$B17="",0,Produtos!$R17)</f>
        <v>100</v>
      </c>
      <c r="H17" s="74" t="str">
        <f aca="false">IF(Produtos!$B17="","",Produtos!$N17)</f>
        <v>RF_REGR</v>
      </c>
      <c r="I17" s="76" t="n">
        <f aca="false">IF(Produtos!$B17="",0,Produtos!$I17)</f>
        <v>0</v>
      </c>
      <c r="J17" s="74" t="str">
        <f aca="false">IF(Produtos!$B17="","NÃO",Produtos!$AD17)</f>
        <v>SIM</v>
      </c>
      <c r="K17" s="143" t="n">
        <f aca="false">IF(AND($B17&lt;&gt;"",IN_CAPITAL&gt;=$G17),1,0)</f>
        <v>1</v>
      </c>
      <c r="L17" s="143" t="n">
        <f aca="false">IF(AND($B17&lt;&gt;"",$D17&lt;=IFERROR(INDEX(Premissas!$B$102:$B$104,MATCH(IN_PERFIL,Premissas!$A$102:$A$104,0)),5)),1,0)</f>
        <v>1</v>
      </c>
      <c r="M17" s="143" t="n">
        <f aca="false">IF(IN_PRAZO*30&lt;$E17,0,IF($D17&gt;=4,IF(IN_PRAZO&gt;=60,100,IF(IN_PRAZO&gt;=36,60,IF(IN_PRAZO&gt;=24,30,0))),IF($D17=3,IF(IN_PRAZO&gt;=24,100,IF(IN_PRAZO&gt;=12,70,40)),100)))</f>
        <v>100</v>
      </c>
      <c r="N17" s="143" t="n">
        <f aca="false">IF(IN_RESGATE="Sim",IF($E17+$F17&lt;=3,100,IF($E17+$F17&lt;=31,50,0)),IF(IN_RESGATE="Talvez",IF($E17+$F17&lt;=90,100,IF($E17+$F17&lt;=360,50,20)),100))</f>
        <v>100</v>
      </c>
      <c r="O17" s="143" t="n">
        <f aca="false">IF($D17=0,0,IFERROR(INDEX($B$98:$F$101,MATCH(IN_PRIORIDADE,$A$98:$A$101,0),$D17),0))</f>
        <v>100</v>
      </c>
      <c r="P17" s="143" t="n">
        <f aca="false">MAX(0,MIN(100,60+IF($H17="ISENTO",25,0)+IF($I17&lt;=0.005,15,IF($I17&gt;=0.015,-15,0))+IF(AND($H17="PREV_REGR",IN_PRAZO&gt;=120),20,0)+IF(AND($H17="FUNDO_LP",IN_PRAZO&lt;=12),-10,0)+IF(AND($H17="FUNDO_CP",IN_PRAZO&gt;=24),-15,0)))</f>
        <v>75</v>
      </c>
      <c r="Q17" s="144" t="n">
        <f aca="false">IF(OR($B17="",$J17&lt;&gt;"SIM",$K17=0,$L17=0),0,ROUND(($M17*$B$7+$N17*$C$7+$O17*$D$7+$P17*$E$7)/MAX(1,$B$7+$C$7+$D$7+$E$7),1))</f>
        <v>96.3</v>
      </c>
      <c r="R17" s="145" t="n">
        <f aca="false">IF($H17="IMOVEL",0,$Q17+ROW()/1000000)</f>
        <v>96.300017</v>
      </c>
      <c r="S17" s="146" t="str">
        <f aca="false">IF($B17="","",IF($Q17=0,"Não indicado agora",IF($Q17&gt;=75,"Pode fazer sentido",IF($Q17&gt;=50,"Talvez faça sentido","Provavelmente não é o mais indicado"))))</f>
        <v>Pode fazer sentido</v>
      </c>
      <c r="T17" s="147" t="str">
        <f aca="false">IF($B17="","",IF($Q17=0,IF($K17=0,"O valor disponível é menor que a aplicação mínima deste produto.",IF($L17=0,"O risco deste produto está acima do perfil declarado pelo cliente.","Produto não está ativo na base.")),IF($Q17&lt;50,"Encaixa pouco no que foi pedido — veja o ponto de atenção ao lado.",IF($H17="ISENTO","Não paga Imposto de Renda para pessoa física.",IF($W17="PRE","A taxa fica travada na contratação: não cai se os juros da economia caírem.",IF($W17="IPCA","Protege o poder de compra: rende a inflação mais uma taxa fixa por cima.",IF(AND($E17=0,$F17&lt;=1),"O dinheiro pode ser retirado praticamente a qualquer momento.",IF(AND($H17="PREV_REGR",IN_PRAZO&gt;=120),"No prazo escolhido a previdência alcança a menor alíquota de imposto (10%).",IF($D17&gt;=4,"Pode render mais no prazo longo, aceitando oscilação pelo caminho.","Combina com o prazo, a liquidez e a prioridade informados.")))))))))</f>
        <v>Protege o poder de compra: rende a inflação mais uma taxa fixa por cima.</v>
      </c>
      <c r="U17" s="147" t="str">
        <f aca="false">IF($B17="","",IF($E17&gt;0,"Carência de "&amp;$E17&amp;" dias: não dá para resgatar antes.",IF($F17&gt;60,"Não é dinheiro rápido: leva meses para virar caixa.",IF(LEFT($H17,4)="PREV",IF(IN_PRAZO&lt;24,"Resgate antes de 2 anos paga 35% de imposto.","Não tem cobertura do FGC: quem responde pelo dinheiro é a seguradora."),IF($D17&gt;=4,"Pode cair no caminho e demorar a se recuperar.",IF(AND($H17="RF_REGR",$X17&gt;=0.03),"Se vender antes do vencimento, o preço pode estar abaixo do que você pagou.",IF($X17&gt;=0.03,"O valor oscila mês a mês: em prazo curto pode estar abaixo do que você aplicou.",IF($H17="FUNDO_LP","Tem come-cotas em maio e novembro, que antecipam parte do imposto.",IF($F17&gt;7,"Para o dinheiro cair na conta leva cerca de "&amp;$F17&amp;" dias.",IF($I17&gt;=0.015,"Taxa de administração alta em relação ao retorno esperado.","Confirme prazo, liquidez e tributação antes de contratar."))))))))))</f>
        <v>Se vender antes do vencimento, o preço pode estar abaixo do que você pagou.</v>
      </c>
      <c r="V17" s="148" t="n">
        <f aca="false">IF($B17="","",IFERROR(IF(Produtos!$H17="MULT",(1+INDEX(TAB_MACRO_VAL,MATCH(Produtos!$E17,TAB_MACRO_COD,0))*Produtos!$F17)*(1+Produtos!$G17)-1,INDEX(TAB_MACRO_VAL,MATCH(Produtos!$E17,TAB_MACRO_COD,0))*Produtos!$F17+Produtos!$G17),""))</f>
        <v>0.1024</v>
      </c>
      <c r="W17" s="74" t="str">
        <f aca="false">IF(Produtos!$B17="","",Produtos!$E17)</f>
        <v>IPCA</v>
      </c>
      <c r="X17" s="76" t="n">
        <f aca="false">IF(Produtos!$B17="",0,Produtos!$U17)</f>
        <v>0.08</v>
      </c>
    </row>
    <row r="18" customFormat="false" ht="21.75" hidden="false" customHeight="true" outlineLevel="0" collapsed="false">
      <c r="A18" s="74" t="str">
        <f aca="false">IF(Produtos!$B18="","",Produtos!$A18)</f>
        <v>RF10</v>
      </c>
      <c r="B18" s="142" t="str">
        <f aca="false">IF(Produtos!$B18="","",Produtos!$B18)</f>
        <v>Tesouro Prefixado 2031</v>
      </c>
      <c r="C18" s="74" t="str">
        <f aca="false">IF(Produtos!$B18="","",Produtos!$C18)</f>
        <v>Renda Fixa</v>
      </c>
      <c r="D18" s="77" t="n">
        <f aca="false">IF(Produtos!$B18="",0,Produtos!$T18)</f>
        <v>2</v>
      </c>
      <c r="E18" s="77" t="n">
        <f aca="false">IF(Produtos!$B18="",0,Produtos!$P18)</f>
        <v>0</v>
      </c>
      <c r="F18" s="77" t="n">
        <f aca="false">IF(Produtos!$B18="",0,Produtos!$Q18)</f>
        <v>1</v>
      </c>
      <c r="G18" s="78" t="n">
        <f aca="false">IF(Produtos!$B18="",0,Produtos!$R18)</f>
        <v>100</v>
      </c>
      <c r="H18" s="74" t="str">
        <f aca="false">IF(Produtos!$B18="","",Produtos!$N18)</f>
        <v>RF_REGR</v>
      </c>
      <c r="I18" s="76" t="n">
        <f aca="false">IF(Produtos!$B18="",0,Produtos!$I18)</f>
        <v>0</v>
      </c>
      <c r="J18" s="74" t="str">
        <f aca="false">IF(Produtos!$B18="","NÃO",Produtos!$AD18)</f>
        <v>SIM</v>
      </c>
      <c r="K18" s="143" t="n">
        <f aca="false">IF(AND($B18&lt;&gt;"",IN_CAPITAL&gt;=$G18),1,0)</f>
        <v>1</v>
      </c>
      <c r="L18" s="143" t="n">
        <f aca="false">IF(AND($B18&lt;&gt;"",$D18&lt;=IFERROR(INDEX(Premissas!$B$102:$B$104,MATCH(IN_PERFIL,Premissas!$A$102:$A$104,0)),5)),1,0)</f>
        <v>1</v>
      </c>
      <c r="M18" s="143" t="n">
        <f aca="false">IF(IN_PRAZO*30&lt;$E18,0,IF($D18&gt;=4,IF(IN_PRAZO&gt;=60,100,IF(IN_PRAZO&gt;=36,60,IF(IN_PRAZO&gt;=24,30,0))),IF($D18=3,IF(IN_PRAZO&gt;=24,100,IF(IN_PRAZO&gt;=12,70,40)),100)))</f>
        <v>100</v>
      </c>
      <c r="N18" s="143" t="n">
        <f aca="false">IF(IN_RESGATE="Sim",IF($E18+$F18&lt;=3,100,IF($E18+$F18&lt;=31,50,0)),IF(IN_RESGATE="Talvez",IF($E18+$F18&lt;=90,100,IF($E18+$F18&lt;=360,50,20)),100))</f>
        <v>100</v>
      </c>
      <c r="O18" s="143" t="n">
        <f aca="false">IF($D18=0,0,IFERROR(INDEX($B$98:$F$101,MATCH(IN_PRIORIDADE,$A$98:$A$101,0),$D18),0))</f>
        <v>100</v>
      </c>
      <c r="P18" s="143" t="n">
        <f aca="false">MAX(0,MIN(100,60+IF($H18="ISENTO",25,0)+IF($I18&lt;=0.005,15,IF($I18&gt;=0.015,-15,0))+IF(AND($H18="PREV_REGR",IN_PRAZO&gt;=120),20,0)+IF(AND($H18="FUNDO_LP",IN_PRAZO&lt;=12),-10,0)+IF(AND($H18="FUNDO_CP",IN_PRAZO&gt;=24),-15,0)))</f>
        <v>75</v>
      </c>
      <c r="Q18" s="144" t="n">
        <f aca="false">IF(OR($B18="",$J18&lt;&gt;"SIM",$K18=0,$L18=0),0,ROUND(($M18*$B$7+$N18*$C$7+$O18*$D$7+$P18*$E$7)/MAX(1,$B$7+$C$7+$D$7+$E$7),1))</f>
        <v>96.3</v>
      </c>
      <c r="R18" s="145" t="n">
        <f aca="false">IF($H18="IMOVEL",0,$Q18+ROW()/1000000)</f>
        <v>96.300018</v>
      </c>
      <c r="S18" s="146" t="str">
        <f aca="false">IF($B18="","",IF($Q18=0,"Não indicado agora",IF($Q18&gt;=75,"Pode fazer sentido",IF($Q18&gt;=50,"Talvez faça sentido","Provavelmente não é o mais indicado"))))</f>
        <v>Pode fazer sentido</v>
      </c>
      <c r="T18" s="147" t="str">
        <f aca="false">IF($B18="","",IF($Q18=0,IF($K18=0,"O valor disponível é menor que a aplicação mínima deste produto.",IF($L18=0,"O risco deste produto está acima do perfil declarado pelo cliente.","Produto não está ativo na base.")),IF($Q18&lt;50,"Encaixa pouco no que foi pedido — veja o ponto de atenção ao lado.",IF($H18="ISENTO","Não paga Imposto de Renda para pessoa física.",IF($W18="PRE","A taxa fica travada na contratação: não cai se os juros da economia caírem.",IF($W18="IPCA","Protege o poder de compra: rende a inflação mais uma taxa fixa por cima.",IF(AND($E18=0,$F18&lt;=1),"O dinheiro pode ser retirado praticamente a qualquer momento.",IF(AND($H18="PREV_REGR",IN_PRAZO&gt;=120),"No prazo escolhido a previdência alcança a menor alíquota de imposto (10%).",IF($D18&gt;=4,"Pode render mais no prazo longo, aceitando oscilação pelo caminho.","Combina com o prazo, a liquidez e a prioridade informados.")))))))))</f>
        <v>A taxa fica travada na contratação: não cai se os juros da economia caírem.</v>
      </c>
      <c r="U18" s="147" t="str">
        <f aca="false">IF($B18="","",IF($E18&gt;0,"Carência de "&amp;$E18&amp;" dias: não dá para resgatar antes.",IF($F18&gt;60,"Não é dinheiro rápido: leva meses para virar caixa.",IF(LEFT($H18,4)="PREV",IF(IN_PRAZO&lt;24,"Resgate antes de 2 anos paga 35% de imposto.","Não tem cobertura do FGC: quem responde pelo dinheiro é a seguradora."),IF($D18&gt;=4,"Pode cair no caminho e demorar a se recuperar.",IF(AND($H18="RF_REGR",$X18&gt;=0.03),"Se vender antes do vencimento, o preço pode estar abaixo do que você pagou.",IF($X18&gt;=0.03,"O valor oscila mês a mês: em prazo curto pode estar abaixo do que você aplicou.",IF($H18="FUNDO_LP","Tem come-cotas em maio e novembro, que antecipam parte do imposto.",IF($F18&gt;7,"Para o dinheiro cair na conta leva cerca de "&amp;$F18&amp;" dias.",IF($I18&gt;=0.015,"Taxa de administração alta em relação ao retorno esperado.","Confirme prazo, liquidez e tributação antes de contratar."))))))))))</f>
        <v>Se vender antes do vencimento, o preço pode estar abaixo do que você pagou.</v>
      </c>
      <c r="V18" s="148" t="n">
        <f aca="false">IF($B18="","",IFERROR(IF(Produtos!$H18="MULT",(1+INDEX(TAB_MACRO_VAL,MATCH(Produtos!$E18,TAB_MACRO_COD,0))*Produtos!$F18)*(1+Produtos!$G18)-1,INDEX(TAB_MACRO_VAL,MATCH(Produtos!$E18,TAB_MACRO_COD,0))*Produtos!$F18+Produtos!$G18),""))</f>
        <v>0.12</v>
      </c>
      <c r="W18" s="74" t="str">
        <f aca="false">IF(Produtos!$B18="","",Produtos!$E18)</f>
        <v>PRE</v>
      </c>
      <c r="X18" s="76" t="n">
        <f aca="false">IF(Produtos!$B18="",0,Produtos!$U18)</f>
        <v>0.06</v>
      </c>
    </row>
    <row r="19" customFormat="false" ht="21.75" hidden="false" customHeight="true" outlineLevel="0" collapsed="false">
      <c r="A19" s="74" t="str">
        <f aca="false">IF(Produtos!$B19="","",Produtos!$A19)</f>
        <v>FU01</v>
      </c>
      <c r="B19" s="142" t="str">
        <f aca="false">IF(Produtos!$B19="","",Produtos!$B19)</f>
        <v>Fundo CAIXA RF Simples</v>
      </c>
      <c r="C19" s="74" t="str">
        <f aca="false">IF(Produtos!$B19="","",Produtos!$C19)</f>
        <v>Fundo</v>
      </c>
      <c r="D19" s="77" t="n">
        <f aca="false">IF(Produtos!$B19="",0,Produtos!$T19)</f>
        <v>1</v>
      </c>
      <c r="E19" s="77" t="n">
        <f aca="false">IF(Produtos!$B19="",0,Produtos!$P19)</f>
        <v>0</v>
      </c>
      <c r="F19" s="77" t="n">
        <f aca="false">IF(Produtos!$B19="",0,Produtos!$Q19)</f>
        <v>0</v>
      </c>
      <c r="G19" s="78" t="n">
        <f aca="false">IF(Produtos!$B19="",0,Produtos!$R19)</f>
        <v>100</v>
      </c>
      <c r="H19" s="74" t="str">
        <f aca="false">IF(Produtos!$B19="","",Produtos!$N19)</f>
        <v>FUNDO_LP</v>
      </c>
      <c r="I19" s="76" t="n">
        <f aca="false">IF(Produtos!$B19="",0,Produtos!$I19)</f>
        <v>0.004</v>
      </c>
      <c r="J19" s="74" t="str">
        <f aca="false">IF(Produtos!$B19="","NÃO",Produtos!$AD19)</f>
        <v>SIM</v>
      </c>
      <c r="K19" s="143" t="n">
        <f aca="false">IF(AND($B19&lt;&gt;"",IN_CAPITAL&gt;=$G19),1,0)</f>
        <v>1</v>
      </c>
      <c r="L19" s="143" t="n">
        <f aca="false">IF(AND($B19&lt;&gt;"",$D19&lt;=IFERROR(INDEX(Premissas!$B$102:$B$104,MATCH(IN_PERFIL,Premissas!$A$102:$A$104,0)),5)),1,0)</f>
        <v>1</v>
      </c>
      <c r="M19" s="143" t="n">
        <f aca="false">IF(IN_PRAZO*30&lt;$E19,0,IF($D19&gt;=4,IF(IN_PRAZO&gt;=60,100,IF(IN_PRAZO&gt;=36,60,IF(IN_PRAZO&gt;=24,30,0))),IF($D19=3,IF(IN_PRAZO&gt;=24,100,IF(IN_PRAZO&gt;=12,70,40)),100)))</f>
        <v>100</v>
      </c>
      <c r="N19" s="143" t="n">
        <f aca="false">IF(IN_RESGATE="Sim",IF($E19+$F19&lt;=3,100,IF($E19+$F19&lt;=31,50,0)),IF(IN_RESGATE="Talvez",IF($E19+$F19&lt;=90,100,IF($E19+$F19&lt;=360,50,20)),100))</f>
        <v>100</v>
      </c>
      <c r="O19" s="143" t="n">
        <f aca="false">IF($D19=0,0,IFERROR(INDEX($B$98:$F$101,MATCH(IN_PRIORIDADE,$A$98:$A$101,0),$D19),0))</f>
        <v>60</v>
      </c>
      <c r="P19" s="143" t="n">
        <f aca="false">MAX(0,MIN(100,60+IF($H19="ISENTO",25,0)+IF($I19&lt;=0.005,15,IF($I19&gt;=0.015,-15,0))+IF(AND($H19="PREV_REGR",IN_PRAZO&gt;=120),20,0)+IF(AND($H19="FUNDO_LP",IN_PRAZO&lt;=12),-10,0)+IF(AND($H19="FUNDO_CP",IN_PRAZO&gt;=24),-15,0)))</f>
        <v>75</v>
      </c>
      <c r="Q19" s="144" t="n">
        <f aca="false">IF(OR($B19="",$J19&lt;&gt;"SIM",$K19=0,$L19=0),0,ROUND(($M19*$B$7+$N19*$C$7+$O19*$D$7+$P19*$E$7)/MAX(1,$B$7+$C$7+$D$7+$E$7),1))</f>
        <v>82.3</v>
      </c>
      <c r="R19" s="145" t="n">
        <f aca="false">IF($H19="IMOVEL",0,$Q19+ROW()/1000000)</f>
        <v>82.300019</v>
      </c>
      <c r="S19" s="146" t="str">
        <f aca="false">IF($B19="","",IF($Q19=0,"Não indicado agora",IF($Q19&gt;=75,"Pode fazer sentido",IF($Q19&gt;=50,"Talvez faça sentido","Provavelmente não é o mais indicado"))))</f>
        <v>Pode fazer sentido</v>
      </c>
      <c r="T19" s="147" t="str">
        <f aca="false">IF($B19="","",IF($Q19=0,IF($K19=0,"O valor disponível é menor que a aplicação mínima deste produto.",IF($L19=0,"O risco deste produto está acima do perfil declarado pelo cliente.","Produto não está ativo na base.")),IF($Q19&lt;50,"Encaixa pouco no que foi pedido — veja o ponto de atenção ao lado.",IF($H19="ISENTO","Não paga Imposto de Renda para pessoa física.",IF($W19="PRE","A taxa fica travada na contratação: não cai se os juros da economia caírem.",IF($W19="IPCA","Protege o poder de compra: rende a inflação mais uma taxa fixa por cima.",IF(AND($E19=0,$F19&lt;=1),"O dinheiro pode ser retirado praticamente a qualquer momento.",IF(AND($H19="PREV_REGR",IN_PRAZO&gt;=120),"No prazo escolhido a previdência alcança a menor alíquota de imposto (10%).",IF($D19&gt;=4,"Pode render mais no prazo longo, aceitando oscilação pelo caminho.","Combina com o prazo, a liquidez e a prioridade informados.")))))))))</f>
        <v>O dinheiro pode ser retirado praticamente a qualquer momento.</v>
      </c>
      <c r="U19" s="147" t="str">
        <f aca="false">IF($B19="","",IF($E19&gt;0,"Carência de "&amp;$E19&amp;" dias: não dá para resgatar antes.",IF($F19&gt;60,"Não é dinheiro rápido: leva meses para virar caixa.",IF(LEFT($H19,4)="PREV",IF(IN_PRAZO&lt;24,"Resgate antes de 2 anos paga 35% de imposto.","Não tem cobertura do FGC: quem responde pelo dinheiro é a seguradora."),IF($D19&gt;=4,"Pode cair no caminho e demorar a se recuperar.",IF(AND($H19="RF_REGR",$X19&gt;=0.03),"Se vender antes do vencimento, o preço pode estar abaixo do que você pagou.",IF($X19&gt;=0.03,"O valor oscila mês a mês: em prazo curto pode estar abaixo do que você aplicou.",IF($H19="FUNDO_LP","Tem come-cotas em maio e novembro, que antecipam parte do imposto.",IF($F19&gt;7,"Para o dinheiro cair na conta leva cerca de "&amp;$F19&amp;" dias.",IF($I19&gt;=0.015,"Taxa de administração alta em relação ao retorno esperado.","Confirme prazo, liquidez e tributação antes de contratar."))))))))))</f>
        <v>Tem come-cotas em maio e novembro, que antecipam parte do imposto.</v>
      </c>
      <c r="V19" s="148" t="n">
        <f aca="false">IF($B19="","",IFERROR(IF(Produtos!$H19="MULT",(1+INDEX(TAB_MACRO_VAL,MATCH(Produtos!$E19,TAB_MACRO_COD,0))*Produtos!$F19)*(1+Produtos!$G19)-1,INDEX(TAB_MACRO_VAL,MATCH(Produtos!$E19,TAB_MACRO_COD,0))*Produtos!$F19+Produtos!$G19),""))</f>
        <v>0.109</v>
      </c>
      <c r="W19" s="74" t="str">
        <f aca="false">IF(Produtos!$B19="","",Produtos!$E19)</f>
        <v>CDI</v>
      </c>
      <c r="X19" s="76" t="n">
        <f aca="false">IF(Produtos!$B19="",0,Produtos!$U19)</f>
        <v>0.002</v>
      </c>
    </row>
    <row r="20" customFormat="false" ht="21.75" hidden="false" customHeight="true" outlineLevel="0" collapsed="false">
      <c r="A20" s="74" t="str">
        <f aca="false">IF(Produtos!$B20="","",Produtos!$A20)</f>
        <v>FU02</v>
      </c>
      <c r="B20" s="142" t="str">
        <f aca="false">IF(Produtos!$B20="","",Produtos!$B20)</f>
        <v>Fundo CAIXA RF Referenciado DI LP</v>
      </c>
      <c r="C20" s="74" t="str">
        <f aca="false">IF(Produtos!$B20="","",Produtos!$C20)</f>
        <v>Fundo</v>
      </c>
      <c r="D20" s="77" t="n">
        <f aca="false">IF(Produtos!$B20="",0,Produtos!$T20)</f>
        <v>1</v>
      </c>
      <c r="E20" s="77" t="n">
        <f aca="false">IF(Produtos!$B20="",0,Produtos!$P20)</f>
        <v>0</v>
      </c>
      <c r="F20" s="77" t="n">
        <f aca="false">IF(Produtos!$B20="",0,Produtos!$Q20)</f>
        <v>0</v>
      </c>
      <c r="G20" s="78" t="n">
        <f aca="false">IF(Produtos!$B20="",0,Produtos!$R20)</f>
        <v>1000</v>
      </c>
      <c r="H20" s="74" t="str">
        <f aca="false">IF(Produtos!$B20="","",Produtos!$N20)</f>
        <v>FUNDO_LP</v>
      </c>
      <c r="I20" s="76" t="n">
        <f aca="false">IF(Produtos!$B20="",0,Produtos!$I20)</f>
        <v>0.008</v>
      </c>
      <c r="J20" s="74" t="str">
        <f aca="false">IF(Produtos!$B20="","NÃO",Produtos!$AD20)</f>
        <v>SIM</v>
      </c>
      <c r="K20" s="143" t="n">
        <f aca="false">IF(AND($B20&lt;&gt;"",IN_CAPITAL&gt;=$G20),1,0)</f>
        <v>1</v>
      </c>
      <c r="L20" s="143" t="n">
        <f aca="false">IF(AND($B20&lt;&gt;"",$D20&lt;=IFERROR(INDEX(Premissas!$B$102:$B$104,MATCH(IN_PERFIL,Premissas!$A$102:$A$104,0)),5)),1,0)</f>
        <v>1</v>
      </c>
      <c r="M20" s="143" t="n">
        <f aca="false">IF(IN_PRAZO*30&lt;$E20,0,IF($D20&gt;=4,IF(IN_PRAZO&gt;=60,100,IF(IN_PRAZO&gt;=36,60,IF(IN_PRAZO&gt;=24,30,0))),IF($D20=3,IF(IN_PRAZO&gt;=24,100,IF(IN_PRAZO&gt;=12,70,40)),100)))</f>
        <v>100</v>
      </c>
      <c r="N20" s="143" t="n">
        <f aca="false">IF(IN_RESGATE="Sim",IF($E20+$F20&lt;=3,100,IF($E20+$F20&lt;=31,50,0)),IF(IN_RESGATE="Talvez",IF($E20+$F20&lt;=90,100,IF($E20+$F20&lt;=360,50,20)),100))</f>
        <v>100</v>
      </c>
      <c r="O20" s="143" t="n">
        <f aca="false">IF($D20=0,0,IFERROR(INDEX($B$98:$F$101,MATCH(IN_PRIORIDADE,$A$98:$A$101,0),$D20),0))</f>
        <v>60</v>
      </c>
      <c r="P20" s="143" t="n">
        <f aca="false">MAX(0,MIN(100,60+IF($H20="ISENTO",25,0)+IF($I20&lt;=0.005,15,IF($I20&gt;=0.015,-15,0))+IF(AND($H20="PREV_REGR",IN_PRAZO&gt;=120),20,0)+IF(AND($H20="FUNDO_LP",IN_PRAZO&lt;=12),-10,0)+IF(AND($H20="FUNDO_CP",IN_PRAZO&gt;=24),-15,0)))</f>
        <v>60</v>
      </c>
      <c r="Q20" s="144" t="n">
        <f aca="false">IF(OR($B20="",$J20&lt;&gt;"SIM",$K20=0,$L20=0),0,ROUND(($M20*$B$7+$N20*$C$7+$O20*$D$7+$P20*$E$7)/MAX(1,$B$7+$C$7+$D$7+$E$7),1))</f>
        <v>80</v>
      </c>
      <c r="R20" s="145" t="n">
        <f aca="false">IF($H20="IMOVEL",0,$Q20+ROW()/1000000)</f>
        <v>80.00002</v>
      </c>
      <c r="S20" s="146" t="str">
        <f aca="false">IF($B20="","",IF($Q20=0,"Não indicado agora",IF($Q20&gt;=75,"Pode fazer sentido",IF($Q20&gt;=50,"Talvez faça sentido","Provavelmente não é o mais indicado"))))</f>
        <v>Pode fazer sentido</v>
      </c>
      <c r="T20" s="147" t="str">
        <f aca="false">IF($B20="","",IF($Q20=0,IF($K20=0,"O valor disponível é menor que a aplicação mínima deste produto.",IF($L20=0,"O risco deste produto está acima do perfil declarado pelo cliente.","Produto não está ativo na base.")),IF($Q20&lt;50,"Encaixa pouco no que foi pedido — veja o ponto de atenção ao lado.",IF($H20="ISENTO","Não paga Imposto de Renda para pessoa física.",IF($W20="PRE","A taxa fica travada na contratação: não cai se os juros da economia caírem.",IF($W20="IPCA","Protege o poder de compra: rende a inflação mais uma taxa fixa por cima.",IF(AND($E20=0,$F20&lt;=1),"O dinheiro pode ser retirado praticamente a qualquer momento.",IF(AND($H20="PREV_REGR",IN_PRAZO&gt;=120),"No prazo escolhido a previdência alcança a menor alíquota de imposto (10%).",IF($D20&gt;=4,"Pode render mais no prazo longo, aceitando oscilação pelo caminho.","Combina com o prazo, a liquidez e a prioridade informados.")))))))))</f>
        <v>O dinheiro pode ser retirado praticamente a qualquer momento.</v>
      </c>
      <c r="U20" s="147" t="str">
        <f aca="false">IF($B20="","",IF($E20&gt;0,"Carência de "&amp;$E20&amp;" dias: não dá para resgatar antes.",IF($F20&gt;60,"Não é dinheiro rápido: leva meses para virar caixa.",IF(LEFT($H20,4)="PREV",IF(IN_PRAZO&lt;24,"Resgate antes de 2 anos paga 35% de imposto.","Não tem cobertura do FGC: quem responde pelo dinheiro é a seguradora."),IF($D20&gt;=4,"Pode cair no caminho e demorar a se recuperar.",IF(AND($H20="RF_REGR",$X20&gt;=0.03),"Se vender antes do vencimento, o preço pode estar abaixo do que você pagou.",IF($X20&gt;=0.03,"O valor oscila mês a mês: em prazo curto pode estar abaixo do que você aplicou.",IF($H20="FUNDO_LP","Tem come-cotas em maio e novembro, que antecipam parte do imposto.",IF($F20&gt;7,"Para o dinheiro cair na conta leva cerca de "&amp;$F20&amp;" dias.",IF($I20&gt;=0.015,"Taxa de administração alta em relação ao retorno esperado.","Confirme prazo, liquidez e tributação antes de contratar."))))))))))</f>
        <v>Tem come-cotas em maio e novembro, que antecipam parte do imposto.</v>
      </c>
      <c r="V20" s="148" t="n">
        <f aca="false">IF($B20="","",IFERROR(IF(Produtos!$H20="MULT",(1+INDEX(TAB_MACRO_VAL,MATCH(Produtos!$E20,TAB_MACRO_COD,0))*Produtos!$F20)*(1+Produtos!$G20)-1,INDEX(TAB_MACRO_VAL,MATCH(Produtos!$E20,TAB_MACRO_COD,0))*Produtos!$F20+Produtos!$G20),""))</f>
        <v>0.109</v>
      </c>
      <c r="W20" s="74" t="str">
        <f aca="false">IF(Produtos!$B20="","",Produtos!$E20)</f>
        <v>CDI</v>
      </c>
      <c r="X20" s="76" t="n">
        <f aca="false">IF(Produtos!$B20="",0,Produtos!$U20)</f>
        <v>0.002</v>
      </c>
    </row>
    <row r="21" customFormat="false" ht="21.75" hidden="false" customHeight="true" outlineLevel="0" collapsed="false">
      <c r="A21" s="74" t="str">
        <f aca="false">IF(Produtos!$B21="","",Produtos!$A21)</f>
        <v>FU03</v>
      </c>
      <c r="B21" s="142" t="str">
        <f aca="false">IF(Produtos!$B21="","",Produtos!$B21)</f>
        <v>Fundo CAIXA RF Crédito Privado LP</v>
      </c>
      <c r="C21" s="74" t="str">
        <f aca="false">IF(Produtos!$B21="","",Produtos!$C21)</f>
        <v>Fundo</v>
      </c>
      <c r="D21" s="77" t="n">
        <f aca="false">IF(Produtos!$B21="",0,Produtos!$T21)</f>
        <v>2</v>
      </c>
      <c r="E21" s="77" t="n">
        <f aca="false">IF(Produtos!$B21="",0,Produtos!$P21)</f>
        <v>0</v>
      </c>
      <c r="F21" s="77" t="n">
        <f aca="false">IF(Produtos!$B21="",0,Produtos!$Q21)</f>
        <v>30</v>
      </c>
      <c r="G21" s="78" t="n">
        <f aca="false">IF(Produtos!$B21="",0,Produtos!$R21)</f>
        <v>5000</v>
      </c>
      <c r="H21" s="74" t="str">
        <f aca="false">IF(Produtos!$B21="","",Produtos!$N21)</f>
        <v>FUNDO_LP</v>
      </c>
      <c r="I21" s="76" t="n">
        <f aca="false">IF(Produtos!$B21="",0,Produtos!$I21)</f>
        <v>0.01</v>
      </c>
      <c r="J21" s="74" t="str">
        <f aca="false">IF(Produtos!$B21="","NÃO",Produtos!$AD21)</f>
        <v>SIM</v>
      </c>
      <c r="K21" s="143" t="n">
        <f aca="false">IF(AND($B21&lt;&gt;"",IN_CAPITAL&gt;=$G21),1,0)</f>
        <v>1</v>
      </c>
      <c r="L21" s="143" t="n">
        <f aca="false">IF(AND($B21&lt;&gt;"",$D21&lt;=IFERROR(INDEX(Premissas!$B$102:$B$104,MATCH(IN_PERFIL,Premissas!$A$102:$A$104,0)),5)),1,0)</f>
        <v>1</v>
      </c>
      <c r="M21" s="143" t="n">
        <f aca="false">IF(IN_PRAZO*30&lt;$E21,0,IF($D21&gt;=4,IF(IN_PRAZO&gt;=60,100,IF(IN_PRAZO&gt;=36,60,IF(IN_PRAZO&gt;=24,30,0))),IF($D21=3,IF(IN_PRAZO&gt;=24,100,IF(IN_PRAZO&gt;=12,70,40)),100)))</f>
        <v>100</v>
      </c>
      <c r="N21" s="143" t="n">
        <f aca="false">IF(IN_RESGATE="Sim",IF($E21+$F21&lt;=3,100,IF($E21+$F21&lt;=31,50,0)),IF(IN_RESGATE="Talvez",IF($E21+$F21&lt;=90,100,IF($E21+$F21&lt;=360,50,20)),100))</f>
        <v>100</v>
      </c>
      <c r="O21" s="143" t="n">
        <f aca="false">IF($D21=0,0,IFERROR(INDEX($B$98:$F$101,MATCH(IN_PRIORIDADE,$A$98:$A$101,0),$D21),0))</f>
        <v>100</v>
      </c>
      <c r="P21" s="143" t="n">
        <f aca="false">MAX(0,MIN(100,60+IF($H21="ISENTO",25,0)+IF($I21&lt;=0.005,15,IF($I21&gt;=0.015,-15,0))+IF(AND($H21="PREV_REGR",IN_PRAZO&gt;=120),20,0)+IF(AND($H21="FUNDO_LP",IN_PRAZO&lt;=12),-10,0)+IF(AND($H21="FUNDO_CP",IN_PRAZO&gt;=24),-15,0)))</f>
        <v>60</v>
      </c>
      <c r="Q21" s="144" t="n">
        <f aca="false">IF(OR($B21="",$J21&lt;&gt;"SIM",$K21=0,$L21=0),0,ROUND(($M21*$B$7+$N21*$C$7+$O21*$D$7+$P21*$E$7)/MAX(1,$B$7+$C$7+$D$7+$E$7),1))</f>
        <v>94</v>
      </c>
      <c r="R21" s="145" t="n">
        <f aca="false">IF($H21="IMOVEL",0,$Q21+ROW()/1000000)</f>
        <v>94.000021</v>
      </c>
      <c r="S21" s="146" t="str">
        <f aca="false">IF($B21="","",IF($Q21=0,"Não indicado agora",IF($Q21&gt;=75,"Pode fazer sentido",IF($Q21&gt;=50,"Talvez faça sentido","Provavelmente não é o mais indicado"))))</f>
        <v>Pode fazer sentido</v>
      </c>
      <c r="T21" s="147" t="str">
        <f aca="false">IF($B21="","",IF($Q21=0,IF($K21=0,"O valor disponível é menor que a aplicação mínima deste produto.",IF($L21=0,"O risco deste produto está acima do perfil declarado pelo cliente.","Produto não está ativo na base.")),IF($Q21&lt;50,"Encaixa pouco no que foi pedido — veja o ponto de atenção ao lado.",IF($H21="ISENTO","Não paga Imposto de Renda para pessoa física.",IF($W21="PRE","A taxa fica travada na contratação: não cai se os juros da economia caírem.",IF($W21="IPCA","Protege o poder de compra: rende a inflação mais uma taxa fixa por cima.",IF(AND($E21=0,$F21&lt;=1),"O dinheiro pode ser retirado praticamente a qualquer momento.",IF(AND($H21="PREV_REGR",IN_PRAZO&gt;=120),"No prazo escolhido a previdência alcança a menor alíquota de imposto (10%).",IF($D21&gt;=4,"Pode render mais no prazo longo, aceitando oscilação pelo caminho.","Combina com o prazo, a liquidez e a prioridade informados.")))))))))</f>
        <v>Combina com o prazo, a liquidez e a prioridade informados.</v>
      </c>
      <c r="U21" s="147" t="str">
        <f aca="false">IF($B21="","",IF($E21&gt;0,"Carência de "&amp;$E21&amp;" dias: não dá para resgatar antes.",IF($F21&gt;60,"Não é dinheiro rápido: leva meses para virar caixa.",IF(LEFT($H21,4)="PREV",IF(IN_PRAZO&lt;24,"Resgate antes de 2 anos paga 35% de imposto.","Não tem cobertura do FGC: quem responde pelo dinheiro é a seguradora."),IF($D21&gt;=4,"Pode cair no caminho e demorar a se recuperar.",IF(AND($H21="RF_REGR",$X21&gt;=0.03),"Se vender antes do vencimento, o preço pode estar abaixo do que você pagou.",IF($X21&gt;=0.03,"O valor oscila mês a mês: em prazo curto pode estar abaixo do que você aplicou.",IF($H21="FUNDO_LP","Tem come-cotas em maio e novembro, que antecipam parte do imposto.",IF($F21&gt;7,"Para o dinheiro cair na conta leva cerca de "&amp;$F21&amp;" dias.",IF($I21&gt;=0.015,"Taxa de administração alta em relação ao retorno esperado.","Confirme prazo, liquidez e tributação antes de contratar."))))))))))</f>
        <v>Tem come-cotas em maio e novembro, que antecipam parte do imposto.</v>
      </c>
      <c r="V21" s="148" t="n">
        <f aca="false">IF($B21="","",IFERROR(IF(Produtos!$H21="MULT",(1+INDEX(TAB_MACRO_VAL,MATCH(Produtos!$E21,TAB_MACRO_COD,0))*Produtos!$F21)*(1+Produtos!$G21)-1,INDEX(TAB_MACRO_VAL,MATCH(Produtos!$E21,TAB_MACRO_COD,0))*Produtos!$F21+Produtos!$G21),""))</f>
        <v>0.11336</v>
      </c>
      <c r="W21" s="74" t="str">
        <f aca="false">IF(Produtos!$B21="","",Produtos!$E21)</f>
        <v>CDI</v>
      </c>
      <c r="X21" s="76" t="n">
        <f aca="false">IF(Produtos!$B21="",0,Produtos!$U21)</f>
        <v>0.01</v>
      </c>
    </row>
    <row r="22" customFormat="false" ht="21.75" hidden="false" customHeight="true" outlineLevel="0" collapsed="false">
      <c r="A22" s="74" t="str">
        <f aca="false">IF(Produtos!$B22="","",Produtos!$A22)</f>
        <v>FU04</v>
      </c>
      <c r="B22" s="142" t="str">
        <f aca="false">IF(Produtos!$B22="","",Produtos!$B22)</f>
        <v>Fundo CAIXA RF IPCA Longo Prazo</v>
      </c>
      <c r="C22" s="74" t="str">
        <f aca="false">IF(Produtos!$B22="","",Produtos!$C22)</f>
        <v>Fundo</v>
      </c>
      <c r="D22" s="77" t="n">
        <f aca="false">IF(Produtos!$B22="",0,Produtos!$T22)</f>
        <v>3</v>
      </c>
      <c r="E22" s="77" t="n">
        <f aca="false">IF(Produtos!$B22="",0,Produtos!$P22)</f>
        <v>0</v>
      </c>
      <c r="F22" s="77" t="n">
        <f aca="false">IF(Produtos!$B22="",0,Produtos!$Q22)</f>
        <v>5</v>
      </c>
      <c r="G22" s="78" t="n">
        <f aca="false">IF(Produtos!$B22="",0,Produtos!$R22)</f>
        <v>5000</v>
      </c>
      <c r="H22" s="74" t="str">
        <f aca="false">IF(Produtos!$B22="","",Produtos!$N22)</f>
        <v>FUNDO_LP</v>
      </c>
      <c r="I22" s="76" t="n">
        <f aca="false">IF(Produtos!$B22="",0,Produtos!$I22)</f>
        <v>0.01</v>
      </c>
      <c r="J22" s="74" t="str">
        <f aca="false">IF(Produtos!$B22="","NÃO",Produtos!$AD22)</f>
        <v>SIM</v>
      </c>
      <c r="K22" s="143" t="n">
        <f aca="false">IF(AND($B22&lt;&gt;"",IN_CAPITAL&gt;=$G22),1,0)</f>
        <v>1</v>
      </c>
      <c r="L22" s="143" t="n">
        <f aca="false">IF(AND($B22&lt;&gt;"",$D22&lt;=IFERROR(INDEX(Premissas!$B$102:$B$104,MATCH(IN_PERFIL,Premissas!$A$102:$A$104,0)),5)),1,0)</f>
        <v>1</v>
      </c>
      <c r="M22" s="143" t="n">
        <f aca="false">IF(IN_PRAZO*30&lt;$E22,0,IF($D22&gt;=4,IF(IN_PRAZO&gt;=60,100,IF(IN_PRAZO&gt;=36,60,IF(IN_PRAZO&gt;=24,30,0))),IF($D22=3,IF(IN_PRAZO&gt;=24,100,IF(IN_PRAZO&gt;=12,70,40)),100)))</f>
        <v>100</v>
      </c>
      <c r="N22" s="143" t="n">
        <f aca="false">IF(IN_RESGATE="Sim",IF($E22+$F22&lt;=3,100,IF($E22+$F22&lt;=31,50,0)),IF(IN_RESGATE="Talvez",IF($E22+$F22&lt;=90,100,IF($E22+$F22&lt;=360,50,20)),100))</f>
        <v>100</v>
      </c>
      <c r="O22" s="143" t="n">
        <f aca="false">IF($D22=0,0,IFERROR(INDEX($B$98:$F$101,MATCH(IN_PRIORIDADE,$A$98:$A$101,0),$D22),0))</f>
        <v>90</v>
      </c>
      <c r="P22" s="143" t="n">
        <f aca="false">MAX(0,MIN(100,60+IF($H22="ISENTO",25,0)+IF($I22&lt;=0.005,15,IF($I22&gt;=0.015,-15,0))+IF(AND($H22="PREV_REGR",IN_PRAZO&gt;=120),20,0)+IF(AND($H22="FUNDO_LP",IN_PRAZO&lt;=12),-10,0)+IF(AND($H22="FUNDO_CP",IN_PRAZO&gt;=24),-15,0)))</f>
        <v>60</v>
      </c>
      <c r="Q22" s="144" t="n">
        <f aca="false">IF(OR($B22="",$J22&lt;&gt;"SIM",$K22=0,$L22=0),0,ROUND(($M22*$B$7+$N22*$C$7+$O22*$D$7+$P22*$E$7)/MAX(1,$B$7+$C$7+$D$7+$E$7),1))</f>
        <v>90.5</v>
      </c>
      <c r="R22" s="145" t="n">
        <f aca="false">IF($H22="IMOVEL",0,$Q22+ROW()/1000000)</f>
        <v>90.500022</v>
      </c>
      <c r="S22" s="146" t="str">
        <f aca="false">IF($B22="","",IF($Q22=0,"Não indicado agora",IF($Q22&gt;=75,"Pode fazer sentido",IF($Q22&gt;=50,"Talvez faça sentido","Provavelmente não é o mais indicado"))))</f>
        <v>Pode fazer sentido</v>
      </c>
      <c r="T22" s="147" t="str">
        <f aca="false">IF($B22="","",IF($Q22=0,IF($K22=0,"O valor disponível é menor que a aplicação mínima deste produto.",IF($L22=0,"O risco deste produto está acima do perfil declarado pelo cliente.","Produto não está ativo na base.")),IF($Q22&lt;50,"Encaixa pouco no que foi pedido — veja o ponto de atenção ao lado.",IF($H22="ISENTO","Não paga Imposto de Renda para pessoa física.",IF($W22="PRE","A taxa fica travada na contratação: não cai se os juros da economia caírem.",IF($W22="IPCA","Protege o poder de compra: rende a inflação mais uma taxa fixa por cima.",IF(AND($E22=0,$F22&lt;=1),"O dinheiro pode ser retirado praticamente a qualquer momento.",IF(AND($H22="PREV_REGR",IN_PRAZO&gt;=120),"No prazo escolhido a previdência alcança a menor alíquota de imposto (10%).",IF($D22&gt;=4,"Pode render mais no prazo longo, aceitando oscilação pelo caminho.","Combina com o prazo, a liquidez e a prioridade informados.")))))))))</f>
        <v>Protege o poder de compra: rende a inflação mais uma taxa fixa por cima.</v>
      </c>
      <c r="U22" s="147" t="str">
        <f aca="false">IF($B22="","",IF($E22&gt;0,"Carência de "&amp;$E22&amp;" dias: não dá para resgatar antes.",IF($F22&gt;60,"Não é dinheiro rápido: leva meses para virar caixa.",IF(LEFT($H22,4)="PREV",IF(IN_PRAZO&lt;24,"Resgate antes de 2 anos paga 35% de imposto.","Não tem cobertura do FGC: quem responde pelo dinheiro é a seguradora."),IF($D22&gt;=4,"Pode cair no caminho e demorar a se recuperar.",IF(AND($H22="RF_REGR",$X22&gt;=0.03),"Se vender antes do vencimento, o preço pode estar abaixo do que você pagou.",IF($X22&gt;=0.03,"O valor oscila mês a mês: em prazo curto pode estar abaixo do que você aplicou.",IF($H22="FUNDO_LP","Tem come-cotas em maio e novembro, que antecipam parte do imposto.",IF($F22&gt;7,"Para o dinheiro cair na conta leva cerca de "&amp;$F22&amp;" dias.",IF($I22&gt;=0.015,"Taxa de administração alta em relação ao retorno esperado.","Confirme prazo, liquidez e tributação antes de contratar."))))))))))</f>
        <v>O valor oscila mês a mês: em prazo curto pode estar abaixo do que você aplicou.</v>
      </c>
      <c r="V22" s="148" t="n">
        <f aca="false">IF($B22="","",IFERROR(IF(Produtos!$H22="MULT",(1+INDEX(TAB_MACRO_VAL,MATCH(Produtos!$E22,TAB_MACRO_COD,0))*Produtos!$F22)*(1+Produtos!$G22)-1,INDEX(TAB_MACRO_VAL,MATCH(Produtos!$E22,TAB_MACRO_COD,0))*Produtos!$F22+Produtos!$G22),""))</f>
        <v>0.1024</v>
      </c>
      <c r="W22" s="74" t="str">
        <f aca="false">IF(Produtos!$B22="","",Produtos!$E22)</f>
        <v>IPCA</v>
      </c>
      <c r="X22" s="76" t="n">
        <f aca="false">IF(Produtos!$B22="",0,Produtos!$U22)</f>
        <v>0.08</v>
      </c>
    </row>
    <row r="23" customFormat="false" ht="21.75" hidden="false" customHeight="true" outlineLevel="0" collapsed="false">
      <c r="A23" s="74" t="str">
        <f aca="false">IF(Produtos!$B23="","",Produtos!$A23)</f>
        <v>FU05</v>
      </c>
      <c r="B23" s="142" t="str">
        <f aca="false">IF(Produtos!$B23="","",Produtos!$B23)</f>
        <v>Fundo CAIXA Multimercado</v>
      </c>
      <c r="C23" s="74" t="str">
        <f aca="false">IF(Produtos!$B23="","",Produtos!$C23)</f>
        <v>Fundo</v>
      </c>
      <c r="D23" s="77" t="n">
        <f aca="false">IF(Produtos!$B23="",0,Produtos!$T23)</f>
        <v>3</v>
      </c>
      <c r="E23" s="77" t="n">
        <f aca="false">IF(Produtos!$B23="",0,Produtos!$P23)</f>
        <v>0</v>
      </c>
      <c r="F23" s="77" t="n">
        <f aca="false">IF(Produtos!$B23="",0,Produtos!$Q23)</f>
        <v>30</v>
      </c>
      <c r="G23" s="78" t="n">
        <f aca="false">IF(Produtos!$B23="",0,Produtos!$R23)</f>
        <v>5000</v>
      </c>
      <c r="H23" s="74" t="str">
        <f aca="false">IF(Produtos!$B23="","",Produtos!$N23)</f>
        <v>FUNDO_LP</v>
      </c>
      <c r="I23" s="76" t="n">
        <f aca="false">IF(Produtos!$B23="",0,Produtos!$I23)</f>
        <v>0.015</v>
      </c>
      <c r="J23" s="74" t="str">
        <f aca="false">IF(Produtos!$B23="","NÃO",Produtos!$AD23)</f>
        <v>SIM</v>
      </c>
      <c r="K23" s="143" t="n">
        <f aca="false">IF(AND($B23&lt;&gt;"",IN_CAPITAL&gt;=$G23),1,0)</f>
        <v>1</v>
      </c>
      <c r="L23" s="143" t="n">
        <f aca="false">IF(AND($B23&lt;&gt;"",$D23&lt;=IFERROR(INDEX(Premissas!$B$102:$B$104,MATCH(IN_PERFIL,Premissas!$A$102:$A$104,0)),5)),1,0)</f>
        <v>1</v>
      </c>
      <c r="M23" s="143" t="n">
        <f aca="false">IF(IN_PRAZO*30&lt;$E23,0,IF($D23&gt;=4,IF(IN_PRAZO&gt;=60,100,IF(IN_PRAZO&gt;=36,60,IF(IN_PRAZO&gt;=24,30,0))),IF($D23=3,IF(IN_PRAZO&gt;=24,100,IF(IN_PRAZO&gt;=12,70,40)),100)))</f>
        <v>100</v>
      </c>
      <c r="N23" s="143" t="n">
        <f aca="false">IF(IN_RESGATE="Sim",IF($E23+$F23&lt;=3,100,IF($E23+$F23&lt;=31,50,0)),IF(IN_RESGATE="Talvez",IF($E23+$F23&lt;=90,100,IF($E23+$F23&lt;=360,50,20)),100))</f>
        <v>100</v>
      </c>
      <c r="O23" s="143" t="n">
        <f aca="false">IF($D23=0,0,IFERROR(INDEX($B$98:$F$101,MATCH(IN_PRIORIDADE,$A$98:$A$101,0),$D23),0))</f>
        <v>90</v>
      </c>
      <c r="P23" s="143" t="n">
        <f aca="false">MAX(0,MIN(100,60+IF($H23="ISENTO",25,0)+IF($I23&lt;=0.005,15,IF($I23&gt;=0.015,-15,0))+IF(AND($H23="PREV_REGR",IN_PRAZO&gt;=120),20,0)+IF(AND($H23="FUNDO_LP",IN_PRAZO&lt;=12),-10,0)+IF(AND($H23="FUNDO_CP",IN_PRAZO&gt;=24),-15,0)))</f>
        <v>45</v>
      </c>
      <c r="Q23" s="144" t="n">
        <f aca="false">IF(OR($B23="",$J23&lt;&gt;"SIM",$K23=0,$L23=0),0,ROUND(($M23*$B$7+$N23*$C$7+$O23*$D$7+$P23*$E$7)/MAX(1,$B$7+$C$7+$D$7+$E$7),1))</f>
        <v>88.3</v>
      </c>
      <c r="R23" s="145" t="n">
        <f aca="false">IF($H23="IMOVEL",0,$Q23+ROW()/1000000)</f>
        <v>88.300023</v>
      </c>
      <c r="S23" s="146" t="str">
        <f aca="false">IF($B23="","",IF($Q23=0,"Não indicado agora",IF($Q23&gt;=75,"Pode fazer sentido",IF($Q23&gt;=50,"Talvez faça sentido","Provavelmente não é o mais indicado"))))</f>
        <v>Pode fazer sentido</v>
      </c>
      <c r="T23" s="147" t="str">
        <f aca="false">IF($B23="","",IF($Q23=0,IF($K23=0,"O valor disponível é menor que a aplicação mínima deste produto.",IF($L23=0,"O risco deste produto está acima do perfil declarado pelo cliente.","Produto não está ativo na base.")),IF($Q23&lt;50,"Encaixa pouco no que foi pedido — veja o ponto de atenção ao lado.",IF($H23="ISENTO","Não paga Imposto de Renda para pessoa física.",IF($W23="PRE","A taxa fica travada na contratação: não cai se os juros da economia caírem.",IF($W23="IPCA","Protege o poder de compra: rende a inflação mais uma taxa fixa por cima.",IF(AND($E23=0,$F23&lt;=1),"O dinheiro pode ser retirado praticamente a qualquer momento.",IF(AND($H23="PREV_REGR",IN_PRAZO&gt;=120),"No prazo escolhido a previdência alcança a menor alíquota de imposto (10%).",IF($D23&gt;=4,"Pode render mais no prazo longo, aceitando oscilação pelo caminho.","Combina com o prazo, a liquidez e a prioridade informados.")))))))))</f>
        <v>Combina com o prazo, a liquidez e a prioridade informados.</v>
      </c>
      <c r="U23" s="147" t="str">
        <f aca="false">IF($B23="","",IF($E23&gt;0,"Carência de "&amp;$E23&amp;" dias: não dá para resgatar antes.",IF($F23&gt;60,"Não é dinheiro rápido: leva meses para virar caixa.",IF(LEFT($H23,4)="PREV",IF(IN_PRAZO&lt;24,"Resgate antes de 2 anos paga 35% de imposto.","Não tem cobertura do FGC: quem responde pelo dinheiro é a seguradora."),IF($D23&gt;=4,"Pode cair no caminho e demorar a se recuperar.",IF(AND($H23="RF_REGR",$X23&gt;=0.03),"Se vender antes do vencimento, o preço pode estar abaixo do que você pagou.",IF($X23&gt;=0.03,"O valor oscila mês a mês: em prazo curto pode estar abaixo do que você aplicou.",IF($H23="FUNDO_LP","Tem come-cotas em maio e novembro, que antecipam parte do imposto.",IF($F23&gt;7,"Para o dinheiro cair na conta leva cerca de "&amp;$F23&amp;" dias.",IF($I23&gt;=0.015,"Taxa de administração alta em relação ao retorno esperado.","Confirme prazo, liquidez e tributação antes de contratar."))))))))))</f>
        <v>O valor oscila mês a mês: em prazo curto pode estar abaixo do que você aplicou.</v>
      </c>
      <c r="V23" s="148" t="n">
        <f aca="false">IF($B23="","",IFERROR(IF(Produtos!$H23="MULT",(1+INDEX(TAB_MACRO_VAL,MATCH(Produtos!$E23,TAB_MACRO_COD,0))*Produtos!$F23)*(1+Produtos!$G23)-1,INDEX(TAB_MACRO_VAL,MATCH(Produtos!$E23,TAB_MACRO_COD,0))*Produtos!$F23+Produtos!$G23),""))</f>
        <v>0.134</v>
      </c>
      <c r="W23" s="74" t="str">
        <f aca="false">IF(Produtos!$B23="","",Produtos!$E23)</f>
        <v>CDI</v>
      </c>
      <c r="X23" s="76" t="n">
        <f aca="false">IF(Produtos!$B23="",0,Produtos!$U23)</f>
        <v>0.06</v>
      </c>
    </row>
    <row r="24" customFormat="false" ht="21.75" hidden="false" customHeight="true" outlineLevel="0" collapsed="false">
      <c r="A24" s="74" t="str">
        <f aca="false">IF(Produtos!$B24="","",Produtos!$A24)</f>
        <v>FU06</v>
      </c>
      <c r="B24" s="142" t="str">
        <f aca="false">IF(Produtos!$B24="","",Produtos!$B24)</f>
        <v>Fundo CAIXA Ações Ibovespa</v>
      </c>
      <c r="C24" s="74" t="str">
        <f aca="false">IF(Produtos!$B24="","",Produtos!$C24)</f>
        <v>Fundo</v>
      </c>
      <c r="D24" s="77" t="n">
        <f aca="false">IF(Produtos!$B24="",0,Produtos!$T24)</f>
        <v>5</v>
      </c>
      <c r="E24" s="77" t="n">
        <f aca="false">IF(Produtos!$B24="",0,Produtos!$P24)</f>
        <v>0</v>
      </c>
      <c r="F24" s="77" t="n">
        <f aca="false">IF(Produtos!$B24="",0,Produtos!$Q24)</f>
        <v>4</v>
      </c>
      <c r="G24" s="78" t="n">
        <f aca="false">IF(Produtos!$B24="",0,Produtos!$R24)</f>
        <v>1000</v>
      </c>
      <c r="H24" s="74" t="str">
        <f aca="false">IF(Produtos!$B24="","",Produtos!$N24)</f>
        <v>FUNDO_ACOES</v>
      </c>
      <c r="I24" s="76" t="n">
        <f aca="false">IF(Produtos!$B24="",0,Produtos!$I24)</f>
        <v>0.015</v>
      </c>
      <c r="J24" s="74" t="str">
        <f aca="false">IF(Produtos!$B24="","NÃO",Produtos!$AD24)</f>
        <v>SIM</v>
      </c>
      <c r="K24" s="143" t="n">
        <f aca="false">IF(AND($B24&lt;&gt;"",IN_CAPITAL&gt;=$G24),1,0)</f>
        <v>1</v>
      </c>
      <c r="L24" s="143" t="n">
        <f aca="false">IF(AND($B24&lt;&gt;"",$D24&lt;=IFERROR(INDEX(Premissas!$B$102:$B$104,MATCH(IN_PERFIL,Premissas!$A$102:$A$104,0)),5)),1,0)</f>
        <v>0</v>
      </c>
      <c r="M24" s="143" t="n">
        <f aca="false">IF(IN_PRAZO*30&lt;$E24,0,IF($D24&gt;=4,IF(IN_PRAZO&gt;=60,100,IF(IN_PRAZO&gt;=36,60,IF(IN_PRAZO&gt;=24,30,0))),IF($D24=3,IF(IN_PRAZO&gt;=24,100,IF(IN_PRAZO&gt;=12,70,40)),100)))</f>
        <v>100</v>
      </c>
      <c r="N24" s="143" t="n">
        <f aca="false">IF(IN_RESGATE="Sim",IF($E24+$F24&lt;=3,100,IF($E24+$F24&lt;=31,50,0)),IF(IN_RESGATE="Talvez",IF($E24+$F24&lt;=90,100,IF($E24+$F24&lt;=360,50,20)),100))</f>
        <v>100</v>
      </c>
      <c r="O24" s="143" t="n">
        <f aca="false">IF($D24=0,0,IFERROR(INDEX($B$98:$F$101,MATCH(IN_PRIORIDADE,$A$98:$A$101,0),$D24),0))</f>
        <v>15</v>
      </c>
      <c r="P24" s="143" t="n">
        <f aca="false">MAX(0,MIN(100,60+IF($H24="ISENTO",25,0)+IF($I24&lt;=0.005,15,IF($I24&gt;=0.015,-15,0))+IF(AND($H24="PREV_REGR",IN_PRAZO&gt;=120),20,0)+IF(AND($H24="FUNDO_LP",IN_PRAZO&lt;=12),-10,0)+IF(AND($H24="FUNDO_CP",IN_PRAZO&gt;=24),-15,0)))</f>
        <v>45</v>
      </c>
      <c r="Q24" s="144" t="n">
        <f aca="false">IF(OR($B24="",$J24&lt;&gt;"SIM",$K24=0,$L24=0),0,ROUND(($M24*$B$7+$N24*$C$7+$O24*$D$7+$P24*$E$7)/MAX(1,$B$7+$C$7+$D$7+$E$7),1))</f>
        <v>0</v>
      </c>
      <c r="R24" s="145" t="n">
        <f aca="false">IF($H24="IMOVEL",0,$Q24+ROW()/1000000)</f>
        <v>2.4E-005</v>
      </c>
      <c r="S24" s="146" t="str">
        <f aca="false">IF($B24="","",IF($Q24=0,"Não indicado agora",IF($Q24&gt;=75,"Pode fazer sentido",IF($Q24&gt;=50,"Talvez faça sentido","Provavelmente não é o mais indicado"))))</f>
        <v>Não indicado agora</v>
      </c>
      <c r="T24" s="147" t="str">
        <f aca="false">IF($B24="","",IF($Q24=0,IF($K24=0,"O valor disponível é menor que a aplicação mínima deste produto.",IF($L24=0,"O risco deste produto está acima do perfil declarado pelo cliente.","Produto não está ativo na base.")),IF($Q24&lt;50,"Encaixa pouco no que foi pedido — veja o ponto de atenção ao lado.",IF($H24="ISENTO","Não paga Imposto de Renda para pessoa física.",IF($W24="PRE","A taxa fica travada na contratação: não cai se os juros da economia caírem.",IF($W24="IPCA","Protege o poder de compra: rende a inflação mais uma taxa fixa por cima.",IF(AND($E24=0,$F24&lt;=1),"O dinheiro pode ser retirado praticamente a qualquer momento.",IF(AND($H24="PREV_REGR",IN_PRAZO&gt;=120),"No prazo escolhido a previdência alcança a menor alíquota de imposto (10%).",IF($D24&gt;=4,"Pode render mais no prazo longo, aceitando oscilação pelo caminho.","Combina com o prazo, a liquidez e a prioridade informados.")))))))))</f>
        <v>O risco deste produto está acima do perfil declarado pelo cliente.</v>
      </c>
      <c r="U24" s="147" t="str">
        <f aca="false">IF($B24="","",IF($E24&gt;0,"Carência de "&amp;$E24&amp;" dias: não dá para resgatar antes.",IF($F24&gt;60,"Não é dinheiro rápido: leva meses para virar caixa.",IF(LEFT($H24,4)="PREV",IF(IN_PRAZO&lt;24,"Resgate antes de 2 anos paga 35% de imposto.","Não tem cobertura do FGC: quem responde pelo dinheiro é a seguradora."),IF($D24&gt;=4,"Pode cair no caminho e demorar a se recuperar.",IF(AND($H24="RF_REGR",$X24&gt;=0.03),"Se vender antes do vencimento, o preço pode estar abaixo do que você pagou.",IF($X24&gt;=0.03,"O valor oscila mês a mês: em prazo curto pode estar abaixo do que você aplicou.",IF($H24="FUNDO_LP","Tem come-cotas em maio e novembro, que antecipam parte do imposto.",IF($F24&gt;7,"Para o dinheiro cair na conta leva cerca de "&amp;$F24&amp;" dias.",IF($I24&gt;=0.015,"Taxa de administração alta em relação ao retorno esperado.","Confirme prazo, liquidez e tributação antes de contratar."))))))))))</f>
        <v>Pode cair no caminho e demorar a se recuperar.</v>
      </c>
      <c r="V24" s="148" t="n">
        <f aca="false">IF($B24="","",IFERROR(IF(Produtos!$H24="MULT",(1+INDEX(TAB_MACRO_VAL,MATCH(Produtos!$E24,TAB_MACRO_COD,0))*Produtos!$F24)*(1+Produtos!$G24)-1,INDEX(TAB_MACRO_VAL,MATCH(Produtos!$E24,TAB_MACRO_COD,0))*Produtos!$F24+Produtos!$G24),""))</f>
        <v>0.1</v>
      </c>
      <c r="W24" s="74" t="str">
        <f aca="false">IF(Produtos!$B24="","",Produtos!$E24)</f>
        <v>IBOV</v>
      </c>
      <c r="X24" s="76" t="n">
        <f aca="false">IF(Produtos!$B24="",0,Produtos!$U24)</f>
        <v>0.22</v>
      </c>
    </row>
    <row r="25" customFormat="false" ht="21.75" hidden="false" customHeight="true" outlineLevel="0" collapsed="false">
      <c r="A25" s="74" t="str">
        <f aca="false">IF(Produtos!$B25="","",Produtos!$A25)</f>
        <v>FU07</v>
      </c>
      <c r="B25" s="142" t="str">
        <f aca="false">IF(Produtos!$B25="","",Produtos!$B25)</f>
        <v>Fundo CAIXA Ações Dividendos</v>
      </c>
      <c r="C25" s="74" t="str">
        <f aca="false">IF(Produtos!$B25="","",Produtos!$C25)</f>
        <v>Fundo</v>
      </c>
      <c r="D25" s="77" t="n">
        <f aca="false">IF(Produtos!$B25="",0,Produtos!$T25)</f>
        <v>4</v>
      </c>
      <c r="E25" s="77" t="n">
        <f aca="false">IF(Produtos!$B25="",0,Produtos!$P25)</f>
        <v>0</v>
      </c>
      <c r="F25" s="77" t="n">
        <f aca="false">IF(Produtos!$B25="",0,Produtos!$Q25)</f>
        <v>30</v>
      </c>
      <c r="G25" s="78" t="n">
        <f aca="false">IF(Produtos!$B25="",0,Produtos!$R25)</f>
        <v>5000</v>
      </c>
      <c r="H25" s="74" t="str">
        <f aca="false">IF(Produtos!$B25="","",Produtos!$N25)</f>
        <v>FUNDO_ACOES</v>
      </c>
      <c r="I25" s="76" t="n">
        <f aca="false">IF(Produtos!$B25="",0,Produtos!$I25)</f>
        <v>0.02</v>
      </c>
      <c r="J25" s="74" t="str">
        <f aca="false">IF(Produtos!$B25="","NÃO",Produtos!$AD25)</f>
        <v>SIM</v>
      </c>
      <c r="K25" s="143" t="n">
        <f aca="false">IF(AND($B25&lt;&gt;"",IN_CAPITAL&gt;=$G25),1,0)</f>
        <v>1</v>
      </c>
      <c r="L25" s="143" t="n">
        <f aca="false">IF(AND($B25&lt;&gt;"",$D25&lt;=IFERROR(INDEX(Premissas!$B$102:$B$104,MATCH(IN_PERFIL,Premissas!$A$102:$A$104,0)),5)),1,0)</f>
        <v>0</v>
      </c>
      <c r="M25" s="143" t="n">
        <f aca="false">IF(IN_PRAZO*30&lt;$E25,0,IF($D25&gt;=4,IF(IN_PRAZO&gt;=60,100,IF(IN_PRAZO&gt;=36,60,IF(IN_PRAZO&gt;=24,30,0))),IF($D25=3,IF(IN_PRAZO&gt;=24,100,IF(IN_PRAZO&gt;=12,70,40)),100)))</f>
        <v>100</v>
      </c>
      <c r="N25" s="143" t="n">
        <f aca="false">IF(IN_RESGATE="Sim",IF($E25+$F25&lt;=3,100,IF($E25+$F25&lt;=31,50,0)),IF(IN_RESGATE="Talvez",IF($E25+$F25&lt;=90,100,IF($E25+$F25&lt;=360,50,20)),100))</f>
        <v>100</v>
      </c>
      <c r="O25" s="143" t="n">
        <f aca="false">IF($D25=0,0,IFERROR(INDEX($B$98:$F$101,MATCH(IN_PRIORIDADE,$A$98:$A$101,0),$D25),0))</f>
        <v>45</v>
      </c>
      <c r="P25" s="143" t="n">
        <f aca="false">MAX(0,MIN(100,60+IF($H25="ISENTO",25,0)+IF($I25&lt;=0.005,15,IF($I25&gt;=0.015,-15,0))+IF(AND($H25="PREV_REGR",IN_PRAZO&gt;=120),20,0)+IF(AND($H25="FUNDO_LP",IN_PRAZO&lt;=12),-10,0)+IF(AND($H25="FUNDO_CP",IN_PRAZO&gt;=24),-15,0)))</f>
        <v>45</v>
      </c>
      <c r="Q25" s="144" t="n">
        <f aca="false">IF(OR($B25="",$J25&lt;&gt;"SIM",$K25=0,$L25=0),0,ROUND(($M25*$B$7+$N25*$C$7+$O25*$D$7+$P25*$E$7)/MAX(1,$B$7+$C$7+$D$7+$E$7),1))</f>
        <v>0</v>
      </c>
      <c r="R25" s="145" t="n">
        <f aca="false">IF($H25="IMOVEL",0,$Q25+ROW()/1000000)</f>
        <v>2.5E-005</v>
      </c>
      <c r="S25" s="146" t="str">
        <f aca="false">IF($B25="","",IF($Q25=0,"Não indicado agora",IF($Q25&gt;=75,"Pode fazer sentido",IF($Q25&gt;=50,"Talvez faça sentido","Provavelmente não é o mais indicado"))))</f>
        <v>Não indicado agora</v>
      </c>
      <c r="T25" s="147" t="str">
        <f aca="false">IF($B25="","",IF($Q25=0,IF($K25=0,"O valor disponível é menor que a aplicação mínima deste produto.",IF($L25=0,"O risco deste produto está acima do perfil declarado pelo cliente.","Produto não está ativo na base.")),IF($Q25&lt;50,"Encaixa pouco no que foi pedido — veja o ponto de atenção ao lado.",IF($H25="ISENTO","Não paga Imposto de Renda para pessoa física.",IF($W25="PRE","A taxa fica travada na contratação: não cai se os juros da economia caírem.",IF($W25="IPCA","Protege o poder de compra: rende a inflação mais uma taxa fixa por cima.",IF(AND($E25=0,$F25&lt;=1),"O dinheiro pode ser retirado praticamente a qualquer momento.",IF(AND($H25="PREV_REGR",IN_PRAZO&gt;=120),"No prazo escolhido a previdência alcança a menor alíquota de imposto (10%).",IF($D25&gt;=4,"Pode render mais no prazo longo, aceitando oscilação pelo caminho.","Combina com o prazo, a liquidez e a prioridade informados.")))))))))</f>
        <v>O risco deste produto está acima do perfil declarado pelo cliente.</v>
      </c>
      <c r="U25" s="147" t="str">
        <f aca="false">IF($B25="","",IF($E25&gt;0,"Carência de "&amp;$E25&amp;" dias: não dá para resgatar antes.",IF($F25&gt;60,"Não é dinheiro rápido: leva meses para virar caixa.",IF(LEFT($H25,4)="PREV",IF(IN_PRAZO&lt;24,"Resgate antes de 2 anos paga 35% de imposto.","Não tem cobertura do FGC: quem responde pelo dinheiro é a seguradora."),IF($D25&gt;=4,"Pode cair no caminho e demorar a se recuperar.",IF(AND($H25="RF_REGR",$X25&gt;=0.03),"Se vender antes do vencimento, o preço pode estar abaixo do que você pagou.",IF($X25&gt;=0.03,"O valor oscila mês a mês: em prazo curto pode estar abaixo do que você aplicou.",IF($H25="FUNDO_LP","Tem come-cotas em maio e novembro, que antecipam parte do imposto.",IF($F25&gt;7,"Para o dinheiro cair na conta leva cerca de "&amp;$F25&amp;" dias.",IF($I25&gt;=0.015,"Taxa de administração alta em relação ao retorno esperado.","Confirme prazo, liquidez e tributação antes de contratar."))))))))))</f>
        <v>Pode cair no caminho e demorar a se recuperar.</v>
      </c>
      <c r="V25" s="148" t="n">
        <f aca="false">IF($B25="","",IFERROR(IF(Produtos!$H25="MULT",(1+INDEX(TAB_MACRO_VAL,MATCH(Produtos!$E25,TAB_MACRO_COD,0))*Produtos!$F25)*(1+Produtos!$G25)-1,INDEX(TAB_MACRO_VAL,MATCH(Produtos!$E25,TAB_MACRO_COD,0))*Produtos!$F25+Produtos!$G25),""))</f>
        <v>0.115</v>
      </c>
      <c r="W25" s="74" t="str">
        <f aca="false">IF(Produtos!$B25="","",Produtos!$E25)</f>
        <v>IBOV</v>
      </c>
      <c r="X25" s="76" t="n">
        <f aca="false">IF(Produtos!$B25="",0,Produtos!$U25)</f>
        <v>0.18</v>
      </c>
    </row>
    <row r="26" customFormat="false" ht="21.75" hidden="false" customHeight="true" outlineLevel="0" collapsed="false">
      <c r="A26" s="74" t="str">
        <f aca="false">IF(Produtos!$B26="","",Produtos!$A26)</f>
        <v>FU08</v>
      </c>
      <c r="B26" s="142" t="str">
        <f aca="false">IF(Produtos!$B26="","",Produtos!$B26)</f>
        <v>Fundo CAIXA Cambial Dólar</v>
      </c>
      <c r="C26" s="74" t="str">
        <f aca="false">IF(Produtos!$B26="","",Produtos!$C26)</f>
        <v>Fundo</v>
      </c>
      <c r="D26" s="77" t="n">
        <f aca="false">IF(Produtos!$B26="",0,Produtos!$T26)</f>
        <v>5</v>
      </c>
      <c r="E26" s="77" t="n">
        <f aca="false">IF(Produtos!$B26="",0,Produtos!$P26)</f>
        <v>0</v>
      </c>
      <c r="F26" s="77" t="n">
        <f aca="false">IF(Produtos!$B26="",0,Produtos!$Q26)</f>
        <v>4</v>
      </c>
      <c r="G26" s="78" t="n">
        <f aca="false">IF(Produtos!$B26="",0,Produtos!$R26)</f>
        <v>1000</v>
      </c>
      <c r="H26" s="74" t="str">
        <f aca="false">IF(Produtos!$B26="","",Produtos!$N26)</f>
        <v>FUNDO_CP</v>
      </c>
      <c r="I26" s="76" t="n">
        <f aca="false">IF(Produtos!$B26="",0,Produtos!$I26)</f>
        <v>0.015</v>
      </c>
      <c r="J26" s="74" t="str">
        <f aca="false">IF(Produtos!$B26="","NÃO",Produtos!$AD26)</f>
        <v>SIM</v>
      </c>
      <c r="K26" s="143" t="n">
        <f aca="false">IF(AND($B26&lt;&gt;"",IN_CAPITAL&gt;=$G26),1,0)</f>
        <v>1</v>
      </c>
      <c r="L26" s="143" t="n">
        <f aca="false">IF(AND($B26&lt;&gt;"",$D26&lt;=IFERROR(INDEX(Premissas!$B$102:$B$104,MATCH(IN_PERFIL,Premissas!$A$102:$A$104,0)),5)),1,0)</f>
        <v>0</v>
      </c>
      <c r="M26" s="143" t="n">
        <f aca="false">IF(IN_PRAZO*30&lt;$E26,0,IF($D26&gt;=4,IF(IN_PRAZO&gt;=60,100,IF(IN_PRAZO&gt;=36,60,IF(IN_PRAZO&gt;=24,30,0))),IF($D26=3,IF(IN_PRAZO&gt;=24,100,IF(IN_PRAZO&gt;=12,70,40)),100)))</f>
        <v>100</v>
      </c>
      <c r="N26" s="143" t="n">
        <f aca="false">IF(IN_RESGATE="Sim",IF($E26+$F26&lt;=3,100,IF($E26+$F26&lt;=31,50,0)),IF(IN_RESGATE="Talvez",IF($E26+$F26&lt;=90,100,IF($E26+$F26&lt;=360,50,20)),100))</f>
        <v>100</v>
      </c>
      <c r="O26" s="143" t="n">
        <f aca="false">IF($D26=0,0,IFERROR(INDEX($B$98:$F$101,MATCH(IN_PRIORIDADE,$A$98:$A$101,0),$D26),0))</f>
        <v>15</v>
      </c>
      <c r="P26" s="143" t="n">
        <f aca="false">MAX(0,MIN(100,60+IF($H26="ISENTO",25,0)+IF($I26&lt;=0.005,15,IF($I26&gt;=0.015,-15,0))+IF(AND($H26="PREV_REGR",IN_PRAZO&gt;=120),20,0)+IF(AND($H26="FUNDO_LP",IN_PRAZO&lt;=12),-10,0)+IF(AND($H26="FUNDO_CP",IN_PRAZO&gt;=24),-15,0)))</f>
        <v>30</v>
      </c>
      <c r="Q26" s="144" t="n">
        <f aca="false">IF(OR($B26="",$J26&lt;&gt;"SIM",$K26=0,$L26=0),0,ROUND(($M26*$B$7+$N26*$C$7+$O26*$D$7+$P26*$E$7)/MAX(1,$B$7+$C$7+$D$7+$E$7),1))</f>
        <v>0</v>
      </c>
      <c r="R26" s="145" t="n">
        <f aca="false">IF($H26="IMOVEL",0,$Q26+ROW()/1000000)</f>
        <v>2.6E-005</v>
      </c>
      <c r="S26" s="146" t="str">
        <f aca="false">IF($B26="","",IF($Q26=0,"Não indicado agora",IF($Q26&gt;=75,"Pode fazer sentido",IF($Q26&gt;=50,"Talvez faça sentido","Provavelmente não é o mais indicado"))))</f>
        <v>Não indicado agora</v>
      </c>
      <c r="T26" s="147" t="str">
        <f aca="false">IF($B26="","",IF($Q26=0,IF($K26=0,"O valor disponível é menor que a aplicação mínima deste produto.",IF($L26=0,"O risco deste produto está acima do perfil declarado pelo cliente.","Produto não está ativo na base.")),IF($Q26&lt;50,"Encaixa pouco no que foi pedido — veja o ponto de atenção ao lado.",IF($H26="ISENTO","Não paga Imposto de Renda para pessoa física.",IF($W26="PRE","A taxa fica travada na contratação: não cai se os juros da economia caírem.",IF($W26="IPCA","Protege o poder de compra: rende a inflação mais uma taxa fixa por cima.",IF(AND($E26=0,$F26&lt;=1),"O dinheiro pode ser retirado praticamente a qualquer momento.",IF(AND($H26="PREV_REGR",IN_PRAZO&gt;=120),"No prazo escolhido a previdência alcança a menor alíquota de imposto (10%).",IF($D26&gt;=4,"Pode render mais no prazo longo, aceitando oscilação pelo caminho.","Combina com o prazo, a liquidez e a prioridade informados.")))))))))</f>
        <v>O risco deste produto está acima do perfil declarado pelo cliente.</v>
      </c>
      <c r="U26" s="147" t="str">
        <f aca="false">IF($B26="","",IF($E26&gt;0,"Carência de "&amp;$E26&amp;" dias: não dá para resgatar antes.",IF($F26&gt;60,"Não é dinheiro rápido: leva meses para virar caixa.",IF(LEFT($H26,4)="PREV",IF(IN_PRAZO&lt;24,"Resgate antes de 2 anos paga 35% de imposto.","Não tem cobertura do FGC: quem responde pelo dinheiro é a seguradora."),IF($D26&gt;=4,"Pode cair no caminho e demorar a se recuperar.",IF(AND($H26="RF_REGR",$X26&gt;=0.03),"Se vender antes do vencimento, o preço pode estar abaixo do que você pagou.",IF($X26&gt;=0.03,"O valor oscila mês a mês: em prazo curto pode estar abaixo do que você aplicou.",IF($H26="FUNDO_LP","Tem come-cotas em maio e novembro, que antecipam parte do imposto.",IF($F26&gt;7,"Para o dinheiro cair na conta leva cerca de "&amp;$F26&amp;" dias.",IF($I26&gt;=0.015,"Taxa de administração alta em relação ao retorno esperado.","Confirme prazo, liquidez e tributação antes de contratar."))))))))))</f>
        <v>Pode cair no caminho e demorar a se recuperar.</v>
      </c>
      <c r="V26" s="148" t="n">
        <f aca="false">IF($B26="","",IFERROR(IF(Produtos!$H26="MULT",(1+INDEX(TAB_MACRO_VAL,MATCH(Produtos!$E26,TAB_MACRO_COD,0))*Produtos!$F26)*(1+Produtos!$G26)-1,INDEX(TAB_MACRO_VAL,MATCH(Produtos!$E26,TAB_MACRO_COD,0))*Produtos!$F26+Produtos!$G26),""))</f>
        <v>0.04</v>
      </c>
      <c r="W26" s="74" t="str">
        <f aca="false">IF(Produtos!$B26="","",Produtos!$E26)</f>
        <v>CAMBIO</v>
      </c>
      <c r="X26" s="76" t="n">
        <f aca="false">IF(Produtos!$B26="",0,Produtos!$U26)</f>
        <v>0.15</v>
      </c>
    </row>
    <row r="27" customFormat="false" ht="21.75" hidden="false" customHeight="true" outlineLevel="0" collapsed="false">
      <c r="A27" s="74" t="str">
        <f aca="false">IF(Produtos!$B27="","",Produtos!$A27)</f>
        <v>PR01</v>
      </c>
      <c r="B27" s="142" t="str">
        <f aca="false">IF(Produtos!$B27="","",Produtos!$B27)</f>
        <v>PGBL CAIXA RF — Regressivo</v>
      </c>
      <c r="C27" s="74" t="str">
        <f aca="false">IF(Produtos!$B27="","",Produtos!$C27)</f>
        <v>Previdência</v>
      </c>
      <c r="D27" s="77" t="n">
        <f aca="false">IF(Produtos!$B27="",0,Produtos!$T27)</f>
        <v>1</v>
      </c>
      <c r="E27" s="77" t="n">
        <f aca="false">IF(Produtos!$B27="",0,Produtos!$P27)</f>
        <v>0</v>
      </c>
      <c r="F27" s="77" t="n">
        <f aca="false">IF(Produtos!$B27="",0,Produtos!$Q27)</f>
        <v>5</v>
      </c>
      <c r="G27" s="78" t="n">
        <f aca="false">IF(Produtos!$B27="",0,Produtos!$R27)</f>
        <v>5000</v>
      </c>
      <c r="H27" s="74" t="str">
        <f aca="false">IF(Produtos!$B27="","",Produtos!$N27)</f>
        <v>PREV_REGR</v>
      </c>
      <c r="I27" s="76" t="n">
        <f aca="false">IF(Produtos!$B27="",0,Produtos!$I27)</f>
        <v>0.01</v>
      </c>
      <c r="J27" s="74" t="str">
        <f aca="false">IF(Produtos!$B27="","NÃO",Produtos!$AD27)</f>
        <v>SIM</v>
      </c>
      <c r="K27" s="143" t="n">
        <f aca="false">IF(AND($B27&lt;&gt;"",IN_CAPITAL&gt;=$G27),1,0)</f>
        <v>1</v>
      </c>
      <c r="L27" s="143" t="n">
        <f aca="false">IF(AND($B27&lt;&gt;"",$D27&lt;=IFERROR(INDEX(Premissas!$B$102:$B$104,MATCH(IN_PERFIL,Premissas!$A$102:$A$104,0)),5)),1,0)</f>
        <v>1</v>
      </c>
      <c r="M27" s="143" t="n">
        <f aca="false">IF(IN_PRAZO*30&lt;$E27,0,IF($D27&gt;=4,IF(IN_PRAZO&gt;=60,100,IF(IN_PRAZO&gt;=36,60,IF(IN_PRAZO&gt;=24,30,0))),IF($D27=3,IF(IN_PRAZO&gt;=24,100,IF(IN_PRAZO&gt;=12,70,40)),100)))</f>
        <v>100</v>
      </c>
      <c r="N27" s="143" t="n">
        <f aca="false">IF(IN_RESGATE="Sim",IF($E27+$F27&lt;=3,100,IF($E27+$F27&lt;=31,50,0)),IF(IN_RESGATE="Talvez",IF($E27+$F27&lt;=90,100,IF($E27+$F27&lt;=360,50,20)),100))</f>
        <v>100</v>
      </c>
      <c r="O27" s="143" t="n">
        <f aca="false">IF($D27=0,0,IFERROR(INDEX($B$98:$F$101,MATCH(IN_PRIORIDADE,$A$98:$A$101,0),$D27),0))</f>
        <v>60</v>
      </c>
      <c r="P27" s="143" t="n">
        <f aca="false">MAX(0,MIN(100,60+IF($H27="ISENTO",25,0)+IF($I27&lt;=0.005,15,IF($I27&gt;=0.015,-15,0))+IF(AND($H27="PREV_REGR",IN_PRAZO&gt;=120),20,0)+IF(AND($H27="FUNDO_LP",IN_PRAZO&lt;=12),-10,0)+IF(AND($H27="FUNDO_CP",IN_PRAZO&gt;=24),-15,0)))</f>
        <v>80</v>
      </c>
      <c r="Q27" s="144" t="n">
        <f aca="false">IF(OR($B27="",$J27&lt;&gt;"SIM",$K27=0,$L27=0),0,ROUND(($M27*$B$7+$N27*$C$7+$O27*$D$7+$P27*$E$7)/MAX(1,$B$7+$C$7+$D$7+$E$7),1))</f>
        <v>83</v>
      </c>
      <c r="R27" s="145" t="n">
        <f aca="false">IF($H27="IMOVEL",0,$Q27+ROW()/1000000)</f>
        <v>83.000027</v>
      </c>
      <c r="S27" s="146" t="str">
        <f aca="false">IF($B27="","",IF($Q27=0,"Não indicado agora",IF($Q27&gt;=75,"Pode fazer sentido",IF($Q27&gt;=50,"Talvez faça sentido","Provavelmente não é o mais indicado"))))</f>
        <v>Pode fazer sentido</v>
      </c>
      <c r="T27" s="147" t="str">
        <f aca="false">IF($B27="","",IF($Q27=0,IF($K27=0,"O valor disponível é menor que a aplicação mínima deste produto.",IF($L27=0,"O risco deste produto está acima do perfil declarado pelo cliente.","Produto não está ativo na base.")),IF($Q27&lt;50,"Encaixa pouco no que foi pedido — veja o ponto de atenção ao lado.",IF($H27="ISENTO","Não paga Imposto de Renda para pessoa física.",IF($W27="PRE","A taxa fica travada na contratação: não cai se os juros da economia caírem.",IF($W27="IPCA","Protege o poder de compra: rende a inflação mais uma taxa fixa por cima.",IF(AND($E27=0,$F27&lt;=1),"O dinheiro pode ser retirado praticamente a qualquer momento.",IF(AND($H27="PREV_REGR",IN_PRAZO&gt;=120),"No prazo escolhido a previdência alcança a menor alíquota de imposto (10%).",IF($D27&gt;=4,"Pode render mais no prazo longo, aceitando oscilação pelo caminho.","Combina com o prazo, a liquidez e a prioridade informados.")))))))))</f>
        <v>No prazo escolhido a previdência alcança a menor alíquota de imposto (10%).</v>
      </c>
      <c r="U27" s="147" t="str">
        <f aca="false">IF($B27="","",IF($E27&gt;0,"Carência de "&amp;$E27&amp;" dias: não dá para resgatar antes.",IF($F27&gt;60,"Não é dinheiro rápido: leva meses para virar caixa.",IF(LEFT($H27,4)="PREV",IF(IN_PRAZO&lt;24,"Resgate antes de 2 anos paga 35% de imposto.","Não tem cobertura do FGC: quem responde pelo dinheiro é a seguradora."),IF($D27&gt;=4,"Pode cair no caminho e demorar a se recuperar.",IF(AND($H27="RF_REGR",$X27&gt;=0.03),"Se vender antes do vencimento, o preço pode estar abaixo do que você pagou.",IF($X27&gt;=0.03,"O valor oscila mês a mês: em prazo curto pode estar abaixo do que você aplicou.",IF($H27="FUNDO_LP","Tem come-cotas em maio e novembro, que antecipam parte do imposto.",IF($F27&gt;7,"Para o dinheiro cair na conta leva cerca de "&amp;$F27&amp;" dias.",IF($I27&gt;=0.015,"Taxa de administração alta em relação ao retorno esperado.","Confirme prazo, liquidez e tributação antes de contratar."))))))))))</f>
        <v>Não tem cobertura do FGC: quem responde pelo dinheiro é a seguradora.</v>
      </c>
      <c r="V27" s="148" t="n">
        <f aca="false">IF($B27="","",IFERROR(IF(Produtos!$H27="MULT",(1+INDEX(TAB_MACRO_VAL,MATCH(Produtos!$E27,TAB_MACRO_COD,0))*Produtos!$F27)*(1+Produtos!$G27)-1,INDEX(TAB_MACRO_VAL,MATCH(Produtos!$E27,TAB_MACRO_COD,0))*Produtos!$F27+Produtos!$G27),""))</f>
        <v>0.10573</v>
      </c>
      <c r="W27" s="74" t="str">
        <f aca="false">IF(Produtos!$B27="","",Produtos!$E27)</f>
        <v>CDI</v>
      </c>
      <c r="X27" s="76" t="n">
        <f aca="false">IF(Produtos!$B27="",0,Produtos!$U27)</f>
        <v>0.002</v>
      </c>
    </row>
    <row r="28" customFormat="false" ht="21.75" hidden="false" customHeight="true" outlineLevel="0" collapsed="false">
      <c r="A28" s="74" t="str">
        <f aca="false">IF(Produtos!$B28="","",Produtos!$A28)</f>
        <v>PR02</v>
      </c>
      <c r="B28" s="142" t="str">
        <f aca="false">IF(Produtos!$B28="","",Produtos!$B28)</f>
        <v>PGBL CAIXA RF — Progressivo</v>
      </c>
      <c r="C28" s="74" t="str">
        <f aca="false">IF(Produtos!$B28="","",Produtos!$C28)</f>
        <v>Previdência</v>
      </c>
      <c r="D28" s="77" t="n">
        <f aca="false">IF(Produtos!$B28="",0,Produtos!$T28)</f>
        <v>1</v>
      </c>
      <c r="E28" s="77" t="n">
        <f aca="false">IF(Produtos!$B28="",0,Produtos!$P28)</f>
        <v>0</v>
      </c>
      <c r="F28" s="77" t="n">
        <f aca="false">IF(Produtos!$B28="",0,Produtos!$Q28)</f>
        <v>5</v>
      </c>
      <c r="G28" s="78" t="n">
        <f aca="false">IF(Produtos!$B28="",0,Produtos!$R28)</f>
        <v>5000</v>
      </c>
      <c r="H28" s="74" t="str">
        <f aca="false">IF(Produtos!$B28="","",Produtos!$N28)</f>
        <v>PREV_PROG</v>
      </c>
      <c r="I28" s="76" t="n">
        <f aca="false">IF(Produtos!$B28="",0,Produtos!$I28)</f>
        <v>0.01</v>
      </c>
      <c r="J28" s="74" t="str">
        <f aca="false">IF(Produtos!$B28="","NÃO",Produtos!$AD28)</f>
        <v>SIM</v>
      </c>
      <c r="K28" s="143" t="n">
        <f aca="false">IF(AND($B28&lt;&gt;"",IN_CAPITAL&gt;=$G28),1,0)</f>
        <v>1</v>
      </c>
      <c r="L28" s="143" t="n">
        <f aca="false">IF(AND($B28&lt;&gt;"",$D28&lt;=IFERROR(INDEX(Premissas!$B$102:$B$104,MATCH(IN_PERFIL,Premissas!$A$102:$A$104,0)),5)),1,0)</f>
        <v>1</v>
      </c>
      <c r="M28" s="143" t="n">
        <f aca="false">IF(IN_PRAZO*30&lt;$E28,0,IF($D28&gt;=4,IF(IN_PRAZO&gt;=60,100,IF(IN_PRAZO&gt;=36,60,IF(IN_PRAZO&gt;=24,30,0))),IF($D28=3,IF(IN_PRAZO&gt;=24,100,IF(IN_PRAZO&gt;=12,70,40)),100)))</f>
        <v>100</v>
      </c>
      <c r="N28" s="143" t="n">
        <f aca="false">IF(IN_RESGATE="Sim",IF($E28+$F28&lt;=3,100,IF($E28+$F28&lt;=31,50,0)),IF(IN_RESGATE="Talvez",IF($E28+$F28&lt;=90,100,IF($E28+$F28&lt;=360,50,20)),100))</f>
        <v>100</v>
      </c>
      <c r="O28" s="143" t="n">
        <f aca="false">IF($D28=0,0,IFERROR(INDEX($B$98:$F$101,MATCH(IN_PRIORIDADE,$A$98:$A$101,0),$D28),0))</f>
        <v>60</v>
      </c>
      <c r="P28" s="143" t="n">
        <f aca="false">MAX(0,MIN(100,60+IF($H28="ISENTO",25,0)+IF($I28&lt;=0.005,15,IF($I28&gt;=0.015,-15,0))+IF(AND($H28="PREV_REGR",IN_PRAZO&gt;=120),20,0)+IF(AND($H28="FUNDO_LP",IN_PRAZO&lt;=12),-10,0)+IF(AND($H28="FUNDO_CP",IN_PRAZO&gt;=24),-15,0)))</f>
        <v>60</v>
      </c>
      <c r="Q28" s="144" t="n">
        <f aca="false">IF(OR($B28="",$J28&lt;&gt;"SIM",$K28=0,$L28=0),0,ROUND(($M28*$B$7+$N28*$C$7+$O28*$D$7+$P28*$E$7)/MAX(1,$B$7+$C$7+$D$7+$E$7),1))</f>
        <v>80</v>
      </c>
      <c r="R28" s="145" t="n">
        <f aca="false">IF($H28="IMOVEL",0,$Q28+ROW()/1000000)</f>
        <v>80.000028</v>
      </c>
      <c r="S28" s="146" t="str">
        <f aca="false">IF($B28="","",IF($Q28=0,"Não indicado agora",IF($Q28&gt;=75,"Pode fazer sentido",IF($Q28&gt;=50,"Talvez faça sentido","Provavelmente não é o mais indicado"))))</f>
        <v>Pode fazer sentido</v>
      </c>
      <c r="T28" s="147" t="str">
        <f aca="false">IF($B28="","",IF($Q28=0,IF($K28=0,"O valor disponível é menor que a aplicação mínima deste produto.",IF($L28=0,"O risco deste produto está acima do perfil declarado pelo cliente.","Produto não está ativo na base.")),IF($Q28&lt;50,"Encaixa pouco no que foi pedido — veja o ponto de atenção ao lado.",IF($H28="ISENTO","Não paga Imposto de Renda para pessoa física.",IF($W28="PRE","A taxa fica travada na contratação: não cai se os juros da economia caírem.",IF($W28="IPCA","Protege o poder de compra: rende a inflação mais uma taxa fixa por cima.",IF(AND($E28=0,$F28&lt;=1),"O dinheiro pode ser retirado praticamente a qualquer momento.",IF(AND($H28="PREV_REGR",IN_PRAZO&gt;=120),"No prazo escolhido a previdência alcança a menor alíquota de imposto (10%).",IF($D28&gt;=4,"Pode render mais no prazo longo, aceitando oscilação pelo caminho.","Combina com o prazo, a liquidez e a prioridade informados.")))))))))</f>
        <v>Combina com o prazo, a liquidez e a prioridade informados.</v>
      </c>
      <c r="U28" s="147" t="str">
        <f aca="false">IF($B28="","",IF($E28&gt;0,"Carência de "&amp;$E28&amp;" dias: não dá para resgatar antes.",IF($F28&gt;60,"Não é dinheiro rápido: leva meses para virar caixa.",IF(LEFT($H28,4)="PREV",IF(IN_PRAZO&lt;24,"Resgate antes de 2 anos paga 35% de imposto.","Não tem cobertura do FGC: quem responde pelo dinheiro é a seguradora."),IF($D28&gt;=4,"Pode cair no caminho e demorar a se recuperar.",IF(AND($H28="RF_REGR",$X28&gt;=0.03),"Se vender antes do vencimento, o preço pode estar abaixo do que você pagou.",IF($X28&gt;=0.03,"O valor oscila mês a mês: em prazo curto pode estar abaixo do que você aplicou.",IF($H28="FUNDO_LP","Tem come-cotas em maio e novembro, que antecipam parte do imposto.",IF($F28&gt;7,"Para o dinheiro cair na conta leva cerca de "&amp;$F28&amp;" dias.",IF($I28&gt;=0.015,"Taxa de administração alta em relação ao retorno esperado.","Confirme prazo, liquidez e tributação antes de contratar."))))))))))</f>
        <v>Não tem cobertura do FGC: quem responde pelo dinheiro é a seguradora.</v>
      </c>
      <c r="V28" s="148" t="n">
        <f aca="false">IF($B28="","",IFERROR(IF(Produtos!$H28="MULT",(1+INDEX(TAB_MACRO_VAL,MATCH(Produtos!$E28,TAB_MACRO_COD,0))*Produtos!$F28)*(1+Produtos!$G28)-1,INDEX(TAB_MACRO_VAL,MATCH(Produtos!$E28,TAB_MACRO_COD,0))*Produtos!$F28+Produtos!$G28),""))</f>
        <v>0.10573</v>
      </c>
      <c r="W28" s="74" t="str">
        <f aca="false">IF(Produtos!$B28="","",Produtos!$E28)</f>
        <v>CDI</v>
      </c>
      <c r="X28" s="76" t="n">
        <f aca="false">IF(Produtos!$B28="",0,Produtos!$U28)</f>
        <v>0.002</v>
      </c>
    </row>
    <row r="29" customFormat="false" ht="21.75" hidden="false" customHeight="true" outlineLevel="0" collapsed="false">
      <c r="A29" s="74" t="str">
        <f aca="false">IF(Produtos!$B29="","",Produtos!$A29)</f>
        <v>PR03</v>
      </c>
      <c r="B29" s="142" t="str">
        <f aca="false">IF(Produtos!$B29="","",Produtos!$B29)</f>
        <v>VGBL CAIXA RF — Regressivo</v>
      </c>
      <c r="C29" s="74" t="str">
        <f aca="false">IF(Produtos!$B29="","",Produtos!$C29)</f>
        <v>Previdência</v>
      </c>
      <c r="D29" s="77" t="n">
        <f aca="false">IF(Produtos!$B29="",0,Produtos!$T29)</f>
        <v>1</v>
      </c>
      <c r="E29" s="77" t="n">
        <f aca="false">IF(Produtos!$B29="",0,Produtos!$P29)</f>
        <v>0</v>
      </c>
      <c r="F29" s="77" t="n">
        <f aca="false">IF(Produtos!$B29="",0,Produtos!$Q29)</f>
        <v>5</v>
      </c>
      <c r="G29" s="78" t="n">
        <f aca="false">IF(Produtos!$B29="",0,Produtos!$R29)</f>
        <v>5000</v>
      </c>
      <c r="H29" s="74" t="str">
        <f aca="false">IF(Produtos!$B29="","",Produtos!$N29)</f>
        <v>PREV_REGR</v>
      </c>
      <c r="I29" s="76" t="n">
        <f aca="false">IF(Produtos!$B29="",0,Produtos!$I29)</f>
        <v>0.01</v>
      </c>
      <c r="J29" s="74" t="str">
        <f aca="false">IF(Produtos!$B29="","NÃO",Produtos!$AD29)</f>
        <v>SIM</v>
      </c>
      <c r="K29" s="143" t="n">
        <f aca="false">IF(AND($B29&lt;&gt;"",IN_CAPITAL&gt;=$G29),1,0)</f>
        <v>1</v>
      </c>
      <c r="L29" s="143" t="n">
        <f aca="false">IF(AND($B29&lt;&gt;"",$D29&lt;=IFERROR(INDEX(Premissas!$B$102:$B$104,MATCH(IN_PERFIL,Premissas!$A$102:$A$104,0)),5)),1,0)</f>
        <v>1</v>
      </c>
      <c r="M29" s="143" t="n">
        <f aca="false">IF(IN_PRAZO*30&lt;$E29,0,IF($D29&gt;=4,IF(IN_PRAZO&gt;=60,100,IF(IN_PRAZO&gt;=36,60,IF(IN_PRAZO&gt;=24,30,0))),IF($D29=3,IF(IN_PRAZO&gt;=24,100,IF(IN_PRAZO&gt;=12,70,40)),100)))</f>
        <v>100</v>
      </c>
      <c r="N29" s="143" t="n">
        <f aca="false">IF(IN_RESGATE="Sim",IF($E29+$F29&lt;=3,100,IF($E29+$F29&lt;=31,50,0)),IF(IN_RESGATE="Talvez",IF($E29+$F29&lt;=90,100,IF($E29+$F29&lt;=360,50,20)),100))</f>
        <v>100</v>
      </c>
      <c r="O29" s="143" t="n">
        <f aca="false">IF($D29=0,0,IFERROR(INDEX($B$98:$F$101,MATCH(IN_PRIORIDADE,$A$98:$A$101,0),$D29),0))</f>
        <v>60</v>
      </c>
      <c r="P29" s="143" t="n">
        <f aca="false">MAX(0,MIN(100,60+IF($H29="ISENTO",25,0)+IF($I29&lt;=0.005,15,IF($I29&gt;=0.015,-15,0))+IF(AND($H29="PREV_REGR",IN_PRAZO&gt;=120),20,0)+IF(AND($H29="FUNDO_LP",IN_PRAZO&lt;=12),-10,0)+IF(AND($H29="FUNDO_CP",IN_PRAZO&gt;=24),-15,0)))</f>
        <v>80</v>
      </c>
      <c r="Q29" s="144" t="n">
        <f aca="false">IF(OR($B29="",$J29&lt;&gt;"SIM",$K29=0,$L29=0),0,ROUND(($M29*$B$7+$N29*$C$7+$O29*$D$7+$P29*$E$7)/MAX(1,$B$7+$C$7+$D$7+$E$7),1))</f>
        <v>83</v>
      </c>
      <c r="R29" s="145" t="n">
        <f aca="false">IF($H29="IMOVEL",0,$Q29+ROW()/1000000)</f>
        <v>83.000029</v>
      </c>
      <c r="S29" s="146" t="str">
        <f aca="false">IF($B29="","",IF($Q29=0,"Não indicado agora",IF($Q29&gt;=75,"Pode fazer sentido",IF($Q29&gt;=50,"Talvez faça sentido","Provavelmente não é o mais indicado"))))</f>
        <v>Pode fazer sentido</v>
      </c>
      <c r="T29" s="147" t="str">
        <f aca="false">IF($B29="","",IF($Q29=0,IF($K29=0,"O valor disponível é menor que a aplicação mínima deste produto.",IF($L29=0,"O risco deste produto está acima do perfil declarado pelo cliente.","Produto não está ativo na base.")),IF($Q29&lt;50,"Encaixa pouco no que foi pedido — veja o ponto de atenção ao lado.",IF($H29="ISENTO","Não paga Imposto de Renda para pessoa física.",IF($W29="PRE","A taxa fica travada na contratação: não cai se os juros da economia caírem.",IF($W29="IPCA","Protege o poder de compra: rende a inflação mais uma taxa fixa por cima.",IF(AND($E29=0,$F29&lt;=1),"O dinheiro pode ser retirado praticamente a qualquer momento.",IF(AND($H29="PREV_REGR",IN_PRAZO&gt;=120),"No prazo escolhido a previdência alcança a menor alíquota de imposto (10%).",IF($D29&gt;=4,"Pode render mais no prazo longo, aceitando oscilação pelo caminho.","Combina com o prazo, a liquidez e a prioridade informados.")))))))))</f>
        <v>No prazo escolhido a previdência alcança a menor alíquota de imposto (10%).</v>
      </c>
      <c r="U29" s="147" t="str">
        <f aca="false">IF($B29="","",IF($E29&gt;0,"Carência de "&amp;$E29&amp;" dias: não dá para resgatar antes.",IF($F29&gt;60,"Não é dinheiro rápido: leva meses para virar caixa.",IF(LEFT($H29,4)="PREV",IF(IN_PRAZO&lt;24,"Resgate antes de 2 anos paga 35% de imposto.","Não tem cobertura do FGC: quem responde pelo dinheiro é a seguradora."),IF($D29&gt;=4,"Pode cair no caminho e demorar a se recuperar.",IF(AND($H29="RF_REGR",$X29&gt;=0.03),"Se vender antes do vencimento, o preço pode estar abaixo do que você pagou.",IF($X29&gt;=0.03,"O valor oscila mês a mês: em prazo curto pode estar abaixo do que você aplicou.",IF($H29="FUNDO_LP","Tem come-cotas em maio e novembro, que antecipam parte do imposto.",IF($F29&gt;7,"Para o dinheiro cair na conta leva cerca de "&amp;$F29&amp;" dias.",IF($I29&gt;=0.015,"Taxa de administração alta em relação ao retorno esperado.","Confirme prazo, liquidez e tributação antes de contratar."))))))))))</f>
        <v>Não tem cobertura do FGC: quem responde pelo dinheiro é a seguradora.</v>
      </c>
      <c r="V29" s="148" t="n">
        <f aca="false">IF($B29="","",IFERROR(IF(Produtos!$H29="MULT",(1+INDEX(TAB_MACRO_VAL,MATCH(Produtos!$E29,TAB_MACRO_COD,0))*Produtos!$F29)*(1+Produtos!$G29)-1,INDEX(TAB_MACRO_VAL,MATCH(Produtos!$E29,TAB_MACRO_COD,0))*Produtos!$F29+Produtos!$G29),""))</f>
        <v>0.10573</v>
      </c>
      <c r="W29" s="74" t="str">
        <f aca="false">IF(Produtos!$B29="","",Produtos!$E29)</f>
        <v>CDI</v>
      </c>
      <c r="X29" s="76" t="n">
        <f aca="false">IF(Produtos!$B29="",0,Produtos!$U29)</f>
        <v>0.002</v>
      </c>
    </row>
    <row r="30" customFormat="false" ht="21.75" hidden="false" customHeight="true" outlineLevel="0" collapsed="false">
      <c r="A30" s="74" t="str">
        <f aca="false">IF(Produtos!$B30="","",Produtos!$A30)</f>
        <v>PR04</v>
      </c>
      <c r="B30" s="142" t="str">
        <f aca="false">IF(Produtos!$B30="","",Produtos!$B30)</f>
        <v>PGBL CAIXA Composto 30 — Regressivo</v>
      </c>
      <c r="C30" s="74" t="str">
        <f aca="false">IF(Produtos!$B30="","",Produtos!$C30)</f>
        <v>Previdência</v>
      </c>
      <c r="D30" s="77" t="n">
        <f aca="false">IF(Produtos!$B30="",0,Produtos!$T30)</f>
        <v>3</v>
      </c>
      <c r="E30" s="77" t="n">
        <f aca="false">IF(Produtos!$B30="",0,Produtos!$P30)</f>
        <v>0</v>
      </c>
      <c r="F30" s="77" t="n">
        <f aca="false">IF(Produtos!$B30="",0,Produtos!$Q30)</f>
        <v>5</v>
      </c>
      <c r="G30" s="78" t="n">
        <f aca="false">IF(Produtos!$B30="",0,Produtos!$R30)</f>
        <v>5000</v>
      </c>
      <c r="H30" s="74" t="str">
        <f aca="false">IF(Produtos!$B30="","",Produtos!$N30)</f>
        <v>PREV_REGR</v>
      </c>
      <c r="I30" s="76" t="n">
        <f aca="false">IF(Produtos!$B30="",0,Produtos!$I30)</f>
        <v>0.015</v>
      </c>
      <c r="J30" s="74" t="str">
        <f aca="false">IF(Produtos!$B30="","NÃO",Produtos!$AD30)</f>
        <v>SIM</v>
      </c>
      <c r="K30" s="143" t="n">
        <f aca="false">IF(AND($B30&lt;&gt;"",IN_CAPITAL&gt;=$G30),1,0)</f>
        <v>1</v>
      </c>
      <c r="L30" s="143" t="n">
        <f aca="false">IF(AND($B30&lt;&gt;"",$D30&lt;=IFERROR(INDEX(Premissas!$B$102:$B$104,MATCH(IN_PERFIL,Premissas!$A$102:$A$104,0)),5)),1,0)</f>
        <v>1</v>
      </c>
      <c r="M30" s="143" t="n">
        <f aca="false">IF(IN_PRAZO*30&lt;$E30,0,IF($D30&gt;=4,IF(IN_PRAZO&gt;=60,100,IF(IN_PRAZO&gt;=36,60,IF(IN_PRAZO&gt;=24,30,0))),IF($D30=3,IF(IN_PRAZO&gt;=24,100,IF(IN_PRAZO&gt;=12,70,40)),100)))</f>
        <v>100</v>
      </c>
      <c r="N30" s="143" t="n">
        <f aca="false">IF(IN_RESGATE="Sim",IF($E30+$F30&lt;=3,100,IF($E30+$F30&lt;=31,50,0)),IF(IN_RESGATE="Talvez",IF($E30+$F30&lt;=90,100,IF($E30+$F30&lt;=360,50,20)),100))</f>
        <v>100</v>
      </c>
      <c r="O30" s="143" t="n">
        <f aca="false">IF($D30=0,0,IFERROR(INDEX($B$98:$F$101,MATCH(IN_PRIORIDADE,$A$98:$A$101,0),$D30),0))</f>
        <v>90</v>
      </c>
      <c r="P30" s="143" t="n">
        <f aca="false">MAX(0,MIN(100,60+IF($H30="ISENTO",25,0)+IF($I30&lt;=0.005,15,IF($I30&gt;=0.015,-15,0))+IF(AND($H30="PREV_REGR",IN_PRAZO&gt;=120),20,0)+IF(AND($H30="FUNDO_LP",IN_PRAZO&lt;=12),-10,0)+IF(AND($H30="FUNDO_CP",IN_PRAZO&gt;=24),-15,0)))</f>
        <v>65</v>
      </c>
      <c r="Q30" s="144" t="n">
        <f aca="false">IF(OR($B30="",$J30&lt;&gt;"SIM",$K30=0,$L30=0),0,ROUND(($M30*$B$7+$N30*$C$7+$O30*$D$7+$P30*$E$7)/MAX(1,$B$7+$C$7+$D$7+$E$7),1))</f>
        <v>91.3</v>
      </c>
      <c r="R30" s="145" t="n">
        <f aca="false">IF($H30="IMOVEL",0,$Q30+ROW()/1000000)</f>
        <v>91.30003</v>
      </c>
      <c r="S30" s="146" t="str">
        <f aca="false">IF($B30="","",IF($Q30=0,"Não indicado agora",IF($Q30&gt;=75,"Pode fazer sentido",IF($Q30&gt;=50,"Talvez faça sentido","Provavelmente não é o mais indicado"))))</f>
        <v>Pode fazer sentido</v>
      </c>
      <c r="T30" s="147" t="str">
        <f aca="false">IF($B30="","",IF($Q30=0,IF($K30=0,"O valor disponível é menor que a aplicação mínima deste produto.",IF($L30=0,"O risco deste produto está acima do perfil declarado pelo cliente.","Produto não está ativo na base.")),IF($Q30&lt;50,"Encaixa pouco no que foi pedido — veja o ponto de atenção ao lado.",IF($H30="ISENTO","Não paga Imposto de Renda para pessoa física.",IF($W30="PRE","A taxa fica travada na contratação: não cai se os juros da economia caírem.",IF($W30="IPCA","Protege o poder de compra: rende a inflação mais uma taxa fixa por cima.",IF(AND($E30=0,$F30&lt;=1),"O dinheiro pode ser retirado praticamente a qualquer momento.",IF(AND($H30="PREV_REGR",IN_PRAZO&gt;=120),"No prazo escolhido a previdência alcança a menor alíquota de imposto (10%).",IF($D30&gt;=4,"Pode render mais no prazo longo, aceitando oscilação pelo caminho.","Combina com o prazo, a liquidez e a prioridade informados.")))))))))</f>
        <v>No prazo escolhido a previdência alcança a menor alíquota de imposto (10%).</v>
      </c>
      <c r="U30" s="147" t="str">
        <f aca="false">IF($B30="","",IF($E30&gt;0,"Carência de "&amp;$E30&amp;" dias: não dá para resgatar antes.",IF($F30&gt;60,"Não é dinheiro rápido: leva meses para virar caixa.",IF(LEFT($H30,4)="PREV",IF(IN_PRAZO&lt;24,"Resgate antes de 2 anos paga 35% de imposto.","Não tem cobertura do FGC: quem responde pelo dinheiro é a seguradora."),IF($D30&gt;=4,"Pode cair no caminho e demorar a se recuperar.",IF(AND($H30="RF_REGR",$X30&gt;=0.03),"Se vender antes do vencimento, o preço pode estar abaixo do que você pagou.",IF($X30&gt;=0.03,"O valor oscila mês a mês: em prazo curto pode estar abaixo do que você aplicou.",IF($H30="FUNDO_LP","Tem come-cotas em maio e novembro, que antecipam parte do imposto.",IF($F30&gt;7,"Para o dinheiro cair na conta leva cerca de "&amp;$F30&amp;" dias.",IF($I30&gt;=0.015,"Taxa de administração alta em relação ao retorno esperado.","Confirme prazo, liquidez e tributação antes de contratar."))))))))))</f>
        <v>Não tem cobertura do FGC: quem responde pelo dinheiro é a seguradora.</v>
      </c>
      <c r="V30" s="148" t="n">
        <f aca="false">IF($B30="","",IFERROR(IF(Produtos!$H30="MULT",(1+INDEX(TAB_MACRO_VAL,MATCH(Produtos!$E30,TAB_MACRO_COD,0))*Produtos!$F30)*(1+Produtos!$G30)-1,INDEX(TAB_MACRO_VAL,MATCH(Produtos!$E30,TAB_MACRO_COD,0))*Produtos!$F30+Produtos!$G30),""))</f>
        <v>0.124</v>
      </c>
      <c r="W30" s="74" t="str">
        <f aca="false">IF(Produtos!$B30="","",Produtos!$E30)</f>
        <v>CDI</v>
      </c>
      <c r="X30" s="76" t="n">
        <f aca="false">IF(Produtos!$B30="",0,Produtos!$U30)</f>
        <v>0.06</v>
      </c>
    </row>
    <row r="31" customFormat="false" ht="21.75" hidden="false" customHeight="true" outlineLevel="0" collapsed="false">
      <c r="A31" s="74" t="str">
        <f aca="false">IF(Produtos!$B31="","",Produtos!$A31)</f>
        <v>PR05</v>
      </c>
      <c r="B31" s="142" t="str">
        <f aca="false">IF(Produtos!$B31="","",Produtos!$B31)</f>
        <v>VGBL CAIXA Composto 30 — Regressivo</v>
      </c>
      <c r="C31" s="74" t="str">
        <f aca="false">IF(Produtos!$B31="","",Produtos!$C31)</f>
        <v>Previdência</v>
      </c>
      <c r="D31" s="77" t="n">
        <f aca="false">IF(Produtos!$B31="",0,Produtos!$T31)</f>
        <v>3</v>
      </c>
      <c r="E31" s="77" t="n">
        <f aca="false">IF(Produtos!$B31="",0,Produtos!$P31)</f>
        <v>0</v>
      </c>
      <c r="F31" s="77" t="n">
        <f aca="false">IF(Produtos!$B31="",0,Produtos!$Q31)</f>
        <v>5</v>
      </c>
      <c r="G31" s="78" t="n">
        <f aca="false">IF(Produtos!$B31="",0,Produtos!$R31)</f>
        <v>5000</v>
      </c>
      <c r="H31" s="74" t="str">
        <f aca="false">IF(Produtos!$B31="","",Produtos!$N31)</f>
        <v>PREV_REGR</v>
      </c>
      <c r="I31" s="76" t="n">
        <f aca="false">IF(Produtos!$B31="",0,Produtos!$I31)</f>
        <v>0.015</v>
      </c>
      <c r="J31" s="74" t="str">
        <f aca="false">IF(Produtos!$B31="","NÃO",Produtos!$AD31)</f>
        <v>SIM</v>
      </c>
      <c r="K31" s="143" t="n">
        <f aca="false">IF(AND($B31&lt;&gt;"",IN_CAPITAL&gt;=$G31),1,0)</f>
        <v>1</v>
      </c>
      <c r="L31" s="143" t="n">
        <f aca="false">IF(AND($B31&lt;&gt;"",$D31&lt;=IFERROR(INDEX(Premissas!$B$102:$B$104,MATCH(IN_PERFIL,Premissas!$A$102:$A$104,0)),5)),1,0)</f>
        <v>1</v>
      </c>
      <c r="M31" s="143" t="n">
        <f aca="false">IF(IN_PRAZO*30&lt;$E31,0,IF($D31&gt;=4,IF(IN_PRAZO&gt;=60,100,IF(IN_PRAZO&gt;=36,60,IF(IN_PRAZO&gt;=24,30,0))),IF($D31=3,IF(IN_PRAZO&gt;=24,100,IF(IN_PRAZO&gt;=12,70,40)),100)))</f>
        <v>100</v>
      </c>
      <c r="N31" s="143" t="n">
        <f aca="false">IF(IN_RESGATE="Sim",IF($E31+$F31&lt;=3,100,IF($E31+$F31&lt;=31,50,0)),IF(IN_RESGATE="Talvez",IF($E31+$F31&lt;=90,100,IF($E31+$F31&lt;=360,50,20)),100))</f>
        <v>100</v>
      </c>
      <c r="O31" s="143" t="n">
        <f aca="false">IF($D31=0,0,IFERROR(INDEX($B$98:$F$101,MATCH(IN_PRIORIDADE,$A$98:$A$101,0),$D31),0))</f>
        <v>90</v>
      </c>
      <c r="P31" s="143" t="n">
        <f aca="false">MAX(0,MIN(100,60+IF($H31="ISENTO",25,0)+IF($I31&lt;=0.005,15,IF($I31&gt;=0.015,-15,0))+IF(AND($H31="PREV_REGR",IN_PRAZO&gt;=120),20,0)+IF(AND($H31="FUNDO_LP",IN_PRAZO&lt;=12),-10,0)+IF(AND($H31="FUNDO_CP",IN_PRAZO&gt;=24),-15,0)))</f>
        <v>65</v>
      </c>
      <c r="Q31" s="144" t="n">
        <f aca="false">IF(OR($B31="",$J31&lt;&gt;"SIM",$K31=0,$L31=0),0,ROUND(($M31*$B$7+$N31*$C$7+$O31*$D$7+$P31*$E$7)/MAX(1,$B$7+$C$7+$D$7+$E$7),1))</f>
        <v>91.3</v>
      </c>
      <c r="R31" s="145" t="n">
        <f aca="false">IF($H31="IMOVEL",0,$Q31+ROW()/1000000)</f>
        <v>91.300031</v>
      </c>
      <c r="S31" s="146" t="str">
        <f aca="false">IF($B31="","",IF($Q31=0,"Não indicado agora",IF($Q31&gt;=75,"Pode fazer sentido",IF($Q31&gt;=50,"Talvez faça sentido","Provavelmente não é o mais indicado"))))</f>
        <v>Pode fazer sentido</v>
      </c>
      <c r="T31" s="147" t="str">
        <f aca="false">IF($B31="","",IF($Q31=0,IF($K31=0,"O valor disponível é menor que a aplicação mínima deste produto.",IF($L31=0,"O risco deste produto está acima do perfil declarado pelo cliente.","Produto não está ativo na base.")),IF($Q31&lt;50,"Encaixa pouco no que foi pedido — veja o ponto de atenção ao lado.",IF($H31="ISENTO","Não paga Imposto de Renda para pessoa física.",IF($W31="PRE","A taxa fica travada na contratação: não cai se os juros da economia caírem.",IF($W31="IPCA","Protege o poder de compra: rende a inflação mais uma taxa fixa por cima.",IF(AND($E31=0,$F31&lt;=1),"O dinheiro pode ser retirado praticamente a qualquer momento.",IF(AND($H31="PREV_REGR",IN_PRAZO&gt;=120),"No prazo escolhido a previdência alcança a menor alíquota de imposto (10%).",IF($D31&gt;=4,"Pode render mais no prazo longo, aceitando oscilação pelo caminho.","Combina com o prazo, a liquidez e a prioridade informados.")))))))))</f>
        <v>No prazo escolhido a previdência alcança a menor alíquota de imposto (10%).</v>
      </c>
      <c r="U31" s="147" t="str">
        <f aca="false">IF($B31="","",IF($E31&gt;0,"Carência de "&amp;$E31&amp;" dias: não dá para resgatar antes.",IF($F31&gt;60,"Não é dinheiro rápido: leva meses para virar caixa.",IF(LEFT($H31,4)="PREV",IF(IN_PRAZO&lt;24,"Resgate antes de 2 anos paga 35% de imposto.","Não tem cobertura do FGC: quem responde pelo dinheiro é a seguradora."),IF($D31&gt;=4,"Pode cair no caminho e demorar a se recuperar.",IF(AND($H31="RF_REGR",$X31&gt;=0.03),"Se vender antes do vencimento, o preço pode estar abaixo do que você pagou.",IF($X31&gt;=0.03,"O valor oscila mês a mês: em prazo curto pode estar abaixo do que você aplicou.",IF($H31="FUNDO_LP","Tem come-cotas em maio e novembro, que antecipam parte do imposto.",IF($F31&gt;7,"Para o dinheiro cair na conta leva cerca de "&amp;$F31&amp;" dias.",IF($I31&gt;=0.015,"Taxa de administração alta em relação ao retorno esperado.","Confirme prazo, liquidez e tributação antes de contratar."))))))))))</f>
        <v>Não tem cobertura do FGC: quem responde pelo dinheiro é a seguradora.</v>
      </c>
      <c r="V31" s="148" t="n">
        <f aca="false">IF($B31="","",IFERROR(IF(Produtos!$H31="MULT",(1+INDEX(TAB_MACRO_VAL,MATCH(Produtos!$E31,TAB_MACRO_COD,0))*Produtos!$F31)*(1+Produtos!$G31)-1,INDEX(TAB_MACRO_VAL,MATCH(Produtos!$E31,TAB_MACRO_COD,0))*Produtos!$F31+Produtos!$G31),""))</f>
        <v>0.124</v>
      </c>
      <c r="W31" s="74" t="str">
        <f aca="false">IF(Produtos!$B31="","",Produtos!$E31)</f>
        <v>CDI</v>
      </c>
      <c r="X31" s="76" t="n">
        <f aca="false">IF(Produtos!$B31="",0,Produtos!$U31)</f>
        <v>0.06</v>
      </c>
    </row>
    <row r="32" customFormat="false" ht="21.75" hidden="false" customHeight="true" outlineLevel="0" collapsed="false">
      <c r="A32" s="74" t="str">
        <f aca="false">IF(Produtos!$B32="","",Produtos!$A32)</f>
        <v>IM01</v>
      </c>
      <c r="B32" s="142" t="str">
        <f aca="false">IF(Produtos!$B32="","",Produtos!$B32)</f>
        <v>Imóvel para aluguel</v>
      </c>
      <c r="C32" s="74" t="str">
        <f aca="false">IF(Produtos!$B32="","",Produtos!$C32)</f>
        <v>Imobiliário</v>
      </c>
      <c r="D32" s="77" t="n">
        <f aca="false">IF(Produtos!$B32="",0,Produtos!$T32)</f>
        <v>3</v>
      </c>
      <c r="E32" s="77" t="n">
        <f aca="false">IF(Produtos!$B32="",0,Produtos!$P32)</f>
        <v>0</v>
      </c>
      <c r="F32" s="77" t="n">
        <f aca="false">IF(Produtos!$B32="",0,Produtos!$Q32)</f>
        <v>180</v>
      </c>
      <c r="G32" s="78" t="n">
        <f aca="false">IF(Produtos!$B32="",0,Produtos!$R32)</f>
        <v>50000</v>
      </c>
      <c r="H32" s="74" t="str">
        <f aca="false">IF(Produtos!$B32="","",Produtos!$N32)</f>
        <v>IMOVEL</v>
      </c>
      <c r="I32" s="76" t="n">
        <f aca="false">IF(Produtos!$B32="",0,Produtos!$I32)</f>
        <v>0</v>
      </c>
      <c r="J32" s="74" t="str">
        <f aca="false">IF(Produtos!$B32="","NÃO",Produtos!$AD32)</f>
        <v>SIM</v>
      </c>
      <c r="K32" s="143" t="n">
        <f aca="false">IF(AND($B32&lt;&gt;"",IN_CAPITAL&gt;=$G32),1,0)</f>
        <v>1</v>
      </c>
      <c r="L32" s="143" t="n">
        <f aca="false">IF(AND($B32&lt;&gt;"",$D32&lt;=IFERROR(INDEX(Premissas!$B$102:$B$104,MATCH(IN_PERFIL,Premissas!$A$102:$A$104,0)),5)),1,0)</f>
        <v>1</v>
      </c>
      <c r="M32" s="143" t="n">
        <f aca="false">IF(IN_PRAZO*30&lt;$E32,0,IF($D32&gt;=4,IF(IN_PRAZO&gt;=60,100,IF(IN_PRAZO&gt;=36,60,IF(IN_PRAZO&gt;=24,30,0))),IF($D32=3,IF(IN_PRAZO&gt;=24,100,IF(IN_PRAZO&gt;=12,70,40)),100)))</f>
        <v>100</v>
      </c>
      <c r="N32" s="143" t="n">
        <f aca="false">IF(IN_RESGATE="Sim",IF($E32+$F32&lt;=3,100,IF($E32+$F32&lt;=31,50,0)),IF(IN_RESGATE="Talvez",IF($E32+$F32&lt;=90,100,IF($E32+$F32&lt;=360,50,20)),100))</f>
        <v>50</v>
      </c>
      <c r="O32" s="143" t="n">
        <f aca="false">IF($D32=0,0,IFERROR(INDEX($B$98:$F$101,MATCH(IN_PRIORIDADE,$A$98:$A$101,0),$D32),0))</f>
        <v>90</v>
      </c>
      <c r="P32" s="143" t="n">
        <f aca="false">MAX(0,MIN(100,60+IF($H32="ISENTO",25,0)+IF($I32&lt;=0.005,15,IF($I32&gt;=0.015,-15,0))+IF(AND($H32="PREV_REGR",IN_PRAZO&gt;=120),20,0)+IF(AND($H32="FUNDO_LP",IN_PRAZO&lt;=12),-10,0)+IF(AND($H32="FUNDO_CP",IN_PRAZO&gt;=24),-15,0)))</f>
        <v>75</v>
      </c>
      <c r="Q32" s="144" t="n">
        <f aca="false">IF(OR($B32="",$J32&lt;&gt;"SIM",$K32=0,$L32=0),0,ROUND(($M32*$B$7+$N32*$C$7+$O32*$D$7+$P32*$E$7)/MAX(1,$B$7+$C$7+$D$7+$E$7),1))</f>
        <v>80.3</v>
      </c>
      <c r="R32" s="145" t="n">
        <f aca="false">IF($H32="IMOVEL",0,$Q32+ROW()/1000000)</f>
        <v>0</v>
      </c>
      <c r="S32" s="146" t="str">
        <f aca="false">IF($B32="","",IF($Q32=0,"Não indicado agora",IF($Q32&gt;=75,"Pode fazer sentido",IF($Q32&gt;=50,"Talvez faça sentido","Provavelmente não é o mais indicado"))))</f>
        <v>Pode fazer sentido</v>
      </c>
      <c r="T32" s="147" t="str">
        <f aca="false">IF($B32="","",IF($Q32=0,IF($K32=0,"O valor disponível é menor que a aplicação mínima deste produto.",IF($L32=0,"O risco deste produto está acima do perfil declarado pelo cliente.","Produto não está ativo na base.")),IF($Q32&lt;50,"Encaixa pouco no que foi pedido — veja o ponto de atenção ao lado.",IF($H32="ISENTO","Não paga Imposto de Renda para pessoa física.",IF($W32="PRE","A taxa fica travada na contratação: não cai se os juros da economia caírem.",IF($W32="IPCA","Protege o poder de compra: rende a inflação mais uma taxa fixa por cima.",IF(AND($E32=0,$F32&lt;=1),"O dinheiro pode ser retirado praticamente a qualquer momento.",IF(AND($H32="PREV_REGR",IN_PRAZO&gt;=120),"No prazo escolhido a previdência alcança a menor alíquota de imposto (10%).",IF($D32&gt;=4,"Pode render mais no prazo longo, aceitando oscilação pelo caminho.","Combina com o prazo, a liquidez e a prioridade informados.")))))))))</f>
        <v>Combina com o prazo, a liquidez e a prioridade informados.</v>
      </c>
      <c r="U32" s="147" t="str">
        <f aca="false">IF($B32="","",IF($E32&gt;0,"Carência de "&amp;$E32&amp;" dias: não dá para resgatar antes.",IF($F32&gt;60,"Não é dinheiro rápido: leva meses para virar caixa.",IF(LEFT($H32,4)="PREV",IF(IN_PRAZO&lt;24,"Resgate antes de 2 anos paga 35% de imposto.","Não tem cobertura do FGC: quem responde pelo dinheiro é a seguradora."),IF($D32&gt;=4,"Pode cair no caminho e demorar a se recuperar.",IF(AND($H32="RF_REGR",$X32&gt;=0.03),"Se vender antes do vencimento, o preço pode estar abaixo do que você pagou.",IF($X32&gt;=0.03,"O valor oscila mês a mês: em prazo curto pode estar abaixo do que você aplicou.",IF($H32="FUNDO_LP","Tem come-cotas em maio e novembro, que antecipam parte do imposto.",IF($F32&gt;7,"Para o dinheiro cair na conta leva cerca de "&amp;$F32&amp;" dias.",IF($I32&gt;=0.015,"Taxa de administração alta em relação ao retorno esperado.","Confirme prazo, liquidez e tributação antes de contratar."))))))))))</f>
        <v>Não é dinheiro rápido: leva meses para virar caixa.</v>
      </c>
      <c r="V32" s="148" t="n">
        <f aca="false">IF($B32="","",IFERROR(IF(Produtos!$H32="MULT",(1+INDEX(TAB_MACRO_VAL,MATCH(Produtos!$E32,TAB_MACRO_COD,0))*Produtos!$F32)*(1+Produtos!$G32)-1,INDEX(TAB_MACRO_VAL,MATCH(Produtos!$E32,TAB_MACRO_COD,0))*Produtos!$F32+Produtos!$G32),""))</f>
        <v>0.04</v>
      </c>
      <c r="W32" s="74" t="str">
        <f aca="false">IF(Produtos!$B32="","",Produtos!$E32)</f>
        <v>IMOB_VAL</v>
      </c>
      <c r="X32" s="76" t="n">
        <f aca="false">IF(Produtos!$B32="",0,Produtos!$U32)</f>
        <v>0.07</v>
      </c>
    </row>
    <row r="33" customFormat="false" ht="21.75" hidden="false" customHeight="true" outlineLevel="0" collapsed="false">
      <c r="A33" s="74" t="str">
        <f aca="false">IF(Produtos!$B33="","",Produtos!$A33)</f>
        <v>ZZ99</v>
      </c>
      <c r="B33" s="142" t="str">
        <f aca="false">IF(Produtos!$B33="","",Produtos!$B33)</f>
        <v>► EXEMPLO — copie esta linha para cadastrar um produto novo</v>
      </c>
      <c r="C33" s="74" t="str">
        <f aca="false">IF(Produtos!$B33="","",Produtos!$C33)</f>
        <v>Renda Fixa</v>
      </c>
      <c r="D33" s="77" t="n">
        <f aca="false">IF(Produtos!$B33="",0,Produtos!$T33)</f>
        <v>2</v>
      </c>
      <c r="E33" s="77" t="n">
        <f aca="false">IF(Produtos!$B33="",0,Produtos!$P33)</f>
        <v>0</v>
      </c>
      <c r="F33" s="77" t="n">
        <f aca="false">IF(Produtos!$B33="",0,Produtos!$Q33)</f>
        <v>0</v>
      </c>
      <c r="G33" s="78" t="n">
        <f aca="false">IF(Produtos!$B33="",0,Produtos!$R33)</f>
        <v>1000</v>
      </c>
      <c r="H33" s="74" t="str">
        <f aca="false">IF(Produtos!$B33="","",Produtos!$N33)</f>
        <v>RF_REGR</v>
      </c>
      <c r="I33" s="76" t="n">
        <f aca="false">IF(Produtos!$B33="",0,Produtos!$I33)</f>
        <v>0</v>
      </c>
      <c r="J33" s="74" t="str">
        <f aca="false">IF(Produtos!$B33="","NÃO",Produtos!$AD33)</f>
        <v>NÃO</v>
      </c>
      <c r="K33" s="143" t="n">
        <f aca="false">IF(AND($B33&lt;&gt;"",IN_CAPITAL&gt;=$G33),1,0)</f>
        <v>1</v>
      </c>
      <c r="L33" s="143" t="n">
        <f aca="false">IF(AND($B33&lt;&gt;"",$D33&lt;=IFERROR(INDEX(Premissas!$B$102:$B$104,MATCH(IN_PERFIL,Premissas!$A$102:$A$104,0)),5)),1,0)</f>
        <v>1</v>
      </c>
      <c r="M33" s="143" t="n">
        <f aca="false">IF(IN_PRAZO*30&lt;$E33,0,IF($D33&gt;=4,IF(IN_PRAZO&gt;=60,100,IF(IN_PRAZO&gt;=36,60,IF(IN_PRAZO&gt;=24,30,0))),IF($D33=3,IF(IN_PRAZO&gt;=24,100,IF(IN_PRAZO&gt;=12,70,40)),100)))</f>
        <v>100</v>
      </c>
      <c r="N33" s="143" t="n">
        <f aca="false">IF(IN_RESGATE="Sim",IF($E33+$F33&lt;=3,100,IF($E33+$F33&lt;=31,50,0)),IF(IN_RESGATE="Talvez",IF($E33+$F33&lt;=90,100,IF($E33+$F33&lt;=360,50,20)),100))</f>
        <v>100</v>
      </c>
      <c r="O33" s="143" t="n">
        <f aca="false">IF($D33=0,0,IFERROR(INDEX($B$98:$F$101,MATCH(IN_PRIORIDADE,$A$98:$A$101,0),$D33),0))</f>
        <v>100</v>
      </c>
      <c r="P33" s="143" t="n">
        <f aca="false">MAX(0,MIN(100,60+IF($H33="ISENTO",25,0)+IF($I33&lt;=0.005,15,IF($I33&gt;=0.015,-15,0))+IF(AND($H33="PREV_REGR",IN_PRAZO&gt;=120),20,0)+IF(AND($H33="FUNDO_LP",IN_PRAZO&lt;=12),-10,0)+IF(AND($H33="FUNDO_CP",IN_PRAZO&gt;=24),-15,0)))</f>
        <v>75</v>
      </c>
      <c r="Q33" s="144" t="n">
        <f aca="false">IF(OR($B33="",$J33&lt;&gt;"SIM",$K33=0,$L33=0),0,ROUND(($M33*$B$7+$N33*$C$7+$O33*$D$7+$P33*$E$7)/MAX(1,$B$7+$C$7+$D$7+$E$7),1))</f>
        <v>0</v>
      </c>
      <c r="R33" s="145" t="n">
        <f aca="false">IF($H33="IMOVEL",0,$Q33+ROW()/1000000)</f>
        <v>3.3E-005</v>
      </c>
      <c r="S33" s="146" t="str">
        <f aca="false">IF($B33="","",IF($Q33=0,"Não indicado agora",IF($Q33&gt;=75,"Pode fazer sentido",IF($Q33&gt;=50,"Talvez faça sentido","Provavelmente não é o mais indicado"))))</f>
        <v>Não indicado agora</v>
      </c>
      <c r="T33" s="147" t="str">
        <f aca="false">IF($B33="","",IF($Q33=0,IF($K33=0,"O valor disponível é menor que a aplicação mínima deste produto.",IF($L33=0,"O risco deste produto está acima do perfil declarado pelo cliente.","Produto não está ativo na base.")),IF($Q33&lt;50,"Encaixa pouco no que foi pedido — veja o ponto de atenção ao lado.",IF($H33="ISENTO","Não paga Imposto de Renda para pessoa física.",IF($W33="PRE","A taxa fica travada na contratação: não cai se os juros da economia caírem.",IF($W33="IPCA","Protege o poder de compra: rende a inflação mais uma taxa fixa por cima.",IF(AND($E33=0,$F33&lt;=1),"O dinheiro pode ser retirado praticamente a qualquer momento.",IF(AND($H33="PREV_REGR",IN_PRAZO&gt;=120),"No prazo escolhido a previdência alcança a menor alíquota de imposto (10%).",IF($D33&gt;=4,"Pode render mais no prazo longo, aceitando oscilação pelo caminho.","Combina com o prazo, a liquidez e a prioridade informados.")))))))))</f>
        <v>Produto não está ativo na base.</v>
      </c>
      <c r="U33" s="147" t="str">
        <f aca="false">IF($B33="","",IF($E33&gt;0,"Carência de "&amp;$E33&amp;" dias: não dá para resgatar antes.",IF($F33&gt;60,"Não é dinheiro rápido: leva meses para virar caixa.",IF(LEFT($H33,4)="PREV",IF(IN_PRAZO&lt;24,"Resgate antes de 2 anos paga 35% de imposto.","Não tem cobertura do FGC: quem responde pelo dinheiro é a seguradora."),IF($D33&gt;=4,"Pode cair no caminho e demorar a se recuperar.",IF(AND($H33="RF_REGR",$X33&gt;=0.03),"Se vender antes do vencimento, o preço pode estar abaixo do que você pagou.",IF($X33&gt;=0.03,"O valor oscila mês a mês: em prazo curto pode estar abaixo do que você aplicou.",IF($H33="FUNDO_LP","Tem come-cotas em maio e novembro, que antecipam parte do imposto.",IF($F33&gt;7,"Para o dinheiro cair na conta leva cerca de "&amp;$F33&amp;" dias.",IF($I33&gt;=0.015,"Taxa de administração alta em relação ao retorno esperado.","Confirme prazo, liquidez e tributação antes de contratar."))))))))))</f>
        <v>Confirme prazo, liquidez e tributação antes de contratar.</v>
      </c>
      <c r="V33" s="148" t="n">
        <f aca="false">IF($B33="","",IFERROR(IF(Produtos!$H33="MULT",(1+INDEX(TAB_MACRO_VAL,MATCH(Produtos!$E33,TAB_MACRO_COD,0))*Produtos!$F33)*(1+Produtos!$G33)-1,INDEX(TAB_MACRO_VAL,MATCH(Produtos!$E33,TAB_MACRO_COD,0))*Produtos!$F33+Produtos!$G33),""))</f>
        <v>0.11445</v>
      </c>
      <c r="W33" s="74" t="str">
        <f aca="false">IF(Produtos!$B33="","",Produtos!$E33)</f>
        <v>CDI</v>
      </c>
      <c r="X33" s="76" t="n">
        <f aca="false">IF(Produtos!$B33="",0,Produtos!$U33)</f>
        <v>0.005</v>
      </c>
    </row>
    <row r="34" customFormat="false" ht="21.75" hidden="false" customHeight="true" outlineLevel="0" collapsed="false">
      <c r="A34" s="74" t="str">
        <f aca="false">IF(Produtos!$B34="","",Produtos!$A34)</f>
        <v/>
      </c>
      <c r="B34" s="142" t="str">
        <f aca="false">IF(Produtos!$B34="","",Produtos!$B34)</f>
        <v/>
      </c>
      <c r="C34" s="74" t="str">
        <f aca="false">IF(Produtos!$B34="","",Produtos!$C34)</f>
        <v/>
      </c>
      <c r="D34" s="77" t="n">
        <f aca="false">IF(Produtos!$B34="",0,Produtos!$T34)</f>
        <v>0</v>
      </c>
      <c r="E34" s="77" t="n">
        <f aca="false">IF(Produtos!$B34="",0,Produtos!$P34)</f>
        <v>0</v>
      </c>
      <c r="F34" s="77" t="n">
        <f aca="false">IF(Produtos!$B34="",0,Produtos!$Q34)</f>
        <v>0</v>
      </c>
      <c r="G34" s="78" t="n">
        <f aca="false">IF(Produtos!$B34="",0,Produtos!$R34)</f>
        <v>0</v>
      </c>
      <c r="H34" s="74" t="str">
        <f aca="false">IF(Produtos!$B34="","",Produtos!$N34)</f>
        <v/>
      </c>
      <c r="I34" s="76" t="n">
        <f aca="false">IF(Produtos!$B34="",0,Produtos!$I34)</f>
        <v>0</v>
      </c>
      <c r="J34" s="74" t="str">
        <f aca="false">IF(Produtos!$B34="","NÃO",Produtos!$AD34)</f>
        <v>NÃO</v>
      </c>
      <c r="K34" s="143" t="n">
        <f aca="false">IF(AND($B34&lt;&gt;"",IN_CAPITAL&gt;=$G34),1,0)</f>
        <v>0</v>
      </c>
      <c r="L34" s="143" t="n">
        <f aca="false">IF(AND($B34&lt;&gt;"",$D34&lt;=IFERROR(INDEX(Premissas!$B$102:$B$104,MATCH(IN_PERFIL,Premissas!$A$102:$A$104,0)),5)),1,0)</f>
        <v>0</v>
      </c>
      <c r="M34" s="143" t="n">
        <f aca="false">IF(IN_PRAZO*30&lt;$E34,0,IF($D34&gt;=4,IF(IN_PRAZO&gt;=60,100,IF(IN_PRAZO&gt;=36,60,IF(IN_PRAZO&gt;=24,30,0))),IF($D34=3,IF(IN_PRAZO&gt;=24,100,IF(IN_PRAZO&gt;=12,70,40)),100)))</f>
        <v>100</v>
      </c>
      <c r="N34" s="143" t="n">
        <f aca="false">IF(IN_RESGATE="Sim",IF($E34+$F34&lt;=3,100,IF($E34+$F34&lt;=31,50,0)),IF(IN_RESGATE="Talvez",IF($E34+$F34&lt;=90,100,IF($E34+$F34&lt;=360,50,20)),100))</f>
        <v>100</v>
      </c>
      <c r="O34" s="143" t="n">
        <f aca="false">IF($D34=0,0,IFERROR(INDEX($B$98:$F$101,MATCH(IN_PRIORIDADE,$A$98:$A$101,0),$D34),0))</f>
        <v>0</v>
      </c>
      <c r="P34" s="143" t="n">
        <f aca="false">MAX(0,MIN(100,60+IF($H34="ISENTO",25,0)+IF($I34&lt;=0.005,15,IF($I34&gt;=0.015,-15,0))+IF(AND($H34="PREV_REGR",IN_PRAZO&gt;=120),20,0)+IF(AND($H34="FUNDO_LP",IN_PRAZO&lt;=12),-10,0)+IF(AND($H34="FUNDO_CP",IN_PRAZO&gt;=24),-15,0)))</f>
        <v>75</v>
      </c>
      <c r="Q34" s="144" t="n">
        <f aca="false">IF(OR($B34="",$J34&lt;&gt;"SIM",$K34=0,$L34=0),0,ROUND(($M34*$B$7+$N34*$C$7+$O34*$D$7+$P34*$E$7)/MAX(1,$B$7+$C$7+$D$7+$E$7),1))</f>
        <v>0</v>
      </c>
      <c r="R34" s="145" t="n">
        <f aca="false">IF($H34="IMOVEL",0,$Q34+ROW()/1000000)</f>
        <v>3.4E-005</v>
      </c>
      <c r="S34" s="146" t="str">
        <f aca="false">IF($B34="","",IF($Q34=0,"Não indicado agora",IF($Q34&gt;=75,"Pode fazer sentido",IF($Q34&gt;=50,"Talvez faça sentido","Provavelmente não é o mais indicado"))))</f>
        <v/>
      </c>
      <c r="T34" s="147" t="str">
        <f aca="false">IF($B34="","",IF($Q34=0,IF($K34=0,"O valor disponível é menor que a aplicação mínima deste produto.",IF($L34=0,"O risco deste produto está acima do perfil declarado pelo cliente.","Produto não está ativo na base.")),IF($Q34&lt;50,"Encaixa pouco no que foi pedido — veja o ponto de atenção ao lado.",IF($H34="ISENTO","Não paga Imposto de Renda para pessoa física.",IF($W34="PRE","A taxa fica travada na contratação: não cai se os juros da economia caírem.",IF($W34="IPCA","Protege o poder de compra: rende a inflação mais uma taxa fixa por cima.",IF(AND($E34=0,$F34&lt;=1),"O dinheiro pode ser retirado praticamente a qualquer momento.",IF(AND($H34="PREV_REGR",IN_PRAZO&gt;=120),"No prazo escolhido a previdência alcança a menor alíquota de imposto (10%).",IF($D34&gt;=4,"Pode render mais no prazo longo, aceitando oscilação pelo caminho.","Combina com o prazo, a liquidez e a prioridade informados.")))))))))</f>
        <v/>
      </c>
      <c r="U34" s="147" t="str">
        <f aca="false">IF($B34="","",IF($E34&gt;0,"Carência de "&amp;$E34&amp;" dias: não dá para resgatar antes.",IF($F34&gt;60,"Não é dinheiro rápido: leva meses para virar caixa.",IF(LEFT($H34,4)="PREV",IF(IN_PRAZO&lt;24,"Resgate antes de 2 anos paga 35% de imposto.","Não tem cobertura do FGC: quem responde pelo dinheiro é a seguradora."),IF($D34&gt;=4,"Pode cair no caminho e demorar a se recuperar.",IF(AND($H34="RF_REGR",$X34&gt;=0.03),"Se vender antes do vencimento, o preço pode estar abaixo do que você pagou.",IF($X34&gt;=0.03,"O valor oscila mês a mês: em prazo curto pode estar abaixo do que você aplicou.",IF($H34="FUNDO_LP","Tem come-cotas em maio e novembro, que antecipam parte do imposto.",IF($F34&gt;7,"Para o dinheiro cair na conta leva cerca de "&amp;$F34&amp;" dias.",IF($I34&gt;=0.015,"Taxa de administração alta em relação ao retorno esperado.","Confirme prazo, liquidez e tributação antes de contratar."))))))))))</f>
        <v/>
      </c>
      <c r="V34" s="148" t="str">
        <f aca="false">IF($B34="","",IFERROR(IF(Produtos!$H34="MULT",(1+INDEX(TAB_MACRO_VAL,MATCH(Produtos!$E34,TAB_MACRO_COD,0))*Produtos!$F34)*(1+Produtos!$G34)-1,INDEX(TAB_MACRO_VAL,MATCH(Produtos!$E34,TAB_MACRO_COD,0))*Produtos!$F34+Produtos!$G34),""))</f>
        <v/>
      </c>
      <c r="W34" s="74" t="str">
        <f aca="false">IF(Produtos!$B34="","",Produtos!$E34)</f>
        <v/>
      </c>
      <c r="X34" s="76" t="n">
        <f aca="false">IF(Produtos!$B34="",0,Produtos!$U34)</f>
        <v>0</v>
      </c>
    </row>
    <row r="35" customFormat="false" ht="21.75" hidden="false" customHeight="true" outlineLevel="0" collapsed="false">
      <c r="A35" s="74" t="str">
        <f aca="false">IF(Produtos!$B35="","",Produtos!$A35)</f>
        <v/>
      </c>
      <c r="B35" s="142" t="str">
        <f aca="false">IF(Produtos!$B35="","",Produtos!$B35)</f>
        <v/>
      </c>
      <c r="C35" s="74" t="str">
        <f aca="false">IF(Produtos!$B35="","",Produtos!$C35)</f>
        <v/>
      </c>
      <c r="D35" s="77" t="n">
        <f aca="false">IF(Produtos!$B35="",0,Produtos!$T35)</f>
        <v>0</v>
      </c>
      <c r="E35" s="77" t="n">
        <f aca="false">IF(Produtos!$B35="",0,Produtos!$P35)</f>
        <v>0</v>
      </c>
      <c r="F35" s="77" t="n">
        <f aca="false">IF(Produtos!$B35="",0,Produtos!$Q35)</f>
        <v>0</v>
      </c>
      <c r="G35" s="78" t="n">
        <f aca="false">IF(Produtos!$B35="",0,Produtos!$R35)</f>
        <v>0</v>
      </c>
      <c r="H35" s="74" t="str">
        <f aca="false">IF(Produtos!$B35="","",Produtos!$N35)</f>
        <v/>
      </c>
      <c r="I35" s="76" t="n">
        <f aca="false">IF(Produtos!$B35="",0,Produtos!$I35)</f>
        <v>0</v>
      </c>
      <c r="J35" s="74" t="str">
        <f aca="false">IF(Produtos!$B35="","NÃO",Produtos!$AD35)</f>
        <v>NÃO</v>
      </c>
      <c r="K35" s="143" t="n">
        <f aca="false">IF(AND($B35&lt;&gt;"",IN_CAPITAL&gt;=$G35),1,0)</f>
        <v>0</v>
      </c>
      <c r="L35" s="143" t="n">
        <f aca="false">IF(AND($B35&lt;&gt;"",$D35&lt;=IFERROR(INDEX(Premissas!$B$102:$B$104,MATCH(IN_PERFIL,Premissas!$A$102:$A$104,0)),5)),1,0)</f>
        <v>0</v>
      </c>
      <c r="M35" s="143" t="n">
        <f aca="false">IF(IN_PRAZO*30&lt;$E35,0,IF($D35&gt;=4,IF(IN_PRAZO&gt;=60,100,IF(IN_PRAZO&gt;=36,60,IF(IN_PRAZO&gt;=24,30,0))),IF($D35=3,IF(IN_PRAZO&gt;=24,100,IF(IN_PRAZO&gt;=12,70,40)),100)))</f>
        <v>100</v>
      </c>
      <c r="N35" s="143" t="n">
        <f aca="false">IF(IN_RESGATE="Sim",IF($E35+$F35&lt;=3,100,IF($E35+$F35&lt;=31,50,0)),IF(IN_RESGATE="Talvez",IF($E35+$F35&lt;=90,100,IF($E35+$F35&lt;=360,50,20)),100))</f>
        <v>100</v>
      </c>
      <c r="O35" s="143" t="n">
        <f aca="false">IF($D35=0,0,IFERROR(INDEX($B$98:$F$101,MATCH(IN_PRIORIDADE,$A$98:$A$101,0),$D35),0))</f>
        <v>0</v>
      </c>
      <c r="P35" s="143" t="n">
        <f aca="false">MAX(0,MIN(100,60+IF($H35="ISENTO",25,0)+IF($I35&lt;=0.005,15,IF($I35&gt;=0.015,-15,0))+IF(AND($H35="PREV_REGR",IN_PRAZO&gt;=120),20,0)+IF(AND($H35="FUNDO_LP",IN_PRAZO&lt;=12),-10,0)+IF(AND($H35="FUNDO_CP",IN_PRAZO&gt;=24),-15,0)))</f>
        <v>75</v>
      </c>
      <c r="Q35" s="144" t="n">
        <f aca="false">IF(OR($B35="",$J35&lt;&gt;"SIM",$K35=0,$L35=0),0,ROUND(($M35*$B$7+$N35*$C$7+$O35*$D$7+$P35*$E$7)/MAX(1,$B$7+$C$7+$D$7+$E$7),1))</f>
        <v>0</v>
      </c>
      <c r="R35" s="145" t="n">
        <f aca="false">IF($H35="IMOVEL",0,$Q35+ROW()/1000000)</f>
        <v>3.5E-005</v>
      </c>
      <c r="S35" s="146" t="str">
        <f aca="false">IF($B35="","",IF($Q35=0,"Não indicado agora",IF($Q35&gt;=75,"Pode fazer sentido",IF($Q35&gt;=50,"Talvez faça sentido","Provavelmente não é o mais indicado"))))</f>
        <v/>
      </c>
      <c r="T35" s="147" t="str">
        <f aca="false">IF($B35="","",IF($Q35=0,IF($K35=0,"O valor disponível é menor que a aplicação mínima deste produto.",IF($L35=0,"O risco deste produto está acima do perfil declarado pelo cliente.","Produto não está ativo na base.")),IF($Q35&lt;50,"Encaixa pouco no que foi pedido — veja o ponto de atenção ao lado.",IF($H35="ISENTO","Não paga Imposto de Renda para pessoa física.",IF($W35="PRE","A taxa fica travada na contratação: não cai se os juros da economia caírem.",IF($W35="IPCA","Protege o poder de compra: rende a inflação mais uma taxa fixa por cima.",IF(AND($E35=0,$F35&lt;=1),"O dinheiro pode ser retirado praticamente a qualquer momento.",IF(AND($H35="PREV_REGR",IN_PRAZO&gt;=120),"No prazo escolhido a previdência alcança a menor alíquota de imposto (10%).",IF($D35&gt;=4,"Pode render mais no prazo longo, aceitando oscilação pelo caminho.","Combina com o prazo, a liquidez e a prioridade informados.")))))))))</f>
        <v/>
      </c>
      <c r="U35" s="147" t="str">
        <f aca="false">IF($B35="","",IF($E35&gt;0,"Carência de "&amp;$E35&amp;" dias: não dá para resgatar antes.",IF($F35&gt;60,"Não é dinheiro rápido: leva meses para virar caixa.",IF(LEFT($H35,4)="PREV",IF(IN_PRAZO&lt;24,"Resgate antes de 2 anos paga 35% de imposto.","Não tem cobertura do FGC: quem responde pelo dinheiro é a seguradora."),IF($D35&gt;=4,"Pode cair no caminho e demorar a se recuperar.",IF(AND($H35="RF_REGR",$X35&gt;=0.03),"Se vender antes do vencimento, o preço pode estar abaixo do que você pagou.",IF($X35&gt;=0.03,"O valor oscila mês a mês: em prazo curto pode estar abaixo do que você aplicou.",IF($H35="FUNDO_LP","Tem come-cotas em maio e novembro, que antecipam parte do imposto.",IF($F35&gt;7,"Para o dinheiro cair na conta leva cerca de "&amp;$F35&amp;" dias.",IF($I35&gt;=0.015,"Taxa de administração alta em relação ao retorno esperado.","Confirme prazo, liquidez e tributação antes de contratar."))))))))))</f>
        <v/>
      </c>
      <c r="V35" s="148" t="str">
        <f aca="false">IF($B35="","",IFERROR(IF(Produtos!$H35="MULT",(1+INDEX(TAB_MACRO_VAL,MATCH(Produtos!$E35,TAB_MACRO_COD,0))*Produtos!$F35)*(1+Produtos!$G35)-1,INDEX(TAB_MACRO_VAL,MATCH(Produtos!$E35,TAB_MACRO_COD,0))*Produtos!$F35+Produtos!$G35),""))</f>
        <v/>
      </c>
      <c r="W35" s="74" t="str">
        <f aca="false">IF(Produtos!$B35="","",Produtos!$E35)</f>
        <v/>
      </c>
      <c r="X35" s="76" t="n">
        <f aca="false">IF(Produtos!$B35="",0,Produtos!$U35)</f>
        <v>0</v>
      </c>
    </row>
    <row r="36" customFormat="false" ht="21.75" hidden="false" customHeight="true" outlineLevel="0" collapsed="false">
      <c r="A36" s="74" t="str">
        <f aca="false">IF(Produtos!$B36="","",Produtos!$A36)</f>
        <v/>
      </c>
      <c r="B36" s="142" t="str">
        <f aca="false">IF(Produtos!$B36="","",Produtos!$B36)</f>
        <v/>
      </c>
      <c r="C36" s="74" t="str">
        <f aca="false">IF(Produtos!$B36="","",Produtos!$C36)</f>
        <v/>
      </c>
      <c r="D36" s="77" t="n">
        <f aca="false">IF(Produtos!$B36="",0,Produtos!$T36)</f>
        <v>0</v>
      </c>
      <c r="E36" s="77" t="n">
        <f aca="false">IF(Produtos!$B36="",0,Produtos!$P36)</f>
        <v>0</v>
      </c>
      <c r="F36" s="77" t="n">
        <f aca="false">IF(Produtos!$B36="",0,Produtos!$Q36)</f>
        <v>0</v>
      </c>
      <c r="G36" s="78" t="n">
        <f aca="false">IF(Produtos!$B36="",0,Produtos!$R36)</f>
        <v>0</v>
      </c>
      <c r="H36" s="74" t="str">
        <f aca="false">IF(Produtos!$B36="","",Produtos!$N36)</f>
        <v/>
      </c>
      <c r="I36" s="76" t="n">
        <f aca="false">IF(Produtos!$B36="",0,Produtos!$I36)</f>
        <v>0</v>
      </c>
      <c r="J36" s="74" t="str">
        <f aca="false">IF(Produtos!$B36="","NÃO",Produtos!$AD36)</f>
        <v>NÃO</v>
      </c>
      <c r="K36" s="143" t="n">
        <f aca="false">IF(AND($B36&lt;&gt;"",IN_CAPITAL&gt;=$G36),1,0)</f>
        <v>0</v>
      </c>
      <c r="L36" s="143" t="n">
        <f aca="false">IF(AND($B36&lt;&gt;"",$D36&lt;=IFERROR(INDEX(Premissas!$B$102:$B$104,MATCH(IN_PERFIL,Premissas!$A$102:$A$104,0)),5)),1,0)</f>
        <v>0</v>
      </c>
      <c r="M36" s="143" t="n">
        <f aca="false">IF(IN_PRAZO*30&lt;$E36,0,IF($D36&gt;=4,IF(IN_PRAZO&gt;=60,100,IF(IN_PRAZO&gt;=36,60,IF(IN_PRAZO&gt;=24,30,0))),IF($D36=3,IF(IN_PRAZO&gt;=24,100,IF(IN_PRAZO&gt;=12,70,40)),100)))</f>
        <v>100</v>
      </c>
      <c r="N36" s="143" t="n">
        <f aca="false">IF(IN_RESGATE="Sim",IF($E36+$F36&lt;=3,100,IF($E36+$F36&lt;=31,50,0)),IF(IN_RESGATE="Talvez",IF($E36+$F36&lt;=90,100,IF($E36+$F36&lt;=360,50,20)),100))</f>
        <v>100</v>
      </c>
      <c r="O36" s="143" t="n">
        <f aca="false">IF($D36=0,0,IFERROR(INDEX($B$98:$F$101,MATCH(IN_PRIORIDADE,$A$98:$A$101,0),$D36),0))</f>
        <v>0</v>
      </c>
      <c r="P36" s="143" t="n">
        <f aca="false">MAX(0,MIN(100,60+IF($H36="ISENTO",25,0)+IF($I36&lt;=0.005,15,IF($I36&gt;=0.015,-15,0))+IF(AND($H36="PREV_REGR",IN_PRAZO&gt;=120),20,0)+IF(AND($H36="FUNDO_LP",IN_PRAZO&lt;=12),-10,0)+IF(AND($H36="FUNDO_CP",IN_PRAZO&gt;=24),-15,0)))</f>
        <v>75</v>
      </c>
      <c r="Q36" s="144" t="n">
        <f aca="false">IF(OR($B36="",$J36&lt;&gt;"SIM",$K36=0,$L36=0),0,ROUND(($M36*$B$7+$N36*$C$7+$O36*$D$7+$P36*$E$7)/MAX(1,$B$7+$C$7+$D$7+$E$7),1))</f>
        <v>0</v>
      </c>
      <c r="R36" s="145" t="n">
        <f aca="false">IF($H36="IMOVEL",0,$Q36+ROW()/1000000)</f>
        <v>3.6E-005</v>
      </c>
      <c r="S36" s="146" t="str">
        <f aca="false">IF($B36="","",IF($Q36=0,"Não indicado agora",IF($Q36&gt;=75,"Pode fazer sentido",IF($Q36&gt;=50,"Talvez faça sentido","Provavelmente não é o mais indicado"))))</f>
        <v/>
      </c>
      <c r="T36" s="147" t="str">
        <f aca="false">IF($B36="","",IF($Q36=0,IF($K36=0,"O valor disponível é menor que a aplicação mínima deste produto.",IF($L36=0,"O risco deste produto está acima do perfil declarado pelo cliente.","Produto não está ativo na base.")),IF($Q36&lt;50,"Encaixa pouco no que foi pedido — veja o ponto de atenção ao lado.",IF($H36="ISENTO","Não paga Imposto de Renda para pessoa física.",IF($W36="PRE","A taxa fica travada na contratação: não cai se os juros da economia caírem.",IF($W36="IPCA","Protege o poder de compra: rende a inflação mais uma taxa fixa por cima.",IF(AND($E36=0,$F36&lt;=1),"O dinheiro pode ser retirado praticamente a qualquer momento.",IF(AND($H36="PREV_REGR",IN_PRAZO&gt;=120),"No prazo escolhido a previdência alcança a menor alíquota de imposto (10%).",IF($D36&gt;=4,"Pode render mais no prazo longo, aceitando oscilação pelo caminho.","Combina com o prazo, a liquidez e a prioridade informados.")))))))))</f>
        <v/>
      </c>
      <c r="U36" s="147" t="str">
        <f aca="false">IF($B36="","",IF($E36&gt;0,"Carência de "&amp;$E36&amp;" dias: não dá para resgatar antes.",IF($F36&gt;60,"Não é dinheiro rápido: leva meses para virar caixa.",IF(LEFT($H36,4)="PREV",IF(IN_PRAZO&lt;24,"Resgate antes de 2 anos paga 35% de imposto.","Não tem cobertura do FGC: quem responde pelo dinheiro é a seguradora."),IF($D36&gt;=4,"Pode cair no caminho e demorar a se recuperar.",IF(AND($H36="RF_REGR",$X36&gt;=0.03),"Se vender antes do vencimento, o preço pode estar abaixo do que você pagou.",IF($X36&gt;=0.03,"O valor oscila mês a mês: em prazo curto pode estar abaixo do que você aplicou.",IF($H36="FUNDO_LP","Tem come-cotas em maio e novembro, que antecipam parte do imposto.",IF($F36&gt;7,"Para o dinheiro cair na conta leva cerca de "&amp;$F36&amp;" dias.",IF($I36&gt;=0.015,"Taxa de administração alta em relação ao retorno esperado.","Confirme prazo, liquidez e tributação antes de contratar."))))))))))</f>
        <v/>
      </c>
      <c r="V36" s="148" t="str">
        <f aca="false">IF($B36="","",IFERROR(IF(Produtos!$H36="MULT",(1+INDEX(TAB_MACRO_VAL,MATCH(Produtos!$E36,TAB_MACRO_COD,0))*Produtos!$F36)*(1+Produtos!$G36)-1,INDEX(TAB_MACRO_VAL,MATCH(Produtos!$E36,TAB_MACRO_COD,0))*Produtos!$F36+Produtos!$G36),""))</f>
        <v/>
      </c>
      <c r="W36" s="74" t="str">
        <f aca="false">IF(Produtos!$B36="","",Produtos!$E36)</f>
        <v/>
      </c>
      <c r="X36" s="76" t="n">
        <f aca="false">IF(Produtos!$B36="",0,Produtos!$U36)</f>
        <v>0</v>
      </c>
    </row>
    <row r="37" customFormat="false" ht="21.75" hidden="false" customHeight="true" outlineLevel="0" collapsed="false">
      <c r="A37" s="74" t="str">
        <f aca="false">IF(Produtos!$B37="","",Produtos!$A37)</f>
        <v/>
      </c>
      <c r="B37" s="142" t="str">
        <f aca="false">IF(Produtos!$B37="","",Produtos!$B37)</f>
        <v/>
      </c>
      <c r="C37" s="74" t="str">
        <f aca="false">IF(Produtos!$B37="","",Produtos!$C37)</f>
        <v/>
      </c>
      <c r="D37" s="77" t="n">
        <f aca="false">IF(Produtos!$B37="",0,Produtos!$T37)</f>
        <v>0</v>
      </c>
      <c r="E37" s="77" t="n">
        <f aca="false">IF(Produtos!$B37="",0,Produtos!$P37)</f>
        <v>0</v>
      </c>
      <c r="F37" s="77" t="n">
        <f aca="false">IF(Produtos!$B37="",0,Produtos!$Q37)</f>
        <v>0</v>
      </c>
      <c r="G37" s="78" t="n">
        <f aca="false">IF(Produtos!$B37="",0,Produtos!$R37)</f>
        <v>0</v>
      </c>
      <c r="H37" s="74" t="str">
        <f aca="false">IF(Produtos!$B37="","",Produtos!$N37)</f>
        <v/>
      </c>
      <c r="I37" s="76" t="n">
        <f aca="false">IF(Produtos!$B37="",0,Produtos!$I37)</f>
        <v>0</v>
      </c>
      <c r="J37" s="74" t="str">
        <f aca="false">IF(Produtos!$B37="","NÃO",Produtos!$AD37)</f>
        <v>NÃO</v>
      </c>
      <c r="K37" s="143" t="n">
        <f aca="false">IF(AND($B37&lt;&gt;"",IN_CAPITAL&gt;=$G37),1,0)</f>
        <v>0</v>
      </c>
      <c r="L37" s="143" t="n">
        <f aca="false">IF(AND($B37&lt;&gt;"",$D37&lt;=IFERROR(INDEX(Premissas!$B$102:$B$104,MATCH(IN_PERFIL,Premissas!$A$102:$A$104,0)),5)),1,0)</f>
        <v>0</v>
      </c>
      <c r="M37" s="143" t="n">
        <f aca="false">IF(IN_PRAZO*30&lt;$E37,0,IF($D37&gt;=4,IF(IN_PRAZO&gt;=60,100,IF(IN_PRAZO&gt;=36,60,IF(IN_PRAZO&gt;=24,30,0))),IF($D37=3,IF(IN_PRAZO&gt;=24,100,IF(IN_PRAZO&gt;=12,70,40)),100)))</f>
        <v>100</v>
      </c>
      <c r="N37" s="143" t="n">
        <f aca="false">IF(IN_RESGATE="Sim",IF($E37+$F37&lt;=3,100,IF($E37+$F37&lt;=31,50,0)),IF(IN_RESGATE="Talvez",IF($E37+$F37&lt;=90,100,IF($E37+$F37&lt;=360,50,20)),100))</f>
        <v>100</v>
      </c>
      <c r="O37" s="143" t="n">
        <f aca="false">IF($D37=0,0,IFERROR(INDEX($B$98:$F$101,MATCH(IN_PRIORIDADE,$A$98:$A$101,0),$D37),0))</f>
        <v>0</v>
      </c>
      <c r="P37" s="143" t="n">
        <f aca="false">MAX(0,MIN(100,60+IF($H37="ISENTO",25,0)+IF($I37&lt;=0.005,15,IF($I37&gt;=0.015,-15,0))+IF(AND($H37="PREV_REGR",IN_PRAZO&gt;=120),20,0)+IF(AND($H37="FUNDO_LP",IN_PRAZO&lt;=12),-10,0)+IF(AND($H37="FUNDO_CP",IN_PRAZO&gt;=24),-15,0)))</f>
        <v>75</v>
      </c>
      <c r="Q37" s="144" t="n">
        <f aca="false">IF(OR($B37="",$J37&lt;&gt;"SIM",$K37=0,$L37=0),0,ROUND(($M37*$B$7+$N37*$C$7+$O37*$D$7+$P37*$E$7)/MAX(1,$B$7+$C$7+$D$7+$E$7),1))</f>
        <v>0</v>
      </c>
      <c r="R37" s="145" t="n">
        <f aca="false">IF($H37="IMOVEL",0,$Q37+ROW()/1000000)</f>
        <v>3.7E-005</v>
      </c>
      <c r="S37" s="146" t="str">
        <f aca="false">IF($B37="","",IF($Q37=0,"Não indicado agora",IF($Q37&gt;=75,"Pode fazer sentido",IF($Q37&gt;=50,"Talvez faça sentido","Provavelmente não é o mais indicado"))))</f>
        <v/>
      </c>
      <c r="T37" s="147" t="str">
        <f aca="false">IF($B37="","",IF($Q37=0,IF($K37=0,"O valor disponível é menor que a aplicação mínima deste produto.",IF($L37=0,"O risco deste produto está acima do perfil declarado pelo cliente.","Produto não está ativo na base.")),IF($Q37&lt;50,"Encaixa pouco no que foi pedido — veja o ponto de atenção ao lado.",IF($H37="ISENTO","Não paga Imposto de Renda para pessoa física.",IF($W37="PRE","A taxa fica travada na contratação: não cai se os juros da economia caírem.",IF($W37="IPCA","Protege o poder de compra: rende a inflação mais uma taxa fixa por cima.",IF(AND($E37=0,$F37&lt;=1),"O dinheiro pode ser retirado praticamente a qualquer momento.",IF(AND($H37="PREV_REGR",IN_PRAZO&gt;=120),"No prazo escolhido a previdência alcança a menor alíquota de imposto (10%).",IF($D37&gt;=4,"Pode render mais no prazo longo, aceitando oscilação pelo caminho.","Combina com o prazo, a liquidez e a prioridade informados.")))))))))</f>
        <v/>
      </c>
      <c r="U37" s="147" t="str">
        <f aca="false">IF($B37="","",IF($E37&gt;0,"Carência de "&amp;$E37&amp;" dias: não dá para resgatar antes.",IF($F37&gt;60,"Não é dinheiro rápido: leva meses para virar caixa.",IF(LEFT($H37,4)="PREV",IF(IN_PRAZO&lt;24,"Resgate antes de 2 anos paga 35% de imposto.","Não tem cobertura do FGC: quem responde pelo dinheiro é a seguradora."),IF($D37&gt;=4,"Pode cair no caminho e demorar a se recuperar.",IF(AND($H37="RF_REGR",$X37&gt;=0.03),"Se vender antes do vencimento, o preço pode estar abaixo do que você pagou.",IF($X37&gt;=0.03,"O valor oscila mês a mês: em prazo curto pode estar abaixo do que você aplicou.",IF($H37="FUNDO_LP","Tem come-cotas em maio e novembro, que antecipam parte do imposto.",IF($F37&gt;7,"Para o dinheiro cair na conta leva cerca de "&amp;$F37&amp;" dias.",IF($I37&gt;=0.015,"Taxa de administração alta em relação ao retorno esperado.","Confirme prazo, liquidez e tributação antes de contratar."))))))))))</f>
        <v/>
      </c>
      <c r="V37" s="148" t="str">
        <f aca="false">IF($B37="","",IFERROR(IF(Produtos!$H37="MULT",(1+INDEX(TAB_MACRO_VAL,MATCH(Produtos!$E37,TAB_MACRO_COD,0))*Produtos!$F37)*(1+Produtos!$G37)-1,INDEX(TAB_MACRO_VAL,MATCH(Produtos!$E37,TAB_MACRO_COD,0))*Produtos!$F37+Produtos!$G37),""))</f>
        <v/>
      </c>
      <c r="W37" s="74" t="str">
        <f aca="false">IF(Produtos!$B37="","",Produtos!$E37)</f>
        <v/>
      </c>
      <c r="X37" s="76" t="n">
        <f aca="false">IF(Produtos!$B37="",0,Produtos!$U37)</f>
        <v>0</v>
      </c>
    </row>
    <row r="38" customFormat="false" ht="21.75" hidden="false" customHeight="true" outlineLevel="0" collapsed="false">
      <c r="A38" s="74" t="str">
        <f aca="false">IF(Produtos!$B38="","",Produtos!$A38)</f>
        <v/>
      </c>
      <c r="B38" s="142" t="str">
        <f aca="false">IF(Produtos!$B38="","",Produtos!$B38)</f>
        <v/>
      </c>
      <c r="C38" s="74" t="str">
        <f aca="false">IF(Produtos!$B38="","",Produtos!$C38)</f>
        <v/>
      </c>
      <c r="D38" s="77" t="n">
        <f aca="false">IF(Produtos!$B38="",0,Produtos!$T38)</f>
        <v>0</v>
      </c>
      <c r="E38" s="77" t="n">
        <f aca="false">IF(Produtos!$B38="",0,Produtos!$P38)</f>
        <v>0</v>
      </c>
      <c r="F38" s="77" t="n">
        <f aca="false">IF(Produtos!$B38="",0,Produtos!$Q38)</f>
        <v>0</v>
      </c>
      <c r="G38" s="78" t="n">
        <f aca="false">IF(Produtos!$B38="",0,Produtos!$R38)</f>
        <v>0</v>
      </c>
      <c r="H38" s="74" t="str">
        <f aca="false">IF(Produtos!$B38="","",Produtos!$N38)</f>
        <v/>
      </c>
      <c r="I38" s="76" t="n">
        <f aca="false">IF(Produtos!$B38="",0,Produtos!$I38)</f>
        <v>0</v>
      </c>
      <c r="J38" s="74" t="str">
        <f aca="false">IF(Produtos!$B38="","NÃO",Produtos!$AD38)</f>
        <v>NÃO</v>
      </c>
      <c r="K38" s="143" t="n">
        <f aca="false">IF(AND($B38&lt;&gt;"",IN_CAPITAL&gt;=$G38),1,0)</f>
        <v>0</v>
      </c>
      <c r="L38" s="143" t="n">
        <f aca="false">IF(AND($B38&lt;&gt;"",$D38&lt;=IFERROR(INDEX(Premissas!$B$102:$B$104,MATCH(IN_PERFIL,Premissas!$A$102:$A$104,0)),5)),1,0)</f>
        <v>0</v>
      </c>
      <c r="M38" s="143" t="n">
        <f aca="false">IF(IN_PRAZO*30&lt;$E38,0,IF($D38&gt;=4,IF(IN_PRAZO&gt;=60,100,IF(IN_PRAZO&gt;=36,60,IF(IN_PRAZO&gt;=24,30,0))),IF($D38=3,IF(IN_PRAZO&gt;=24,100,IF(IN_PRAZO&gt;=12,70,40)),100)))</f>
        <v>100</v>
      </c>
      <c r="N38" s="143" t="n">
        <f aca="false">IF(IN_RESGATE="Sim",IF($E38+$F38&lt;=3,100,IF($E38+$F38&lt;=31,50,0)),IF(IN_RESGATE="Talvez",IF($E38+$F38&lt;=90,100,IF($E38+$F38&lt;=360,50,20)),100))</f>
        <v>100</v>
      </c>
      <c r="O38" s="143" t="n">
        <f aca="false">IF($D38=0,0,IFERROR(INDEX($B$98:$F$101,MATCH(IN_PRIORIDADE,$A$98:$A$101,0),$D38),0))</f>
        <v>0</v>
      </c>
      <c r="P38" s="143" t="n">
        <f aca="false">MAX(0,MIN(100,60+IF($H38="ISENTO",25,0)+IF($I38&lt;=0.005,15,IF($I38&gt;=0.015,-15,0))+IF(AND($H38="PREV_REGR",IN_PRAZO&gt;=120),20,0)+IF(AND($H38="FUNDO_LP",IN_PRAZO&lt;=12),-10,0)+IF(AND($H38="FUNDO_CP",IN_PRAZO&gt;=24),-15,0)))</f>
        <v>75</v>
      </c>
      <c r="Q38" s="144" t="n">
        <f aca="false">IF(OR($B38="",$J38&lt;&gt;"SIM",$K38=0,$L38=0),0,ROUND(($M38*$B$7+$N38*$C$7+$O38*$D$7+$P38*$E$7)/MAX(1,$B$7+$C$7+$D$7+$E$7),1))</f>
        <v>0</v>
      </c>
      <c r="R38" s="145" t="n">
        <f aca="false">IF($H38="IMOVEL",0,$Q38+ROW()/1000000)</f>
        <v>3.8E-005</v>
      </c>
      <c r="S38" s="146" t="str">
        <f aca="false">IF($B38="","",IF($Q38=0,"Não indicado agora",IF($Q38&gt;=75,"Pode fazer sentido",IF($Q38&gt;=50,"Talvez faça sentido","Provavelmente não é o mais indicado"))))</f>
        <v/>
      </c>
      <c r="T38" s="147" t="str">
        <f aca="false">IF($B38="","",IF($Q38=0,IF($K38=0,"O valor disponível é menor que a aplicação mínima deste produto.",IF($L38=0,"O risco deste produto está acima do perfil declarado pelo cliente.","Produto não está ativo na base.")),IF($Q38&lt;50,"Encaixa pouco no que foi pedido — veja o ponto de atenção ao lado.",IF($H38="ISENTO","Não paga Imposto de Renda para pessoa física.",IF($W38="PRE","A taxa fica travada na contratação: não cai se os juros da economia caírem.",IF($W38="IPCA","Protege o poder de compra: rende a inflação mais uma taxa fixa por cima.",IF(AND($E38=0,$F38&lt;=1),"O dinheiro pode ser retirado praticamente a qualquer momento.",IF(AND($H38="PREV_REGR",IN_PRAZO&gt;=120),"No prazo escolhido a previdência alcança a menor alíquota de imposto (10%).",IF($D38&gt;=4,"Pode render mais no prazo longo, aceitando oscilação pelo caminho.","Combina com o prazo, a liquidez e a prioridade informados.")))))))))</f>
        <v/>
      </c>
      <c r="U38" s="147" t="str">
        <f aca="false">IF($B38="","",IF($E38&gt;0,"Carência de "&amp;$E38&amp;" dias: não dá para resgatar antes.",IF($F38&gt;60,"Não é dinheiro rápido: leva meses para virar caixa.",IF(LEFT($H38,4)="PREV",IF(IN_PRAZO&lt;24,"Resgate antes de 2 anos paga 35% de imposto.","Não tem cobertura do FGC: quem responde pelo dinheiro é a seguradora."),IF($D38&gt;=4,"Pode cair no caminho e demorar a se recuperar.",IF(AND($H38="RF_REGR",$X38&gt;=0.03),"Se vender antes do vencimento, o preço pode estar abaixo do que você pagou.",IF($X38&gt;=0.03,"O valor oscila mês a mês: em prazo curto pode estar abaixo do que você aplicou.",IF($H38="FUNDO_LP","Tem come-cotas em maio e novembro, que antecipam parte do imposto.",IF($F38&gt;7,"Para o dinheiro cair na conta leva cerca de "&amp;$F38&amp;" dias.",IF($I38&gt;=0.015,"Taxa de administração alta em relação ao retorno esperado.","Confirme prazo, liquidez e tributação antes de contratar."))))))))))</f>
        <v/>
      </c>
      <c r="V38" s="148" t="str">
        <f aca="false">IF($B38="","",IFERROR(IF(Produtos!$H38="MULT",(1+INDEX(TAB_MACRO_VAL,MATCH(Produtos!$E38,TAB_MACRO_COD,0))*Produtos!$F38)*(1+Produtos!$G38)-1,INDEX(TAB_MACRO_VAL,MATCH(Produtos!$E38,TAB_MACRO_COD,0))*Produtos!$F38+Produtos!$G38),""))</f>
        <v/>
      </c>
      <c r="W38" s="74" t="str">
        <f aca="false">IF(Produtos!$B38="","",Produtos!$E38)</f>
        <v/>
      </c>
      <c r="X38" s="76" t="n">
        <f aca="false">IF(Produtos!$B38="",0,Produtos!$U38)</f>
        <v>0</v>
      </c>
    </row>
    <row r="39" customFormat="false" ht="21.75" hidden="false" customHeight="true" outlineLevel="0" collapsed="false">
      <c r="A39" s="74" t="str">
        <f aca="false">IF(Produtos!$B39="","",Produtos!$A39)</f>
        <v/>
      </c>
      <c r="B39" s="142" t="str">
        <f aca="false">IF(Produtos!$B39="","",Produtos!$B39)</f>
        <v/>
      </c>
      <c r="C39" s="74" t="str">
        <f aca="false">IF(Produtos!$B39="","",Produtos!$C39)</f>
        <v/>
      </c>
      <c r="D39" s="77" t="n">
        <f aca="false">IF(Produtos!$B39="",0,Produtos!$T39)</f>
        <v>0</v>
      </c>
      <c r="E39" s="77" t="n">
        <f aca="false">IF(Produtos!$B39="",0,Produtos!$P39)</f>
        <v>0</v>
      </c>
      <c r="F39" s="77" t="n">
        <f aca="false">IF(Produtos!$B39="",0,Produtos!$Q39)</f>
        <v>0</v>
      </c>
      <c r="G39" s="78" t="n">
        <f aca="false">IF(Produtos!$B39="",0,Produtos!$R39)</f>
        <v>0</v>
      </c>
      <c r="H39" s="74" t="str">
        <f aca="false">IF(Produtos!$B39="","",Produtos!$N39)</f>
        <v/>
      </c>
      <c r="I39" s="76" t="n">
        <f aca="false">IF(Produtos!$B39="",0,Produtos!$I39)</f>
        <v>0</v>
      </c>
      <c r="J39" s="74" t="str">
        <f aca="false">IF(Produtos!$B39="","NÃO",Produtos!$AD39)</f>
        <v>NÃO</v>
      </c>
      <c r="K39" s="143" t="n">
        <f aca="false">IF(AND($B39&lt;&gt;"",IN_CAPITAL&gt;=$G39),1,0)</f>
        <v>0</v>
      </c>
      <c r="L39" s="143" t="n">
        <f aca="false">IF(AND($B39&lt;&gt;"",$D39&lt;=IFERROR(INDEX(Premissas!$B$102:$B$104,MATCH(IN_PERFIL,Premissas!$A$102:$A$104,0)),5)),1,0)</f>
        <v>0</v>
      </c>
      <c r="M39" s="143" t="n">
        <f aca="false">IF(IN_PRAZO*30&lt;$E39,0,IF($D39&gt;=4,IF(IN_PRAZO&gt;=60,100,IF(IN_PRAZO&gt;=36,60,IF(IN_PRAZO&gt;=24,30,0))),IF($D39=3,IF(IN_PRAZO&gt;=24,100,IF(IN_PRAZO&gt;=12,70,40)),100)))</f>
        <v>100</v>
      </c>
      <c r="N39" s="143" t="n">
        <f aca="false">IF(IN_RESGATE="Sim",IF($E39+$F39&lt;=3,100,IF($E39+$F39&lt;=31,50,0)),IF(IN_RESGATE="Talvez",IF($E39+$F39&lt;=90,100,IF($E39+$F39&lt;=360,50,20)),100))</f>
        <v>100</v>
      </c>
      <c r="O39" s="143" t="n">
        <f aca="false">IF($D39=0,0,IFERROR(INDEX($B$98:$F$101,MATCH(IN_PRIORIDADE,$A$98:$A$101,0),$D39),0))</f>
        <v>0</v>
      </c>
      <c r="P39" s="143" t="n">
        <f aca="false">MAX(0,MIN(100,60+IF($H39="ISENTO",25,0)+IF($I39&lt;=0.005,15,IF($I39&gt;=0.015,-15,0))+IF(AND($H39="PREV_REGR",IN_PRAZO&gt;=120),20,0)+IF(AND($H39="FUNDO_LP",IN_PRAZO&lt;=12),-10,0)+IF(AND($H39="FUNDO_CP",IN_PRAZO&gt;=24),-15,0)))</f>
        <v>75</v>
      </c>
      <c r="Q39" s="144" t="n">
        <f aca="false">IF(OR($B39="",$J39&lt;&gt;"SIM",$K39=0,$L39=0),0,ROUND(($M39*$B$7+$N39*$C$7+$O39*$D$7+$P39*$E$7)/MAX(1,$B$7+$C$7+$D$7+$E$7),1))</f>
        <v>0</v>
      </c>
      <c r="R39" s="145" t="n">
        <f aca="false">IF($H39="IMOVEL",0,$Q39+ROW()/1000000)</f>
        <v>3.9E-005</v>
      </c>
      <c r="S39" s="146" t="str">
        <f aca="false">IF($B39="","",IF($Q39=0,"Não indicado agora",IF($Q39&gt;=75,"Pode fazer sentido",IF($Q39&gt;=50,"Talvez faça sentido","Provavelmente não é o mais indicado"))))</f>
        <v/>
      </c>
      <c r="T39" s="147" t="str">
        <f aca="false">IF($B39="","",IF($Q39=0,IF($K39=0,"O valor disponível é menor que a aplicação mínima deste produto.",IF($L39=0,"O risco deste produto está acima do perfil declarado pelo cliente.","Produto não está ativo na base.")),IF($Q39&lt;50,"Encaixa pouco no que foi pedido — veja o ponto de atenção ao lado.",IF($H39="ISENTO","Não paga Imposto de Renda para pessoa física.",IF($W39="PRE","A taxa fica travada na contratação: não cai se os juros da economia caírem.",IF($W39="IPCA","Protege o poder de compra: rende a inflação mais uma taxa fixa por cima.",IF(AND($E39=0,$F39&lt;=1),"O dinheiro pode ser retirado praticamente a qualquer momento.",IF(AND($H39="PREV_REGR",IN_PRAZO&gt;=120),"No prazo escolhido a previdência alcança a menor alíquota de imposto (10%).",IF($D39&gt;=4,"Pode render mais no prazo longo, aceitando oscilação pelo caminho.","Combina com o prazo, a liquidez e a prioridade informados.")))))))))</f>
        <v/>
      </c>
      <c r="U39" s="147" t="str">
        <f aca="false">IF($B39="","",IF($E39&gt;0,"Carência de "&amp;$E39&amp;" dias: não dá para resgatar antes.",IF($F39&gt;60,"Não é dinheiro rápido: leva meses para virar caixa.",IF(LEFT($H39,4)="PREV",IF(IN_PRAZO&lt;24,"Resgate antes de 2 anos paga 35% de imposto.","Não tem cobertura do FGC: quem responde pelo dinheiro é a seguradora."),IF($D39&gt;=4,"Pode cair no caminho e demorar a se recuperar.",IF(AND($H39="RF_REGR",$X39&gt;=0.03),"Se vender antes do vencimento, o preço pode estar abaixo do que você pagou.",IF($X39&gt;=0.03,"O valor oscila mês a mês: em prazo curto pode estar abaixo do que você aplicou.",IF($H39="FUNDO_LP","Tem come-cotas em maio e novembro, que antecipam parte do imposto.",IF($F39&gt;7,"Para o dinheiro cair na conta leva cerca de "&amp;$F39&amp;" dias.",IF($I39&gt;=0.015,"Taxa de administração alta em relação ao retorno esperado.","Confirme prazo, liquidez e tributação antes de contratar."))))))))))</f>
        <v/>
      </c>
      <c r="V39" s="148" t="str">
        <f aca="false">IF($B39="","",IFERROR(IF(Produtos!$H39="MULT",(1+INDEX(TAB_MACRO_VAL,MATCH(Produtos!$E39,TAB_MACRO_COD,0))*Produtos!$F39)*(1+Produtos!$G39)-1,INDEX(TAB_MACRO_VAL,MATCH(Produtos!$E39,TAB_MACRO_COD,0))*Produtos!$F39+Produtos!$G39),""))</f>
        <v/>
      </c>
      <c r="W39" s="74" t="str">
        <f aca="false">IF(Produtos!$B39="","",Produtos!$E39)</f>
        <v/>
      </c>
      <c r="X39" s="76" t="n">
        <f aca="false">IF(Produtos!$B39="",0,Produtos!$U39)</f>
        <v>0</v>
      </c>
    </row>
    <row r="40" customFormat="false" ht="21.75" hidden="false" customHeight="true" outlineLevel="0" collapsed="false">
      <c r="A40" s="74" t="str">
        <f aca="false">IF(Produtos!$B40="","",Produtos!$A40)</f>
        <v/>
      </c>
      <c r="B40" s="142" t="str">
        <f aca="false">IF(Produtos!$B40="","",Produtos!$B40)</f>
        <v/>
      </c>
      <c r="C40" s="74" t="str">
        <f aca="false">IF(Produtos!$B40="","",Produtos!$C40)</f>
        <v/>
      </c>
      <c r="D40" s="77" t="n">
        <f aca="false">IF(Produtos!$B40="",0,Produtos!$T40)</f>
        <v>0</v>
      </c>
      <c r="E40" s="77" t="n">
        <f aca="false">IF(Produtos!$B40="",0,Produtos!$P40)</f>
        <v>0</v>
      </c>
      <c r="F40" s="77" t="n">
        <f aca="false">IF(Produtos!$B40="",0,Produtos!$Q40)</f>
        <v>0</v>
      </c>
      <c r="G40" s="78" t="n">
        <f aca="false">IF(Produtos!$B40="",0,Produtos!$R40)</f>
        <v>0</v>
      </c>
      <c r="H40" s="74" t="str">
        <f aca="false">IF(Produtos!$B40="","",Produtos!$N40)</f>
        <v/>
      </c>
      <c r="I40" s="76" t="n">
        <f aca="false">IF(Produtos!$B40="",0,Produtos!$I40)</f>
        <v>0</v>
      </c>
      <c r="J40" s="74" t="str">
        <f aca="false">IF(Produtos!$B40="","NÃO",Produtos!$AD40)</f>
        <v>NÃO</v>
      </c>
      <c r="K40" s="143" t="n">
        <f aca="false">IF(AND($B40&lt;&gt;"",IN_CAPITAL&gt;=$G40),1,0)</f>
        <v>0</v>
      </c>
      <c r="L40" s="143" t="n">
        <f aca="false">IF(AND($B40&lt;&gt;"",$D40&lt;=IFERROR(INDEX(Premissas!$B$102:$B$104,MATCH(IN_PERFIL,Premissas!$A$102:$A$104,0)),5)),1,0)</f>
        <v>0</v>
      </c>
      <c r="M40" s="143" t="n">
        <f aca="false">IF(IN_PRAZO*30&lt;$E40,0,IF($D40&gt;=4,IF(IN_PRAZO&gt;=60,100,IF(IN_PRAZO&gt;=36,60,IF(IN_PRAZO&gt;=24,30,0))),IF($D40=3,IF(IN_PRAZO&gt;=24,100,IF(IN_PRAZO&gt;=12,70,40)),100)))</f>
        <v>100</v>
      </c>
      <c r="N40" s="143" t="n">
        <f aca="false">IF(IN_RESGATE="Sim",IF($E40+$F40&lt;=3,100,IF($E40+$F40&lt;=31,50,0)),IF(IN_RESGATE="Talvez",IF($E40+$F40&lt;=90,100,IF($E40+$F40&lt;=360,50,20)),100))</f>
        <v>100</v>
      </c>
      <c r="O40" s="143" t="n">
        <f aca="false">IF($D40=0,0,IFERROR(INDEX($B$98:$F$101,MATCH(IN_PRIORIDADE,$A$98:$A$101,0),$D40),0))</f>
        <v>0</v>
      </c>
      <c r="P40" s="143" t="n">
        <f aca="false">MAX(0,MIN(100,60+IF($H40="ISENTO",25,0)+IF($I40&lt;=0.005,15,IF($I40&gt;=0.015,-15,0))+IF(AND($H40="PREV_REGR",IN_PRAZO&gt;=120),20,0)+IF(AND($H40="FUNDO_LP",IN_PRAZO&lt;=12),-10,0)+IF(AND($H40="FUNDO_CP",IN_PRAZO&gt;=24),-15,0)))</f>
        <v>75</v>
      </c>
      <c r="Q40" s="144" t="n">
        <f aca="false">IF(OR($B40="",$J40&lt;&gt;"SIM",$K40=0,$L40=0),0,ROUND(($M40*$B$7+$N40*$C$7+$O40*$D$7+$P40*$E$7)/MAX(1,$B$7+$C$7+$D$7+$E$7),1))</f>
        <v>0</v>
      </c>
      <c r="R40" s="145" t="n">
        <f aca="false">IF($H40="IMOVEL",0,$Q40+ROW()/1000000)</f>
        <v>4E-005</v>
      </c>
      <c r="S40" s="146" t="str">
        <f aca="false">IF($B40="","",IF($Q40=0,"Não indicado agora",IF($Q40&gt;=75,"Pode fazer sentido",IF($Q40&gt;=50,"Talvez faça sentido","Provavelmente não é o mais indicado"))))</f>
        <v/>
      </c>
      <c r="T40" s="147" t="str">
        <f aca="false">IF($B40="","",IF($Q40=0,IF($K40=0,"O valor disponível é menor que a aplicação mínima deste produto.",IF($L40=0,"O risco deste produto está acima do perfil declarado pelo cliente.","Produto não está ativo na base.")),IF($Q40&lt;50,"Encaixa pouco no que foi pedido — veja o ponto de atenção ao lado.",IF($H40="ISENTO","Não paga Imposto de Renda para pessoa física.",IF($W40="PRE","A taxa fica travada na contratação: não cai se os juros da economia caírem.",IF($W40="IPCA","Protege o poder de compra: rende a inflação mais uma taxa fixa por cima.",IF(AND($E40=0,$F40&lt;=1),"O dinheiro pode ser retirado praticamente a qualquer momento.",IF(AND($H40="PREV_REGR",IN_PRAZO&gt;=120),"No prazo escolhido a previdência alcança a menor alíquota de imposto (10%).",IF($D40&gt;=4,"Pode render mais no prazo longo, aceitando oscilação pelo caminho.","Combina com o prazo, a liquidez e a prioridade informados.")))))))))</f>
        <v/>
      </c>
      <c r="U40" s="147" t="str">
        <f aca="false">IF($B40="","",IF($E40&gt;0,"Carência de "&amp;$E40&amp;" dias: não dá para resgatar antes.",IF($F40&gt;60,"Não é dinheiro rápido: leva meses para virar caixa.",IF(LEFT($H40,4)="PREV",IF(IN_PRAZO&lt;24,"Resgate antes de 2 anos paga 35% de imposto.","Não tem cobertura do FGC: quem responde pelo dinheiro é a seguradora."),IF($D40&gt;=4,"Pode cair no caminho e demorar a se recuperar.",IF(AND($H40="RF_REGR",$X40&gt;=0.03),"Se vender antes do vencimento, o preço pode estar abaixo do que você pagou.",IF($X40&gt;=0.03,"O valor oscila mês a mês: em prazo curto pode estar abaixo do que você aplicou.",IF($H40="FUNDO_LP","Tem come-cotas em maio e novembro, que antecipam parte do imposto.",IF($F40&gt;7,"Para o dinheiro cair na conta leva cerca de "&amp;$F40&amp;" dias.",IF($I40&gt;=0.015,"Taxa de administração alta em relação ao retorno esperado.","Confirme prazo, liquidez e tributação antes de contratar."))))))))))</f>
        <v/>
      </c>
      <c r="V40" s="148" t="str">
        <f aca="false">IF($B40="","",IFERROR(IF(Produtos!$H40="MULT",(1+INDEX(TAB_MACRO_VAL,MATCH(Produtos!$E40,TAB_MACRO_COD,0))*Produtos!$F40)*(1+Produtos!$G40)-1,INDEX(TAB_MACRO_VAL,MATCH(Produtos!$E40,TAB_MACRO_COD,0))*Produtos!$F40+Produtos!$G40),""))</f>
        <v/>
      </c>
      <c r="W40" s="74" t="str">
        <f aca="false">IF(Produtos!$B40="","",Produtos!$E40)</f>
        <v/>
      </c>
      <c r="X40" s="76" t="n">
        <f aca="false">IF(Produtos!$B40="",0,Produtos!$U40)</f>
        <v>0</v>
      </c>
    </row>
    <row r="41" customFormat="false" ht="21.75" hidden="false" customHeight="true" outlineLevel="0" collapsed="false">
      <c r="A41" s="74" t="str">
        <f aca="false">IF(Produtos!$B41="","",Produtos!$A41)</f>
        <v/>
      </c>
      <c r="B41" s="142" t="str">
        <f aca="false">IF(Produtos!$B41="","",Produtos!$B41)</f>
        <v/>
      </c>
      <c r="C41" s="74" t="str">
        <f aca="false">IF(Produtos!$B41="","",Produtos!$C41)</f>
        <v/>
      </c>
      <c r="D41" s="77" t="n">
        <f aca="false">IF(Produtos!$B41="",0,Produtos!$T41)</f>
        <v>0</v>
      </c>
      <c r="E41" s="77" t="n">
        <f aca="false">IF(Produtos!$B41="",0,Produtos!$P41)</f>
        <v>0</v>
      </c>
      <c r="F41" s="77" t="n">
        <f aca="false">IF(Produtos!$B41="",0,Produtos!$Q41)</f>
        <v>0</v>
      </c>
      <c r="G41" s="78" t="n">
        <f aca="false">IF(Produtos!$B41="",0,Produtos!$R41)</f>
        <v>0</v>
      </c>
      <c r="H41" s="74" t="str">
        <f aca="false">IF(Produtos!$B41="","",Produtos!$N41)</f>
        <v/>
      </c>
      <c r="I41" s="76" t="n">
        <f aca="false">IF(Produtos!$B41="",0,Produtos!$I41)</f>
        <v>0</v>
      </c>
      <c r="J41" s="74" t="str">
        <f aca="false">IF(Produtos!$B41="","NÃO",Produtos!$AD41)</f>
        <v>NÃO</v>
      </c>
      <c r="K41" s="143" t="n">
        <f aca="false">IF(AND($B41&lt;&gt;"",IN_CAPITAL&gt;=$G41),1,0)</f>
        <v>0</v>
      </c>
      <c r="L41" s="143" t="n">
        <f aca="false">IF(AND($B41&lt;&gt;"",$D41&lt;=IFERROR(INDEX(Premissas!$B$102:$B$104,MATCH(IN_PERFIL,Premissas!$A$102:$A$104,0)),5)),1,0)</f>
        <v>0</v>
      </c>
      <c r="M41" s="143" t="n">
        <f aca="false">IF(IN_PRAZO*30&lt;$E41,0,IF($D41&gt;=4,IF(IN_PRAZO&gt;=60,100,IF(IN_PRAZO&gt;=36,60,IF(IN_PRAZO&gt;=24,30,0))),IF($D41=3,IF(IN_PRAZO&gt;=24,100,IF(IN_PRAZO&gt;=12,70,40)),100)))</f>
        <v>100</v>
      </c>
      <c r="N41" s="143" t="n">
        <f aca="false">IF(IN_RESGATE="Sim",IF($E41+$F41&lt;=3,100,IF($E41+$F41&lt;=31,50,0)),IF(IN_RESGATE="Talvez",IF($E41+$F41&lt;=90,100,IF($E41+$F41&lt;=360,50,20)),100))</f>
        <v>100</v>
      </c>
      <c r="O41" s="143" t="n">
        <f aca="false">IF($D41=0,0,IFERROR(INDEX($B$98:$F$101,MATCH(IN_PRIORIDADE,$A$98:$A$101,0),$D41),0))</f>
        <v>0</v>
      </c>
      <c r="P41" s="143" t="n">
        <f aca="false">MAX(0,MIN(100,60+IF($H41="ISENTO",25,0)+IF($I41&lt;=0.005,15,IF($I41&gt;=0.015,-15,0))+IF(AND($H41="PREV_REGR",IN_PRAZO&gt;=120),20,0)+IF(AND($H41="FUNDO_LP",IN_PRAZO&lt;=12),-10,0)+IF(AND($H41="FUNDO_CP",IN_PRAZO&gt;=24),-15,0)))</f>
        <v>75</v>
      </c>
      <c r="Q41" s="144" t="n">
        <f aca="false">IF(OR($B41="",$J41&lt;&gt;"SIM",$K41=0,$L41=0),0,ROUND(($M41*$B$7+$N41*$C$7+$O41*$D$7+$P41*$E$7)/MAX(1,$B$7+$C$7+$D$7+$E$7),1))</f>
        <v>0</v>
      </c>
      <c r="R41" s="145" t="n">
        <f aca="false">IF($H41="IMOVEL",0,$Q41+ROW()/1000000)</f>
        <v>4.1E-005</v>
      </c>
      <c r="S41" s="146" t="str">
        <f aca="false">IF($B41="","",IF($Q41=0,"Não indicado agora",IF($Q41&gt;=75,"Pode fazer sentido",IF($Q41&gt;=50,"Talvez faça sentido","Provavelmente não é o mais indicado"))))</f>
        <v/>
      </c>
      <c r="T41" s="147" t="str">
        <f aca="false">IF($B41="","",IF($Q41=0,IF($K41=0,"O valor disponível é menor que a aplicação mínima deste produto.",IF($L41=0,"O risco deste produto está acima do perfil declarado pelo cliente.","Produto não está ativo na base.")),IF($Q41&lt;50,"Encaixa pouco no que foi pedido — veja o ponto de atenção ao lado.",IF($H41="ISENTO","Não paga Imposto de Renda para pessoa física.",IF($W41="PRE","A taxa fica travada na contratação: não cai se os juros da economia caírem.",IF($W41="IPCA","Protege o poder de compra: rende a inflação mais uma taxa fixa por cima.",IF(AND($E41=0,$F41&lt;=1),"O dinheiro pode ser retirado praticamente a qualquer momento.",IF(AND($H41="PREV_REGR",IN_PRAZO&gt;=120),"No prazo escolhido a previdência alcança a menor alíquota de imposto (10%).",IF($D41&gt;=4,"Pode render mais no prazo longo, aceitando oscilação pelo caminho.","Combina com o prazo, a liquidez e a prioridade informados.")))))))))</f>
        <v/>
      </c>
      <c r="U41" s="147" t="str">
        <f aca="false">IF($B41="","",IF($E41&gt;0,"Carência de "&amp;$E41&amp;" dias: não dá para resgatar antes.",IF($F41&gt;60,"Não é dinheiro rápido: leva meses para virar caixa.",IF(LEFT($H41,4)="PREV",IF(IN_PRAZO&lt;24,"Resgate antes de 2 anos paga 35% de imposto.","Não tem cobertura do FGC: quem responde pelo dinheiro é a seguradora."),IF($D41&gt;=4,"Pode cair no caminho e demorar a se recuperar.",IF(AND($H41="RF_REGR",$X41&gt;=0.03),"Se vender antes do vencimento, o preço pode estar abaixo do que você pagou.",IF($X41&gt;=0.03,"O valor oscila mês a mês: em prazo curto pode estar abaixo do que você aplicou.",IF($H41="FUNDO_LP","Tem come-cotas em maio e novembro, que antecipam parte do imposto.",IF($F41&gt;7,"Para o dinheiro cair na conta leva cerca de "&amp;$F41&amp;" dias.",IF($I41&gt;=0.015,"Taxa de administração alta em relação ao retorno esperado.","Confirme prazo, liquidez e tributação antes de contratar."))))))))))</f>
        <v/>
      </c>
      <c r="V41" s="148" t="str">
        <f aca="false">IF($B41="","",IFERROR(IF(Produtos!$H41="MULT",(1+INDEX(TAB_MACRO_VAL,MATCH(Produtos!$E41,TAB_MACRO_COD,0))*Produtos!$F41)*(1+Produtos!$G41)-1,INDEX(TAB_MACRO_VAL,MATCH(Produtos!$E41,TAB_MACRO_COD,0))*Produtos!$F41+Produtos!$G41),""))</f>
        <v/>
      </c>
      <c r="W41" s="74" t="str">
        <f aca="false">IF(Produtos!$B41="","",Produtos!$E41)</f>
        <v/>
      </c>
      <c r="X41" s="76" t="n">
        <f aca="false">IF(Produtos!$B41="",0,Produtos!$U41)</f>
        <v>0</v>
      </c>
    </row>
    <row r="42" customFormat="false" ht="21.75" hidden="false" customHeight="true" outlineLevel="0" collapsed="false">
      <c r="A42" s="74" t="str">
        <f aca="false">IF(Produtos!$B42="","",Produtos!$A42)</f>
        <v/>
      </c>
      <c r="B42" s="142" t="str">
        <f aca="false">IF(Produtos!$B42="","",Produtos!$B42)</f>
        <v/>
      </c>
      <c r="C42" s="74" t="str">
        <f aca="false">IF(Produtos!$B42="","",Produtos!$C42)</f>
        <v/>
      </c>
      <c r="D42" s="77" t="n">
        <f aca="false">IF(Produtos!$B42="",0,Produtos!$T42)</f>
        <v>0</v>
      </c>
      <c r="E42" s="77" t="n">
        <f aca="false">IF(Produtos!$B42="",0,Produtos!$P42)</f>
        <v>0</v>
      </c>
      <c r="F42" s="77" t="n">
        <f aca="false">IF(Produtos!$B42="",0,Produtos!$Q42)</f>
        <v>0</v>
      </c>
      <c r="G42" s="78" t="n">
        <f aca="false">IF(Produtos!$B42="",0,Produtos!$R42)</f>
        <v>0</v>
      </c>
      <c r="H42" s="74" t="str">
        <f aca="false">IF(Produtos!$B42="","",Produtos!$N42)</f>
        <v/>
      </c>
      <c r="I42" s="76" t="n">
        <f aca="false">IF(Produtos!$B42="",0,Produtos!$I42)</f>
        <v>0</v>
      </c>
      <c r="J42" s="74" t="str">
        <f aca="false">IF(Produtos!$B42="","NÃO",Produtos!$AD42)</f>
        <v>NÃO</v>
      </c>
      <c r="K42" s="143" t="n">
        <f aca="false">IF(AND($B42&lt;&gt;"",IN_CAPITAL&gt;=$G42),1,0)</f>
        <v>0</v>
      </c>
      <c r="L42" s="143" t="n">
        <f aca="false">IF(AND($B42&lt;&gt;"",$D42&lt;=IFERROR(INDEX(Premissas!$B$102:$B$104,MATCH(IN_PERFIL,Premissas!$A$102:$A$104,0)),5)),1,0)</f>
        <v>0</v>
      </c>
      <c r="M42" s="143" t="n">
        <f aca="false">IF(IN_PRAZO*30&lt;$E42,0,IF($D42&gt;=4,IF(IN_PRAZO&gt;=60,100,IF(IN_PRAZO&gt;=36,60,IF(IN_PRAZO&gt;=24,30,0))),IF($D42=3,IF(IN_PRAZO&gt;=24,100,IF(IN_PRAZO&gt;=12,70,40)),100)))</f>
        <v>100</v>
      </c>
      <c r="N42" s="143" t="n">
        <f aca="false">IF(IN_RESGATE="Sim",IF($E42+$F42&lt;=3,100,IF($E42+$F42&lt;=31,50,0)),IF(IN_RESGATE="Talvez",IF($E42+$F42&lt;=90,100,IF($E42+$F42&lt;=360,50,20)),100))</f>
        <v>100</v>
      </c>
      <c r="O42" s="143" t="n">
        <f aca="false">IF($D42=0,0,IFERROR(INDEX($B$98:$F$101,MATCH(IN_PRIORIDADE,$A$98:$A$101,0),$D42),0))</f>
        <v>0</v>
      </c>
      <c r="P42" s="143" t="n">
        <f aca="false">MAX(0,MIN(100,60+IF($H42="ISENTO",25,0)+IF($I42&lt;=0.005,15,IF($I42&gt;=0.015,-15,0))+IF(AND($H42="PREV_REGR",IN_PRAZO&gt;=120),20,0)+IF(AND($H42="FUNDO_LP",IN_PRAZO&lt;=12),-10,0)+IF(AND($H42="FUNDO_CP",IN_PRAZO&gt;=24),-15,0)))</f>
        <v>75</v>
      </c>
      <c r="Q42" s="144" t="n">
        <f aca="false">IF(OR($B42="",$J42&lt;&gt;"SIM",$K42=0,$L42=0),0,ROUND(($M42*$B$7+$N42*$C$7+$O42*$D$7+$P42*$E$7)/MAX(1,$B$7+$C$7+$D$7+$E$7),1))</f>
        <v>0</v>
      </c>
      <c r="R42" s="145" t="n">
        <f aca="false">IF($H42="IMOVEL",0,$Q42+ROW()/1000000)</f>
        <v>4.2E-005</v>
      </c>
      <c r="S42" s="146" t="str">
        <f aca="false">IF($B42="","",IF($Q42=0,"Não indicado agora",IF($Q42&gt;=75,"Pode fazer sentido",IF($Q42&gt;=50,"Talvez faça sentido","Provavelmente não é o mais indicado"))))</f>
        <v/>
      </c>
      <c r="T42" s="147" t="str">
        <f aca="false">IF($B42="","",IF($Q42=0,IF($K42=0,"O valor disponível é menor que a aplicação mínima deste produto.",IF($L42=0,"O risco deste produto está acima do perfil declarado pelo cliente.","Produto não está ativo na base.")),IF($Q42&lt;50,"Encaixa pouco no que foi pedido — veja o ponto de atenção ao lado.",IF($H42="ISENTO","Não paga Imposto de Renda para pessoa física.",IF($W42="PRE","A taxa fica travada na contratação: não cai se os juros da economia caírem.",IF($W42="IPCA","Protege o poder de compra: rende a inflação mais uma taxa fixa por cima.",IF(AND($E42=0,$F42&lt;=1),"O dinheiro pode ser retirado praticamente a qualquer momento.",IF(AND($H42="PREV_REGR",IN_PRAZO&gt;=120),"No prazo escolhido a previdência alcança a menor alíquota de imposto (10%).",IF($D42&gt;=4,"Pode render mais no prazo longo, aceitando oscilação pelo caminho.","Combina com o prazo, a liquidez e a prioridade informados.")))))))))</f>
        <v/>
      </c>
      <c r="U42" s="147" t="str">
        <f aca="false">IF($B42="","",IF($E42&gt;0,"Carência de "&amp;$E42&amp;" dias: não dá para resgatar antes.",IF($F42&gt;60,"Não é dinheiro rápido: leva meses para virar caixa.",IF(LEFT($H42,4)="PREV",IF(IN_PRAZO&lt;24,"Resgate antes de 2 anos paga 35% de imposto.","Não tem cobertura do FGC: quem responde pelo dinheiro é a seguradora."),IF($D42&gt;=4,"Pode cair no caminho e demorar a se recuperar.",IF(AND($H42="RF_REGR",$X42&gt;=0.03),"Se vender antes do vencimento, o preço pode estar abaixo do que você pagou.",IF($X42&gt;=0.03,"O valor oscila mês a mês: em prazo curto pode estar abaixo do que você aplicou.",IF($H42="FUNDO_LP","Tem come-cotas em maio e novembro, que antecipam parte do imposto.",IF($F42&gt;7,"Para o dinheiro cair na conta leva cerca de "&amp;$F42&amp;" dias.",IF($I42&gt;=0.015,"Taxa de administração alta em relação ao retorno esperado.","Confirme prazo, liquidez e tributação antes de contratar."))))))))))</f>
        <v/>
      </c>
      <c r="V42" s="148" t="str">
        <f aca="false">IF($B42="","",IFERROR(IF(Produtos!$H42="MULT",(1+INDEX(TAB_MACRO_VAL,MATCH(Produtos!$E42,TAB_MACRO_COD,0))*Produtos!$F42)*(1+Produtos!$G42)-1,INDEX(TAB_MACRO_VAL,MATCH(Produtos!$E42,TAB_MACRO_COD,0))*Produtos!$F42+Produtos!$G42),""))</f>
        <v/>
      </c>
      <c r="W42" s="74" t="str">
        <f aca="false">IF(Produtos!$B42="","",Produtos!$E42)</f>
        <v/>
      </c>
      <c r="X42" s="76" t="n">
        <f aca="false">IF(Produtos!$B42="",0,Produtos!$U42)</f>
        <v>0</v>
      </c>
    </row>
    <row r="43" customFormat="false" ht="21.75" hidden="false" customHeight="true" outlineLevel="0" collapsed="false">
      <c r="A43" s="74" t="str">
        <f aca="false">IF(Produtos!$B43="","",Produtos!$A43)</f>
        <v/>
      </c>
      <c r="B43" s="142" t="str">
        <f aca="false">IF(Produtos!$B43="","",Produtos!$B43)</f>
        <v/>
      </c>
      <c r="C43" s="74" t="str">
        <f aca="false">IF(Produtos!$B43="","",Produtos!$C43)</f>
        <v/>
      </c>
      <c r="D43" s="77" t="n">
        <f aca="false">IF(Produtos!$B43="",0,Produtos!$T43)</f>
        <v>0</v>
      </c>
      <c r="E43" s="77" t="n">
        <f aca="false">IF(Produtos!$B43="",0,Produtos!$P43)</f>
        <v>0</v>
      </c>
      <c r="F43" s="77" t="n">
        <f aca="false">IF(Produtos!$B43="",0,Produtos!$Q43)</f>
        <v>0</v>
      </c>
      <c r="G43" s="78" t="n">
        <f aca="false">IF(Produtos!$B43="",0,Produtos!$R43)</f>
        <v>0</v>
      </c>
      <c r="H43" s="74" t="str">
        <f aca="false">IF(Produtos!$B43="","",Produtos!$N43)</f>
        <v/>
      </c>
      <c r="I43" s="76" t="n">
        <f aca="false">IF(Produtos!$B43="",0,Produtos!$I43)</f>
        <v>0</v>
      </c>
      <c r="J43" s="74" t="str">
        <f aca="false">IF(Produtos!$B43="","NÃO",Produtos!$AD43)</f>
        <v>NÃO</v>
      </c>
      <c r="K43" s="143" t="n">
        <f aca="false">IF(AND($B43&lt;&gt;"",IN_CAPITAL&gt;=$G43),1,0)</f>
        <v>0</v>
      </c>
      <c r="L43" s="143" t="n">
        <f aca="false">IF(AND($B43&lt;&gt;"",$D43&lt;=IFERROR(INDEX(Premissas!$B$102:$B$104,MATCH(IN_PERFIL,Premissas!$A$102:$A$104,0)),5)),1,0)</f>
        <v>0</v>
      </c>
      <c r="M43" s="143" t="n">
        <f aca="false">IF(IN_PRAZO*30&lt;$E43,0,IF($D43&gt;=4,IF(IN_PRAZO&gt;=60,100,IF(IN_PRAZO&gt;=36,60,IF(IN_PRAZO&gt;=24,30,0))),IF($D43=3,IF(IN_PRAZO&gt;=24,100,IF(IN_PRAZO&gt;=12,70,40)),100)))</f>
        <v>100</v>
      </c>
      <c r="N43" s="143" t="n">
        <f aca="false">IF(IN_RESGATE="Sim",IF($E43+$F43&lt;=3,100,IF($E43+$F43&lt;=31,50,0)),IF(IN_RESGATE="Talvez",IF($E43+$F43&lt;=90,100,IF($E43+$F43&lt;=360,50,20)),100))</f>
        <v>100</v>
      </c>
      <c r="O43" s="143" t="n">
        <f aca="false">IF($D43=0,0,IFERROR(INDEX($B$98:$F$101,MATCH(IN_PRIORIDADE,$A$98:$A$101,0),$D43),0))</f>
        <v>0</v>
      </c>
      <c r="P43" s="143" t="n">
        <f aca="false">MAX(0,MIN(100,60+IF($H43="ISENTO",25,0)+IF($I43&lt;=0.005,15,IF($I43&gt;=0.015,-15,0))+IF(AND($H43="PREV_REGR",IN_PRAZO&gt;=120),20,0)+IF(AND($H43="FUNDO_LP",IN_PRAZO&lt;=12),-10,0)+IF(AND($H43="FUNDO_CP",IN_PRAZO&gt;=24),-15,0)))</f>
        <v>75</v>
      </c>
      <c r="Q43" s="144" t="n">
        <f aca="false">IF(OR($B43="",$J43&lt;&gt;"SIM",$K43=0,$L43=0),0,ROUND(($M43*$B$7+$N43*$C$7+$O43*$D$7+$P43*$E$7)/MAX(1,$B$7+$C$7+$D$7+$E$7),1))</f>
        <v>0</v>
      </c>
      <c r="R43" s="145" t="n">
        <f aca="false">IF($H43="IMOVEL",0,$Q43+ROW()/1000000)</f>
        <v>4.3E-005</v>
      </c>
      <c r="S43" s="146" t="str">
        <f aca="false">IF($B43="","",IF($Q43=0,"Não indicado agora",IF($Q43&gt;=75,"Pode fazer sentido",IF($Q43&gt;=50,"Talvez faça sentido","Provavelmente não é o mais indicado"))))</f>
        <v/>
      </c>
      <c r="T43" s="147" t="str">
        <f aca="false">IF($B43="","",IF($Q43=0,IF($K43=0,"O valor disponível é menor que a aplicação mínima deste produto.",IF($L43=0,"O risco deste produto está acima do perfil declarado pelo cliente.","Produto não está ativo na base.")),IF($Q43&lt;50,"Encaixa pouco no que foi pedido — veja o ponto de atenção ao lado.",IF($H43="ISENTO","Não paga Imposto de Renda para pessoa física.",IF($W43="PRE","A taxa fica travada na contratação: não cai se os juros da economia caírem.",IF($W43="IPCA","Protege o poder de compra: rende a inflação mais uma taxa fixa por cima.",IF(AND($E43=0,$F43&lt;=1),"O dinheiro pode ser retirado praticamente a qualquer momento.",IF(AND($H43="PREV_REGR",IN_PRAZO&gt;=120),"No prazo escolhido a previdência alcança a menor alíquota de imposto (10%).",IF($D43&gt;=4,"Pode render mais no prazo longo, aceitando oscilação pelo caminho.","Combina com o prazo, a liquidez e a prioridade informados.")))))))))</f>
        <v/>
      </c>
      <c r="U43" s="147" t="str">
        <f aca="false">IF($B43="","",IF($E43&gt;0,"Carência de "&amp;$E43&amp;" dias: não dá para resgatar antes.",IF($F43&gt;60,"Não é dinheiro rápido: leva meses para virar caixa.",IF(LEFT($H43,4)="PREV",IF(IN_PRAZO&lt;24,"Resgate antes de 2 anos paga 35% de imposto.","Não tem cobertura do FGC: quem responde pelo dinheiro é a seguradora."),IF($D43&gt;=4,"Pode cair no caminho e demorar a se recuperar.",IF(AND($H43="RF_REGR",$X43&gt;=0.03),"Se vender antes do vencimento, o preço pode estar abaixo do que você pagou.",IF($X43&gt;=0.03,"O valor oscila mês a mês: em prazo curto pode estar abaixo do que você aplicou.",IF($H43="FUNDO_LP","Tem come-cotas em maio e novembro, que antecipam parte do imposto.",IF($F43&gt;7,"Para o dinheiro cair na conta leva cerca de "&amp;$F43&amp;" dias.",IF($I43&gt;=0.015,"Taxa de administração alta em relação ao retorno esperado.","Confirme prazo, liquidez e tributação antes de contratar."))))))))))</f>
        <v/>
      </c>
      <c r="V43" s="148" t="str">
        <f aca="false">IF($B43="","",IFERROR(IF(Produtos!$H43="MULT",(1+INDEX(TAB_MACRO_VAL,MATCH(Produtos!$E43,TAB_MACRO_COD,0))*Produtos!$F43)*(1+Produtos!$G43)-1,INDEX(TAB_MACRO_VAL,MATCH(Produtos!$E43,TAB_MACRO_COD,0))*Produtos!$F43+Produtos!$G43),""))</f>
        <v/>
      </c>
      <c r="W43" s="74" t="str">
        <f aca="false">IF(Produtos!$B43="","",Produtos!$E43)</f>
        <v/>
      </c>
      <c r="X43" s="76" t="n">
        <f aca="false">IF(Produtos!$B43="",0,Produtos!$U43)</f>
        <v>0</v>
      </c>
    </row>
    <row r="44" customFormat="false" ht="21.75" hidden="false" customHeight="true" outlineLevel="0" collapsed="false">
      <c r="A44" s="74" t="str">
        <f aca="false">IF(Produtos!$B44="","",Produtos!$A44)</f>
        <v/>
      </c>
      <c r="B44" s="142" t="str">
        <f aca="false">IF(Produtos!$B44="","",Produtos!$B44)</f>
        <v/>
      </c>
      <c r="C44" s="74" t="str">
        <f aca="false">IF(Produtos!$B44="","",Produtos!$C44)</f>
        <v/>
      </c>
      <c r="D44" s="77" t="n">
        <f aca="false">IF(Produtos!$B44="",0,Produtos!$T44)</f>
        <v>0</v>
      </c>
      <c r="E44" s="77" t="n">
        <f aca="false">IF(Produtos!$B44="",0,Produtos!$P44)</f>
        <v>0</v>
      </c>
      <c r="F44" s="77" t="n">
        <f aca="false">IF(Produtos!$B44="",0,Produtos!$Q44)</f>
        <v>0</v>
      </c>
      <c r="G44" s="78" t="n">
        <f aca="false">IF(Produtos!$B44="",0,Produtos!$R44)</f>
        <v>0</v>
      </c>
      <c r="H44" s="74" t="str">
        <f aca="false">IF(Produtos!$B44="","",Produtos!$N44)</f>
        <v/>
      </c>
      <c r="I44" s="76" t="n">
        <f aca="false">IF(Produtos!$B44="",0,Produtos!$I44)</f>
        <v>0</v>
      </c>
      <c r="J44" s="74" t="str">
        <f aca="false">IF(Produtos!$B44="","NÃO",Produtos!$AD44)</f>
        <v>NÃO</v>
      </c>
      <c r="K44" s="143" t="n">
        <f aca="false">IF(AND($B44&lt;&gt;"",IN_CAPITAL&gt;=$G44),1,0)</f>
        <v>0</v>
      </c>
      <c r="L44" s="143" t="n">
        <f aca="false">IF(AND($B44&lt;&gt;"",$D44&lt;=IFERROR(INDEX(Premissas!$B$102:$B$104,MATCH(IN_PERFIL,Premissas!$A$102:$A$104,0)),5)),1,0)</f>
        <v>0</v>
      </c>
      <c r="M44" s="143" t="n">
        <f aca="false">IF(IN_PRAZO*30&lt;$E44,0,IF($D44&gt;=4,IF(IN_PRAZO&gt;=60,100,IF(IN_PRAZO&gt;=36,60,IF(IN_PRAZO&gt;=24,30,0))),IF($D44=3,IF(IN_PRAZO&gt;=24,100,IF(IN_PRAZO&gt;=12,70,40)),100)))</f>
        <v>100</v>
      </c>
      <c r="N44" s="143" t="n">
        <f aca="false">IF(IN_RESGATE="Sim",IF($E44+$F44&lt;=3,100,IF($E44+$F44&lt;=31,50,0)),IF(IN_RESGATE="Talvez",IF($E44+$F44&lt;=90,100,IF($E44+$F44&lt;=360,50,20)),100))</f>
        <v>100</v>
      </c>
      <c r="O44" s="143" t="n">
        <f aca="false">IF($D44=0,0,IFERROR(INDEX($B$98:$F$101,MATCH(IN_PRIORIDADE,$A$98:$A$101,0),$D44),0))</f>
        <v>0</v>
      </c>
      <c r="P44" s="143" t="n">
        <f aca="false">MAX(0,MIN(100,60+IF($H44="ISENTO",25,0)+IF($I44&lt;=0.005,15,IF($I44&gt;=0.015,-15,0))+IF(AND($H44="PREV_REGR",IN_PRAZO&gt;=120),20,0)+IF(AND($H44="FUNDO_LP",IN_PRAZO&lt;=12),-10,0)+IF(AND($H44="FUNDO_CP",IN_PRAZO&gt;=24),-15,0)))</f>
        <v>75</v>
      </c>
      <c r="Q44" s="144" t="n">
        <f aca="false">IF(OR($B44="",$J44&lt;&gt;"SIM",$K44=0,$L44=0),0,ROUND(($M44*$B$7+$N44*$C$7+$O44*$D$7+$P44*$E$7)/MAX(1,$B$7+$C$7+$D$7+$E$7),1))</f>
        <v>0</v>
      </c>
      <c r="R44" s="145" t="n">
        <f aca="false">IF($H44="IMOVEL",0,$Q44+ROW()/1000000)</f>
        <v>4.4E-005</v>
      </c>
      <c r="S44" s="146" t="str">
        <f aca="false">IF($B44="","",IF($Q44=0,"Não indicado agora",IF($Q44&gt;=75,"Pode fazer sentido",IF($Q44&gt;=50,"Talvez faça sentido","Provavelmente não é o mais indicado"))))</f>
        <v/>
      </c>
      <c r="T44" s="147" t="str">
        <f aca="false">IF($B44="","",IF($Q44=0,IF($K44=0,"O valor disponível é menor que a aplicação mínima deste produto.",IF($L44=0,"O risco deste produto está acima do perfil declarado pelo cliente.","Produto não está ativo na base.")),IF($Q44&lt;50,"Encaixa pouco no que foi pedido — veja o ponto de atenção ao lado.",IF($H44="ISENTO","Não paga Imposto de Renda para pessoa física.",IF($W44="PRE","A taxa fica travada na contratação: não cai se os juros da economia caírem.",IF($W44="IPCA","Protege o poder de compra: rende a inflação mais uma taxa fixa por cima.",IF(AND($E44=0,$F44&lt;=1),"O dinheiro pode ser retirado praticamente a qualquer momento.",IF(AND($H44="PREV_REGR",IN_PRAZO&gt;=120),"No prazo escolhido a previdência alcança a menor alíquota de imposto (10%).",IF($D44&gt;=4,"Pode render mais no prazo longo, aceitando oscilação pelo caminho.","Combina com o prazo, a liquidez e a prioridade informados.")))))))))</f>
        <v/>
      </c>
      <c r="U44" s="147" t="str">
        <f aca="false">IF($B44="","",IF($E44&gt;0,"Carência de "&amp;$E44&amp;" dias: não dá para resgatar antes.",IF($F44&gt;60,"Não é dinheiro rápido: leva meses para virar caixa.",IF(LEFT($H44,4)="PREV",IF(IN_PRAZO&lt;24,"Resgate antes de 2 anos paga 35% de imposto.","Não tem cobertura do FGC: quem responde pelo dinheiro é a seguradora."),IF($D44&gt;=4,"Pode cair no caminho e demorar a se recuperar.",IF(AND($H44="RF_REGR",$X44&gt;=0.03),"Se vender antes do vencimento, o preço pode estar abaixo do que você pagou.",IF($X44&gt;=0.03,"O valor oscila mês a mês: em prazo curto pode estar abaixo do que você aplicou.",IF($H44="FUNDO_LP","Tem come-cotas em maio e novembro, que antecipam parte do imposto.",IF($F44&gt;7,"Para o dinheiro cair na conta leva cerca de "&amp;$F44&amp;" dias.",IF($I44&gt;=0.015,"Taxa de administração alta em relação ao retorno esperado.","Confirme prazo, liquidez e tributação antes de contratar."))))))))))</f>
        <v/>
      </c>
      <c r="V44" s="148" t="str">
        <f aca="false">IF($B44="","",IFERROR(IF(Produtos!$H44="MULT",(1+INDEX(TAB_MACRO_VAL,MATCH(Produtos!$E44,TAB_MACRO_COD,0))*Produtos!$F44)*(1+Produtos!$G44)-1,INDEX(TAB_MACRO_VAL,MATCH(Produtos!$E44,TAB_MACRO_COD,0))*Produtos!$F44+Produtos!$G44),""))</f>
        <v/>
      </c>
      <c r="W44" s="74" t="str">
        <f aca="false">IF(Produtos!$B44="","",Produtos!$E44)</f>
        <v/>
      </c>
      <c r="X44" s="76" t="n">
        <f aca="false">IF(Produtos!$B44="",0,Produtos!$U44)</f>
        <v>0</v>
      </c>
    </row>
    <row r="45" customFormat="false" ht="21.75" hidden="false" customHeight="true" outlineLevel="0" collapsed="false">
      <c r="A45" s="74" t="str">
        <f aca="false">IF(Produtos!$B45="","",Produtos!$A45)</f>
        <v/>
      </c>
      <c r="B45" s="142" t="str">
        <f aca="false">IF(Produtos!$B45="","",Produtos!$B45)</f>
        <v/>
      </c>
      <c r="C45" s="74" t="str">
        <f aca="false">IF(Produtos!$B45="","",Produtos!$C45)</f>
        <v/>
      </c>
      <c r="D45" s="77" t="n">
        <f aca="false">IF(Produtos!$B45="",0,Produtos!$T45)</f>
        <v>0</v>
      </c>
      <c r="E45" s="77" t="n">
        <f aca="false">IF(Produtos!$B45="",0,Produtos!$P45)</f>
        <v>0</v>
      </c>
      <c r="F45" s="77" t="n">
        <f aca="false">IF(Produtos!$B45="",0,Produtos!$Q45)</f>
        <v>0</v>
      </c>
      <c r="G45" s="78" t="n">
        <f aca="false">IF(Produtos!$B45="",0,Produtos!$R45)</f>
        <v>0</v>
      </c>
      <c r="H45" s="74" t="str">
        <f aca="false">IF(Produtos!$B45="","",Produtos!$N45)</f>
        <v/>
      </c>
      <c r="I45" s="76" t="n">
        <f aca="false">IF(Produtos!$B45="",0,Produtos!$I45)</f>
        <v>0</v>
      </c>
      <c r="J45" s="74" t="str">
        <f aca="false">IF(Produtos!$B45="","NÃO",Produtos!$AD45)</f>
        <v>NÃO</v>
      </c>
      <c r="K45" s="143" t="n">
        <f aca="false">IF(AND($B45&lt;&gt;"",IN_CAPITAL&gt;=$G45),1,0)</f>
        <v>0</v>
      </c>
      <c r="L45" s="143" t="n">
        <f aca="false">IF(AND($B45&lt;&gt;"",$D45&lt;=IFERROR(INDEX(Premissas!$B$102:$B$104,MATCH(IN_PERFIL,Premissas!$A$102:$A$104,0)),5)),1,0)</f>
        <v>0</v>
      </c>
      <c r="M45" s="143" t="n">
        <f aca="false">IF(IN_PRAZO*30&lt;$E45,0,IF($D45&gt;=4,IF(IN_PRAZO&gt;=60,100,IF(IN_PRAZO&gt;=36,60,IF(IN_PRAZO&gt;=24,30,0))),IF($D45=3,IF(IN_PRAZO&gt;=24,100,IF(IN_PRAZO&gt;=12,70,40)),100)))</f>
        <v>100</v>
      </c>
      <c r="N45" s="143" t="n">
        <f aca="false">IF(IN_RESGATE="Sim",IF($E45+$F45&lt;=3,100,IF($E45+$F45&lt;=31,50,0)),IF(IN_RESGATE="Talvez",IF($E45+$F45&lt;=90,100,IF($E45+$F45&lt;=360,50,20)),100))</f>
        <v>100</v>
      </c>
      <c r="O45" s="143" t="n">
        <f aca="false">IF($D45=0,0,IFERROR(INDEX($B$98:$F$101,MATCH(IN_PRIORIDADE,$A$98:$A$101,0),$D45),0))</f>
        <v>0</v>
      </c>
      <c r="P45" s="143" t="n">
        <f aca="false">MAX(0,MIN(100,60+IF($H45="ISENTO",25,0)+IF($I45&lt;=0.005,15,IF($I45&gt;=0.015,-15,0))+IF(AND($H45="PREV_REGR",IN_PRAZO&gt;=120),20,0)+IF(AND($H45="FUNDO_LP",IN_PRAZO&lt;=12),-10,0)+IF(AND($H45="FUNDO_CP",IN_PRAZO&gt;=24),-15,0)))</f>
        <v>75</v>
      </c>
      <c r="Q45" s="144" t="n">
        <f aca="false">IF(OR($B45="",$J45&lt;&gt;"SIM",$K45=0,$L45=0),0,ROUND(($M45*$B$7+$N45*$C$7+$O45*$D$7+$P45*$E$7)/MAX(1,$B$7+$C$7+$D$7+$E$7),1))</f>
        <v>0</v>
      </c>
      <c r="R45" s="145" t="n">
        <f aca="false">IF($H45="IMOVEL",0,$Q45+ROW()/1000000)</f>
        <v>4.5E-005</v>
      </c>
      <c r="S45" s="146" t="str">
        <f aca="false">IF($B45="","",IF($Q45=0,"Não indicado agora",IF($Q45&gt;=75,"Pode fazer sentido",IF($Q45&gt;=50,"Talvez faça sentido","Provavelmente não é o mais indicado"))))</f>
        <v/>
      </c>
      <c r="T45" s="147" t="str">
        <f aca="false">IF($B45="","",IF($Q45=0,IF($K45=0,"O valor disponível é menor que a aplicação mínima deste produto.",IF($L45=0,"O risco deste produto está acima do perfil declarado pelo cliente.","Produto não está ativo na base.")),IF($Q45&lt;50,"Encaixa pouco no que foi pedido — veja o ponto de atenção ao lado.",IF($H45="ISENTO","Não paga Imposto de Renda para pessoa física.",IF($W45="PRE","A taxa fica travada na contratação: não cai se os juros da economia caírem.",IF($W45="IPCA","Protege o poder de compra: rende a inflação mais uma taxa fixa por cima.",IF(AND($E45=0,$F45&lt;=1),"O dinheiro pode ser retirado praticamente a qualquer momento.",IF(AND($H45="PREV_REGR",IN_PRAZO&gt;=120),"No prazo escolhido a previdência alcança a menor alíquota de imposto (10%).",IF($D45&gt;=4,"Pode render mais no prazo longo, aceitando oscilação pelo caminho.","Combina com o prazo, a liquidez e a prioridade informados.")))))))))</f>
        <v/>
      </c>
      <c r="U45" s="147" t="str">
        <f aca="false">IF($B45="","",IF($E45&gt;0,"Carência de "&amp;$E45&amp;" dias: não dá para resgatar antes.",IF($F45&gt;60,"Não é dinheiro rápido: leva meses para virar caixa.",IF(LEFT($H45,4)="PREV",IF(IN_PRAZO&lt;24,"Resgate antes de 2 anos paga 35% de imposto.","Não tem cobertura do FGC: quem responde pelo dinheiro é a seguradora."),IF($D45&gt;=4,"Pode cair no caminho e demorar a se recuperar.",IF(AND($H45="RF_REGR",$X45&gt;=0.03),"Se vender antes do vencimento, o preço pode estar abaixo do que você pagou.",IF($X45&gt;=0.03,"O valor oscila mês a mês: em prazo curto pode estar abaixo do que você aplicou.",IF($H45="FUNDO_LP","Tem come-cotas em maio e novembro, que antecipam parte do imposto.",IF($F45&gt;7,"Para o dinheiro cair na conta leva cerca de "&amp;$F45&amp;" dias.",IF($I45&gt;=0.015,"Taxa de administração alta em relação ao retorno esperado.","Confirme prazo, liquidez e tributação antes de contratar."))))))))))</f>
        <v/>
      </c>
      <c r="V45" s="148" t="str">
        <f aca="false">IF($B45="","",IFERROR(IF(Produtos!$H45="MULT",(1+INDEX(TAB_MACRO_VAL,MATCH(Produtos!$E45,TAB_MACRO_COD,0))*Produtos!$F45)*(1+Produtos!$G45)-1,INDEX(TAB_MACRO_VAL,MATCH(Produtos!$E45,TAB_MACRO_COD,0))*Produtos!$F45+Produtos!$G45),""))</f>
        <v/>
      </c>
      <c r="W45" s="74" t="str">
        <f aca="false">IF(Produtos!$B45="","",Produtos!$E45)</f>
        <v/>
      </c>
      <c r="X45" s="76" t="n">
        <f aca="false">IF(Produtos!$B45="",0,Produtos!$U45)</f>
        <v>0</v>
      </c>
    </row>
    <row r="46" customFormat="false" ht="21.75" hidden="false" customHeight="true" outlineLevel="0" collapsed="false">
      <c r="A46" s="74" t="str">
        <f aca="false">IF(Produtos!$B46="","",Produtos!$A46)</f>
        <v/>
      </c>
      <c r="B46" s="142" t="str">
        <f aca="false">IF(Produtos!$B46="","",Produtos!$B46)</f>
        <v/>
      </c>
      <c r="C46" s="74" t="str">
        <f aca="false">IF(Produtos!$B46="","",Produtos!$C46)</f>
        <v/>
      </c>
      <c r="D46" s="77" t="n">
        <f aca="false">IF(Produtos!$B46="",0,Produtos!$T46)</f>
        <v>0</v>
      </c>
      <c r="E46" s="77" t="n">
        <f aca="false">IF(Produtos!$B46="",0,Produtos!$P46)</f>
        <v>0</v>
      </c>
      <c r="F46" s="77" t="n">
        <f aca="false">IF(Produtos!$B46="",0,Produtos!$Q46)</f>
        <v>0</v>
      </c>
      <c r="G46" s="78" t="n">
        <f aca="false">IF(Produtos!$B46="",0,Produtos!$R46)</f>
        <v>0</v>
      </c>
      <c r="H46" s="74" t="str">
        <f aca="false">IF(Produtos!$B46="","",Produtos!$N46)</f>
        <v/>
      </c>
      <c r="I46" s="76" t="n">
        <f aca="false">IF(Produtos!$B46="",0,Produtos!$I46)</f>
        <v>0</v>
      </c>
      <c r="J46" s="74" t="str">
        <f aca="false">IF(Produtos!$B46="","NÃO",Produtos!$AD46)</f>
        <v>NÃO</v>
      </c>
      <c r="K46" s="143" t="n">
        <f aca="false">IF(AND($B46&lt;&gt;"",IN_CAPITAL&gt;=$G46),1,0)</f>
        <v>0</v>
      </c>
      <c r="L46" s="143" t="n">
        <f aca="false">IF(AND($B46&lt;&gt;"",$D46&lt;=IFERROR(INDEX(Premissas!$B$102:$B$104,MATCH(IN_PERFIL,Premissas!$A$102:$A$104,0)),5)),1,0)</f>
        <v>0</v>
      </c>
      <c r="M46" s="143" t="n">
        <f aca="false">IF(IN_PRAZO*30&lt;$E46,0,IF($D46&gt;=4,IF(IN_PRAZO&gt;=60,100,IF(IN_PRAZO&gt;=36,60,IF(IN_PRAZO&gt;=24,30,0))),IF($D46=3,IF(IN_PRAZO&gt;=24,100,IF(IN_PRAZO&gt;=12,70,40)),100)))</f>
        <v>100</v>
      </c>
      <c r="N46" s="143" t="n">
        <f aca="false">IF(IN_RESGATE="Sim",IF($E46+$F46&lt;=3,100,IF($E46+$F46&lt;=31,50,0)),IF(IN_RESGATE="Talvez",IF($E46+$F46&lt;=90,100,IF($E46+$F46&lt;=360,50,20)),100))</f>
        <v>100</v>
      </c>
      <c r="O46" s="143" t="n">
        <f aca="false">IF($D46=0,0,IFERROR(INDEX($B$98:$F$101,MATCH(IN_PRIORIDADE,$A$98:$A$101,0),$D46),0))</f>
        <v>0</v>
      </c>
      <c r="P46" s="143" t="n">
        <f aca="false">MAX(0,MIN(100,60+IF($H46="ISENTO",25,0)+IF($I46&lt;=0.005,15,IF($I46&gt;=0.015,-15,0))+IF(AND($H46="PREV_REGR",IN_PRAZO&gt;=120),20,0)+IF(AND($H46="FUNDO_LP",IN_PRAZO&lt;=12),-10,0)+IF(AND($H46="FUNDO_CP",IN_PRAZO&gt;=24),-15,0)))</f>
        <v>75</v>
      </c>
      <c r="Q46" s="144" t="n">
        <f aca="false">IF(OR($B46="",$J46&lt;&gt;"SIM",$K46=0,$L46=0),0,ROUND(($M46*$B$7+$N46*$C$7+$O46*$D$7+$P46*$E$7)/MAX(1,$B$7+$C$7+$D$7+$E$7),1))</f>
        <v>0</v>
      </c>
      <c r="R46" s="145" t="n">
        <f aca="false">IF($H46="IMOVEL",0,$Q46+ROW()/1000000)</f>
        <v>4.6E-005</v>
      </c>
      <c r="S46" s="146" t="str">
        <f aca="false">IF($B46="","",IF($Q46=0,"Não indicado agora",IF($Q46&gt;=75,"Pode fazer sentido",IF($Q46&gt;=50,"Talvez faça sentido","Provavelmente não é o mais indicado"))))</f>
        <v/>
      </c>
      <c r="T46" s="147" t="str">
        <f aca="false">IF($B46="","",IF($Q46=0,IF($K46=0,"O valor disponível é menor que a aplicação mínima deste produto.",IF($L46=0,"O risco deste produto está acima do perfil declarado pelo cliente.","Produto não está ativo na base.")),IF($Q46&lt;50,"Encaixa pouco no que foi pedido — veja o ponto de atenção ao lado.",IF($H46="ISENTO","Não paga Imposto de Renda para pessoa física.",IF($W46="PRE","A taxa fica travada na contratação: não cai se os juros da economia caírem.",IF($W46="IPCA","Protege o poder de compra: rende a inflação mais uma taxa fixa por cima.",IF(AND($E46=0,$F46&lt;=1),"O dinheiro pode ser retirado praticamente a qualquer momento.",IF(AND($H46="PREV_REGR",IN_PRAZO&gt;=120),"No prazo escolhido a previdência alcança a menor alíquota de imposto (10%).",IF($D46&gt;=4,"Pode render mais no prazo longo, aceitando oscilação pelo caminho.","Combina com o prazo, a liquidez e a prioridade informados.")))))))))</f>
        <v/>
      </c>
      <c r="U46" s="147" t="str">
        <f aca="false">IF($B46="","",IF($E46&gt;0,"Carência de "&amp;$E46&amp;" dias: não dá para resgatar antes.",IF($F46&gt;60,"Não é dinheiro rápido: leva meses para virar caixa.",IF(LEFT($H46,4)="PREV",IF(IN_PRAZO&lt;24,"Resgate antes de 2 anos paga 35% de imposto.","Não tem cobertura do FGC: quem responde pelo dinheiro é a seguradora."),IF($D46&gt;=4,"Pode cair no caminho e demorar a se recuperar.",IF(AND($H46="RF_REGR",$X46&gt;=0.03),"Se vender antes do vencimento, o preço pode estar abaixo do que você pagou.",IF($X46&gt;=0.03,"O valor oscila mês a mês: em prazo curto pode estar abaixo do que você aplicou.",IF($H46="FUNDO_LP","Tem come-cotas em maio e novembro, que antecipam parte do imposto.",IF($F46&gt;7,"Para o dinheiro cair na conta leva cerca de "&amp;$F46&amp;" dias.",IF($I46&gt;=0.015,"Taxa de administração alta em relação ao retorno esperado.","Confirme prazo, liquidez e tributação antes de contratar."))))))))))</f>
        <v/>
      </c>
      <c r="V46" s="148" t="str">
        <f aca="false">IF($B46="","",IFERROR(IF(Produtos!$H46="MULT",(1+INDEX(TAB_MACRO_VAL,MATCH(Produtos!$E46,TAB_MACRO_COD,0))*Produtos!$F46)*(1+Produtos!$G46)-1,INDEX(TAB_MACRO_VAL,MATCH(Produtos!$E46,TAB_MACRO_COD,0))*Produtos!$F46+Produtos!$G46),""))</f>
        <v/>
      </c>
      <c r="W46" s="74" t="str">
        <f aca="false">IF(Produtos!$B46="","",Produtos!$E46)</f>
        <v/>
      </c>
      <c r="X46" s="76" t="n">
        <f aca="false">IF(Produtos!$B46="",0,Produtos!$U46)</f>
        <v>0</v>
      </c>
    </row>
    <row r="47" customFormat="false" ht="21.75" hidden="false" customHeight="true" outlineLevel="0" collapsed="false">
      <c r="A47" s="74" t="str">
        <f aca="false">IF(Produtos!$B47="","",Produtos!$A47)</f>
        <v/>
      </c>
      <c r="B47" s="142" t="str">
        <f aca="false">IF(Produtos!$B47="","",Produtos!$B47)</f>
        <v/>
      </c>
      <c r="C47" s="74" t="str">
        <f aca="false">IF(Produtos!$B47="","",Produtos!$C47)</f>
        <v/>
      </c>
      <c r="D47" s="77" t="n">
        <f aca="false">IF(Produtos!$B47="",0,Produtos!$T47)</f>
        <v>0</v>
      </c>
      <c r="E47" s="77" t="n">
        <f aca="false">IF(Produtos!$B47="",0,Produtos!$P47)</f>
        <v>0</v>
      </c>
      <c r="F47" s="77" t="n">
        <f aca="false">IF(Produtos!$B47="",0,Produtos!$Q47)</f>
        <v>0</v>
      </c>
      <c r="G47" s="78" t="n">
        <f aca="false">IF(Produtos!$B47="",0,Produtos!$R47)</f>
        <v>0</v>
      </c>
      <c r="H47" s="74" t="str">
        <f aca="false">IF(Produtos!$B47="","",Produtos!$N47)</f>
        <v/>
      </c>
      <c r="I47" s="76" t="n">
        <f aca="false">IF(Produtos!$B47="",0,Produtos!$I47)</f>
        <v>0</v>
      </c>
      <c r="J47" s="74" t="str">
        <f aca="false">IF(Produtos!$B47="","NÃO",Produtos!$AD47)</f>
        <v>NÃO</v>
      </c>
      <c r="K47" s="143" t="n">
        <f aca="false">IF(AND($B47&lt;&gt;"",IN_CAPITAL&gt;=$G47),1,0)</f>
        <v>0</v>
      </c>
      <c r="L47" s="143" t="n">
        <f aca="false">IF(AND($B47&lt;&gt;"",$D47&lt;=IFERROR(INDEX(Premissas!$B$102:$B$104,MATCH(IN_PERFIL,Premissas!$A$102:$A$104,0)),5)),1,0)</f>
        <v>0</v>
      </c>
      <c r="M47" s="143" t="n">
        <f aca="false">IF(IN_PRAZO*30&lt;$E47,0,IF($D47&gt;=4,IF(IN_PRAZO&gt;=60,100,IF(IN_PRAZO&gt;=36,60,IF(IN_PRAZO&gt;=24,30,0))),IF($D47=3,IF(IN_PRAZO&gt;=24,100,IF(IN_PRAZO&gt;=12,70,40)),100)))</f>
        <v>100</v>
      </c>
      <c r="N47" s="143" t="n">
        <f aca="false">IF(IN_RESGATE="Sim",IF($E47+$F47&lt;=3,100,IF($E47+$F47&lt;=31,50,0)),IF(IN_RESGATE="Talvez",IF($E47+$F47&lt;=90,100,IF($E47+$F47&lt;=360,50,20)),100))</f>
        <v>100</v>
      </c>
      <c r="O47" s="143" t="n">
        <f aca="false">IF($D47=0,0,IFERROR(INDEX($B$98:$F$101,MATCH(IN_PRIORIDADE,$A$98:$A$101,0),$D47),0))</f>
        <v>0</v>
      </c>
      <c r="P47" s="143" t="n">
        <f aca="false">MAX(0,MIN(100,60+IF($H47="ISENTO",25,0)+IF($I47&lt;=0.005,15,IF($I47&gt;=0.015,-15,0))+IF(AND($H47="PREV_REGR",IN_PRAZO&gt;=120),20,0)+IF(AND($H47="FUNDO_LP",IN_PRAZO&lt;=12),-10,0)+IF(AND($H47="FUNDO_CP",IN_PRAZO&gt;=24),-15,0)))</f>
        <v>75</v>
      </c>
      <c r="Q47" s="144" t="n">
        <f aca="false">IF(OR($B47="",$J47&lt;&gt;"SIM",$K47=0,$L47=0),0,ROUND(($M47*$B$7+$N47*$C$7+$O47*$D$7+$P47*$E$7)/MAX(1,$B$7+$C$7+$D$7+$E$7),1))</f>
        <v>0</v>
      </c>
      <c r="R47" s="145" t="n">
        <f aca="false">IF($H47="IMOVEL",0,$Q47+ROW()/1000000)</f>
        <v>4.7E-005</v>
      </c>
      <c r="S47" s="146" t="str">
        <f aca="false">IF($B47="","",IF($Q47=0,"Não indicado agora",IF($Q47&gt;=75,"Pode fazer sentido",IF($Q47&gt;=50,"Talvez faça sentido","Provavelmente não é o mais indicado"))))</f>
        <v/>
      </c>
      <c r="T47" s="147" t="str">
        <f aca="false">IF($B47="","",IF($Q47=0,IF($K47=0,"O valor disponível é menor que a aplicação mínima deste produto.",IF($L47=0,"O risco deste produto está acima do perfil declarado pelo cliente.","Produto não está ativo na base.")),IF($Q47&lt;50,"Encaixa pouco no que foi pedido — veja o ponto de atenção ao lado.",IF($H47="ISENTO","Não paga Imposto de Renda para pessoa física.",IF($W47="PRE","A taxa fica travada na contratação: não cai se os juros da economia caírem.",IF($W47="IPCA","Protege o poder de compra: rende a inflação mais uma taxa fixa por cima.",IF(AND($E47=0,$F47&lt;=1),"O dinheiro pode ser retirado praticamente a qualquer momento.",IF(AND($H47="PREV_REGR",IN_PRAZO&gt;=120),"No prazo escolhido a previdência alcança a menor alíquota de imposto (10%).",IF($D47&gt;=4,"Pode render mais no prazo longo, aceitando oscilação pelo caminho.","Combina com o prazo, a liquidez e a prioridade informados.")))))))))</f>
        <v/>
      </c>
      <c r="U47" s="147" t="str">
        <f aca="false">IF($B47="","",IF($E47&gt;0,"Carência de "&amp;$E47&amp;" dias: não dá para resgatar antes.",IF($F47&gt;60,"Não é dinheiro rápido: leva meses para virar caixa.",IF(LEFT($H47,4)="PREV",IF(IN_PRAZO&lt;24,"Resgate antes de 2 anos paga 35% de imposto.","Não tem cobertura do FGC: quem responde pelo dinheiro é a seguradora."),IF($D47&gt;=4,"Pode cair no caminho e demorar a se recuperar.",IF(AND($H47="RF_REGR",$X47&gt;=0.03),"Se vender antes do vencimento, o preço pode estar abaixo do que você pagou.",IF($X47&gt;=0.03,"O valor oscila mês a mês: em prazo curto pode estar abaixo do que você aplicou.",IF($H47="FUNDO_LP","Tem come-cotas em maio e novembro, que antecipam parte do imposto.",IF($F47&gt;7,"Para o dinheiro cair na conta leva cerca de "&amp;$F47&amp;" dias.",IF($I47&gt;=0.015,"Taxa de administração alta em relação ao retorno esperado.","Confirme prazo, liquidez e tributação antes de contratar."))))))))))</f>
        <v/>
      </c>
      <c r="V47" s="148" t="str">
        <f aca="false">IF($B47="","",IFERROR(IF(Produtos!$H47="MULT",(1+INDEX(TAB_MACRO_VAL,MATCH(Produtos!$E47,TAB_MACRO_COD,0))*Produtos!$F47)*(1+Produtos!$G47)-1,INDEX(TAB_MACRO_VAL,MATCH(Produtos!$E47,TAB_MACRO_COD,0))*Produtos!$F47+Produtos!$G47),""))</f>
        <v/>
      </c>
      <c r="W47" s="74" t="str">
        <f aca="false">IF(Produtos!$B47="","",Produtos!$E47)</f>
        <v/>
      </c>
      <c r="X47" s="76" t="n">
        <f aca="false">IF(Produtos!$B47="",0,Produtos!$U47)</f>
        <v>0</v>
      </c>
    </row>
    <row r="48" customFormat="false" ht="21.75" hidden="false" customHeight="true" outlineLevel="0" collapsed="false">
      <c r="A48" s="74" t="str">
        <f aca="false">IF(Produtos!$B48="","",Produtos!$A48)</f>
        <v/>
      </c>
      <c r="B48" s="142" t="str">
        <f aca="false">IF(Produtos!$B48="","",Produtos!$B48)</f>
        <v/>
      </c>
      <c r="C48" s="74" t="str">
        <f aca="false">IF(Produtos!$B48="","",Produtos!$C48)</f>
        <v/>
      </c>
      <c r="D48" s="77" t="n">
        <f aca="false">IF(Produtos!$B48="",0,Produtos!$T48)</f>
        <v>0</v>
      </c>
      <c r="E48" s="77" t="n">
        <f aca="false">IF(Produtos!$B48="",0,Produtos!$P48)</f>
        <v>0</v>
      </c>
      <c r="F48" s="77" t="n">
        <f aca="false">IF(Produtos!$B48="",0,Produtos!$Q48)</f>
        <v>0</v>
      </c>
      <c r="G48" s="78" t="n">
        <f aca="false">IF(Produtos!$B48="",0,Produtos!$R48)</f>
        <v>0</v>
      </c>
      <c r="H48" s="74" t="str">
        <f aca="false">IF(Produtos!$B48="","",Produtos!$N48)</f>
        <v/>
      </c>
      <c r="I48" s="76" t="n">
        <f aca="false">IF(Produtos!$B48="",0,Produtos!$I48)</f>
        <v>0</v>
      </c>
      <c r="J48" s="74" t="str">
        <f aca="false">IF(Produtos!$B48="","NÃO",Produtos!$AD48)</f>
        <v>NÃO</v>
      </c>
      <c r="K48" s="143" t="n">
        <f aca="false">IF(AND($B48&lt;&gt;"",IN_CAPITAL&gt;=$G48),1,0)</f>
        <v>0</v>
      </c>
      <c r="L48" s="143" t="n">
        <f aca="false">IF(AND($B48&lt;&gt;"",$D48&lt;=IFERROR(INDEX(Premissas!$B$102:$B$104,MATCH(IN_PERFIL,Premissas!$A$102:$A$104,0)),5)),1,0)</f>
        <v>0</v>
      </c>
      <c r="M48" s="143" t="n">
        <f aca="false">IF(IN_PRAZO*30&lt;$E48,0,IF($D48&gt;=4,IF(IN_PRAZO&gt;=60,100,IF(IN_PRAZO&gt;=36,60,IF(IN_PRAZO&gt;=24,30,0))),IF($D48=3,IF(IN_PRAZO&gt;=24,100,IF(IN_PRAZO&gt;=12,70,40)),100)))</f>
        <v>100</v>
      </c>
      <c r="N48" s="143" t="n">
        <f aca="false">IF(IN_RESGATE="Sim",IF($E48+$F48&lt;=3,100,IF($E48+$F48&lt;=31,50,0)),IF(IN_RESGATE="Talvez",IF($E48+$F48&lt;=90,100,IF($E48+$F48&lt;=360,50,20)),100))</f>
        <v>100</v>
      </c>
      <c r="O48" s="143" t="n">
        <f aca="false">IF($D48=0,0,IFERROR(INDEX($B$98:$F$101,MATCH(IN_PRIORIDADE,$A$98:$A$101,0),$D48),0))</f>
        <v>0</v>
      </c>
      <c r="P48" s="143" t="n">
        <f aca="false">MAX(0,MIN(100,60+IF($H48="ISENTO",25,0)+IF($I48&lt;=0.005,15,IF($I48&gt;=0.015,-15,0))+IF(AND($H48="PREV_REGR",IN_PRAZO&gt;=120),20,0)+IF(AND($H48="FUNDO_LP",IN_PRAZO&lt;=12),-10,0)+IF(AND($H48="FUNDO_CP",IN_PRAZO&gt;=24),-15,0)))</f>
        <v>75</v>
      </c>
      <c r="Q48" s="144" t="n">
        <f aca="false">IF(OR($B48="",$J48&lt;&gt;"SIM",$K48=0,$L48=0),0,ROUND(($M48*$B$7+$N48*$C$7+$O48*$D$7+$P48*$E$7)/MAX(1,$B$7+$C$7+$D$7+$E$7),1))</f>
        <v>0</v>
      </c>
      <c r="R48" s="145" t="n">
        <f aca="false">IF($H48="IMOVEL",0,$Q48+ROW()/1000000)</f>
        <v>4.8E-005</v>
      </c>
      <c r="S48" s="146" t="str">
        <f aca="false">IF($B48="","",IF($Q48=0,"Não indicado agora",IF($Q48&gt;=75,"Pode fazer sentido",IF($Q48&gt;=50,"Talvez faça sentido","Provavelmente não é o mais indicado"))))</f>
        <v/>
      </c>
      <c r="T48" s="147" t="str">
        <f aca="false">IF($B48="","",IF($Q48=0,IF($K48=0,"O valor disponível é menor que a aplicação mínima deste produto.",IF($L48=0,"O risco deste produto está acima do perfil declarado pelo cliente.","Produto não está ativo na base.")),IF($Q48&lt;50,"Encaixa pouco no que foi pedido — veja o ponto de atenção ao lado.",IF($H48="ISENTO","Não paga Imposto de Renda para pessoa física.",IF($W48="PRE","A taxa fica travada na contratação: não cai se os juros da economia caírem.",IF($W48="IPCA","Protege o poder de compra: rende a inflação mais uma taxa fixa por cima.",IF(AND($E48=0,$F48&lt;=1),"O dinheiro pode ser retirado praticamente a qualquer momento.",IF(AND($H48="PREV_REGR",IN_PRAZO&gt;=120),"No prazo escolhido a previdência alcança a menor alíquota de imposto (10%).",IF($D48&gt;=4,"Pode render mais no prazo longo, aceitando oscilação pelo caminho.","Combina com o prazo, a liquidez e a prioridade informados.")))))))))</f>
        <v/>
      </c>
      <c r="U48" s="147" t="str">
        <f aca="false">IF($B48="","",IF($E48&gt;0,"Carência de "&amp;$E48&amp;" dias: não dá para resgatar antes.",IF($F48&gt;60,"Não é dinheiro rápido: leva meses para virar caixa.",IF(LEFT($H48,4)="PREV",IF(IN_PRAZO&lt;24,"Resgate antes de 2 anos paga 35% de imposto.","Não tem cobertura do FGC: quem responde pelo dinheiro é a seguradora."),IF($D48&gt;=4,"Pode cair no caminho e demorar a se recuperar.",IF(AND($H48="RF_REGR",$X48&gt;=0.03),"Se vender antes do vencimento, o preço pode estar abaixo do que você pagou.",IF($X48&gt;=0.03,"O valor oscila mês a mês: em prazo curto pode estar abaixo do que você aplicou.",IF($H48="FUNDO_LP","Tem come-cotas em maio e novembro, que antecipam parte do imposto.",IF($F48&gt;7,"Para o dinheiro cair na conta leva cerca de "&amp;$F48&amp;" dias.",IF($I48&gt;=0.015,"Taxa de administração alta em relação ao retorno esperado.","Confirme prazo, liquidez e tributação antes de contratar."))))))))))</f>
        <v/>
      </c>
      <c r="V48" s="148" t="str">
        <f aca="false">IF($B48="","",IFERROR(IF(Produtos!$H48="MULT",(1+INDEX(TAB_MACRO_VAL,MATCH(Produtos!$E48,TAB_MACRO_COD,0))*Produtos!$F48)*(1+Produtos!$G48)-1,INDEX(TAB_MACRO_VAL,MATCH(Produtos!$E48,TAB_MACRO_COD,0))*Produtos!$F48+Produtos!$G48),""))</f>
        <v/>
      </c>
      <c r="W48" s="74" t="str">
        <f aca="false">IF(Produtos!$B48="","",Produtos!$E48)</f>
        <v/>
      </c>
      <c r="X48" s="76" t="n">
        <f aca="false">IF(Produtos!$B48="",0,Produtos!$U48)</f>
        <v>0</v>
      </c>
    </row>
    <row r="49" customFormat="false" ht="21.75" hidden="false" customHeight="true" outlineLevel="0" collapsed="false">
      <c r="A49" s="74" t="str">
        <f aca="false">IF(Produtos!$B49="","",Produtos!$A49)</f>
        <v/>
      </c>
      <c r="B49" s="142" t="str">
        <f aca="false">IF(Produtos!$B49="","",Produtos!$B49)</f>
        <v/>
      </c>
      <c r="C49" s="74" t="str">
        <f aca="false">IF(Produtos!$B49="","",Produtos!$C49)</f>
        <v/>
      </c>
      <c r="D49" s="77" t="n">
        <f aca="false">IF(Produtos!$B49="",0,Produtos!$T49)</f>
        <v>0</v>
      </c>
      <c r="E49" s="77" t="n">
        <f aca="false">IF(Produtos!$B49="",0,Produtos!$P49)</f>
        <v>0</v>
      </c>
      <c r="F49" s="77" t="n">
        <f aca="false">IF(Produtos!$B49="",0,Produtos!$Q49)</f>
        <v>0</v>
      </c>
      <c r="G49" s="78" t="n">
        <f aca="false">IF(Produtos!$B49="",0,Produtos!$R49)</f>
        <v>0</v>
      </c>
      <c r="H49" s="74" t="str">
        <f aca="false">IF(Produtos!$B49="","",Produtos!$N49)</f>
        <v/>
      </c>
      <c r="I49" s="76" t="n">
        <f aca="false">IF(Produtos!$B49="",0,Produtos!$I49)</f>
        <v>0</v>
      </c>
      <c r="J49" s="74" t="str">
        <f aca="false">IF(Produtos!$B49="","NÃO",Produtos!$AD49)</f>
        <v>NÃO</v>
      </c>
      <c r="K49" s="143" t="n">
        <f aca="false">IF(AND($B49&lt;&gt;"",IN_CAPITAL&gt;=$G49),1,0)</f>
        <v>0</v>
      </c>
      <c r="L49" s="143" t="n">
        <f aca="false">IF(AND($B49&lt;&gt;"",$D49&lt;=IFERROR(INDEX(Premissas!$B$102:$B$104,MATCH(IN_PERFIL,Premissas!$A$102:$A$104,0)),5)),1,0)</f>
        <v>0</v>
      </c>
      <c r="M49" s="143" t="n">
        <f aca="false">IF(IN_PRAZO*30&lt;$E49,0,IF($D49&gt;=4,IF(IN_PRAZO&gt;=60,100,IF(IN_PRAZO&gt;=36,60,IF(IN_PRAZO&gt;=24,30,0))),IF($D49=3,IF(IN_PRAZO&gt;=24,100,IF(IN_PRAZO&gt;=12,70,40)),100)))</f>
        <v>100</v>
      </c>
      <c r="N49" s="143" t="n">
        <f aca="false">IF(IN_RESGATE="Sim",IF($E49+$F49&lt;=3,100,IF($E49+$F49&lt;=31,50,0)),IF(IN_RESGATE="Talvez",IF($E49+$F49&lt;=90,100,IF($E49+$F49&lt;=360,50,20)),100))</f>
        <v>100</v>
      </c>
      <c r="O49" s="143" t="n">
        <f aca="false">IF($D49=0,0,IFERROR(INDEX($B$98:$F$101,MATCH(IN_PRIORIDADE,$A$98:$A$101,0),$D49),0))</f>
        <v>0</v>
      </c>
      <c r="P49" s="143" t="n">
        <f aca="false">MAX(0,MIN(100,60+IF($H49="ISENTO",25,0)+IF($I49&lt;=0.005,15,IF($I49&gt;=0.015,-15,0))+IF(AND($H49="PREV_REGR",IN_PRAZO&gt;=120),20,0)+IF(AND($H49="FUNDO_LP",IN_PRAZO&lt;=12),-10,0)+IF(AND($H49="FUNDO_CP",IN_PRAZO&gt;=24),-15,0)))</f>
        <v>75</v>
      </c>
      <c r="Q49" s="144" t="n">
        <f aca="false">IF(OR($B49="",$J49&lt;&gt;"SIM",$K49=0,$L49=0),0,ROUND(($M49*$B$7+$N49*$C$7+$O49*$D$7+$P49*$E$7)/MAX(1,$B$7+$C$7+$D$7+$E$7),1))</f>
        <v>0</v>
      </c>
      <c r="R49" s="145" t="n">
        <f aca="false">IF($H49="IMOVEL",0,$Q49+ROW()/1000000)</f>
        <v>4.9E-005</v>
      </c>
      <c r="S49" s="146" t="str">
        <f aca="false">IF($B49="","",IF($Q49=0,"Não indicado agora",IF($Q49&gt;=75,"Pode fazer sentido",IF($Q49&gt;=50,"Talvez faça sentido","Provavelmente não é o mais indicado"))))</f>
        <v/>
      </c>
      <c r="T49" s="147" t="str">
        <f aca="false">IF($B49="","",IF($Q49=0,IF($K49=0,"O valor disponível é menor que a aplicação mínima deste produto.",IF($L49=0,"O risco deste produto está acima do perfil declarado pelo cliente.","Produto não está ativo na base.")),IF($Q49&lt;50,"Encaixa pouco no que foi pedido — veja o ponto de atenção ao lado.",IF($H49="ISENTO","Não paga Imposto de Renda para pessoa física.",IF($W49="PRE","A taxa fica travada na contratação: não cai se os juros da economia caírem.",IF($W49="IPCA","Protege o poder de compra: rende a inflação mais uma taxa fixa por cima.",IF(AND($E49=0,$F49&lt;=1),"O dinheiro pode ser retirado praticamente a qualquer momento.",IF(AND($H49="PREV_REGR",IN_PRAZO&gt;=120),"No prazo escolhido a previdência alcança a menor alíquota de imposto (10%).",IF($D49&gt;=4,"Pode render mais no prazo longo, aceitando oscilação pelo caminho.","Combina com o prazo, a liquidez e a prioridade informados.")))))))))</f>
        <v/>
      </c>
      <c r="U49" s="147" t="str">
        <f aca="false">IF($B49="","",IF($E49&gt;0,"Carência de "&amp;$E49&amp;" dias: não dá para resgatar antes.",IF($F49&gt;60,"Não é dinheiro rápido: leva meses para virar caixa.",IF(LEFT($H49,4)="PREV",IF(IN_PRAZO&lt;24,"Resgate antes de 2 anos paga 35% de imposto.","Não tem cobertura do FGC: quem responde pelo dinheiro é a seguradora."),IF($D49&gt;=4,"Pode cair no caminho e demorar a se recuperar.",IF(AND($H49="RF_REGR",$X49&gt;=0.03),"Se vender antes do vencimento, o preço pode estar abaixo do que você pagou.",IF($X49&gt;=0.03,"O valor oscila mês a mês: em prazo curto pode estar abaixo do que você aplicou.",IF($H49="FUNDO_LP","Tem come-cotas em maio e novembro, que antecipam parte do imposto.",IF($F49&gt;7,"Para o dinheiro cair na conta leva cerca de "&amp;$F49&amp;" dias.",IF($I49&gt;=0.015,"Taxa de administração alta em relação ao retorno esperado.","Confirme prazo, liquidez e tributação antes de contratar."))))))))))</f>
        <v/>
      </c>
      <c r="V49" s="148" t="str">
        <f aca="false">IF($B49="","",IFERROR(IF(Produtos!$H49="MULT",(1+INDEX(TAB_MACRO_VAL,MATCH(Produtos!$E49,TAB_MACRO_COD,0))*Produtos!$F49)*(1+Produtos!$G49)-1,INDEX(TAB_MACRO_VAL,MATCH(Produtos!$E49,TAB_MACRO_COD,0))*Produtos!$F49+Produtos!$G49),""))</f>
        <v/>
      </c>
      <c r="W49" s="74" t="str">
        <f aca="false">IF(Produtos!$B49="","",Produtos!$E49)</f>
        <v/>
      </c>
      <c r="X49" s="76" t="n">
        <f aca="false">IF(Produtos!$B49="",0,Produtos!$U49)</f>
        <v>0</v>
      </c>
    </row>
    <row r="50" customFormat="false" ht="21.75" hidden="false" customHeight="true" outlineLevel="0" collapsed="false">
      <c r="A50" s="74" t="str">
        <f aca="false">IF(Produtos!$B50="","",Produtos!$A50)</f>
        <v/>
      </c>
      <c r="B50" s="142" t="str">
        <f aca="false">IF(Produtos!$B50="","",Produtos!$B50)</f>
        <v/>
      </c>
      <c r="C50" s="74" t="str">
        <f aca="false">IF(Produtos!$B50="","",Produtos!$C50)</f>
        <v/>
      </c>
      <c r="D50" s="77" t="n">
        <f aca="false">IF(Produtos!$B50="",0,Produtos!$T50)</f>
        <v>0</v>
      </c>
      <c r="E50" s="77" t="n">
        <f aca="false">IF(Produtos!$B50="",0,Produtos!$P50)</f>
        <v>0</v>
      </c>
      <c r="F50" s="77" t="n">
        <f aca="false">IF(Produtos!$B50="",0,Produtos!$Q50)</f>
        <v>0</v>
      </c>
      <c r="G50" s="78" t="n">
        <f aca="false">IF(Produtos!$B50="",0,Produtos!$R50)</f>
        <v>0</v>
      </c>
      <c r="H50" s="74" t="str">
        <f aca="false">IF(Produtos!$B50="","",Produtos!$N50)</f>
        <v/>
      </c>
      <c r="I50" s="76" t="n">
        <f aca="false">IF(Produtos!$B50="",0,Produtos!$I50)</f>
        <v>0</v>
      </c>
      <c r="J50" s="74" t="str">
        <f aca="false">IF(Produtos!$B50="","NÃO",Produtos!$AD50)</f>
        <v>NÃO</v>
      </c>
      <c r="K50" s="143" t="n">
        <f aca="false">IF(AND($B50&lt;&gt;"",IN_CAPITAL&gt;=$G50),1,0)</f>
        <v>0</v>
      </c>
      <c r="L50" s="143" t="n">
        <f aca="false">IF(AND($B50&lt;&gt;"",$D50&lt;=IFERROR(INDEX(Premissas!$B$102:$B$104,MATCH(IN_PERFIL,Premissas!$A$102:$A$104,0)),5)),1,0)</f>
        <v>0</v>
      </c>
      <c r="M50" s="143" t="n">
        <f aca="false">IF(IN_PRAZO*30&lt;$E50,0,IF($D50&gt;=4,IF(IN_PRAZO&gt;=60,100,IF(IN_PRAZO&gt;=36,60,IF(IN_PRAZO&gt;=24,30,0))),IF($D50=3,IF(IN_PRAZO&gt;=24,100,IF(IN_PRAZO&gt;=12,70,40)),100)))</f>
        <v>100</v>
      </c>
      <c r="N50" s="143" t="n">
        <f aca="false">IF(IN_RESGATE="Sim",IF($E50+$F50&lt;=3,100,IF($E50+$F50&lt;=31,50,0)),IF(IN_RESGATE="Talvez",IF($E50+$F50&lt;=90,100,IF($E50+$F50&lt;=360,50,20)),100))</f>
        <v>100</v>
      </c>
      <c r="O50" s="143" t="n">
        <f aca="false">IF($D50=0,0,IFERROR(INDEX($B$98:$F$101,MATCH(IN_PRIORIDADE,$A$98:$A$101,0),$D50),0))</f>
        <v>0</v>
      </c>
      <c r="P50" s="143" t="n">
        <f aca="false">MAX(0,MIN(100,60+IF($H50="ISENTO",25,0)+IF($I50&lt;=0.005,15,IF($I50&gt;=0.015,-15,0))+IF(AND($H50="PREV_REGR",IN_PRAZO&gt;=120),20,0)+IF(AND($H50="FUNDO_LP",IN_PRAZO&lt;=12),-10,0)+IF(AND($H50="FUNDO_CP",IN_PRAZO&gt;=24),-15,0)))</f>
        <v>75</v>
      </c>
      <c r="Q50" s="144" t="n">
        <f aca="false">IF(OR($B50="",$J50&lt;&gt;"SIM",$K50=0,$L50=0),0,ROUND(($M50*$B$7+$N50*$C$7+$O50*$D$7+$P50*$E$7)/MAX(1,$B$7+$C$7+$D$7+$E$7),1))</f>
        <v>0</v>
      </c>
      <c r="R50" s="145" t="n">
        <f aca="false">IF($H50="IMOVEL",0,$Q50+ROW()/1000000)</f>
        <v>5E-005</v>
      </c>
      <c r="S50" s="146" t="str">
        <f aca="false">IF($B50="","",IF($Q50=0,"Não indicado agora",IF($Q50&gt;=75,"Pode fazer sentido",IF($Q50&gt;=50,"Talvez faça sentido","Provavelmente não é o mais indicado"))))</f>
        <v/>
      </c>
      <c r="T50" s="147" t="str">
        <f aca="false">IF($B50="","",IF($Q50=0,IF($K50=0,"O valor disponível é menor que a aplicação mínima deste produto.",IF($L50=0,"O risco deste produto está acima do perfil declarado pelo cliente.","Produto não está ativo na base.")),IF($Q50&lt;50,"Encaixa pouco no que foi pedido — veja o ponto de atenção ao lado.",IF($H50="ISENTO","Não paga Imposto de Renda para pessoa física.",IF($W50="PRE","A taxa fica travada na contratação: não cai se os juros da economia caírem.",IF($W50="IPCA","Protege o poder de compra: rende a inflação mais uma taxa fixa por cima.",IF(AND($E50=0,$F50&lt;=1),"O dinheiro pode ser retirado praticamente a qualquer momento.",IF(AND($H50="PREV_REGR",IN_PRAZO&gt;=120),"No prazo escolhido a previdência alcança a menor alíquota de imposto (10%).",IF($D50&gt;=4,"Pode render mais no prazo longo, aceitando oscilação pelo caminho.","Combina com o prazo, a liquidez e a prioridade informados.")))))))))</f>
        <v/>
      </c>
      <c r="U50" s="147" t="str">
        <f aca="false">IF($B50="","",IF($E50&gt;0,"Carência de "&amp;$E50&amp;" dias: não dá para resgatar antes.",IF($F50&gt;60,"Não é dinheiro rápido: leva meses para virar caixa.",IF(LEFT($H50,4)="PREV",IF(IN_PRAZO&lt;24,"Resgate antes de 2 anos paga 35% de imposto.","Não tem cobertura do FGC: quem responde pelo dinheiro é a seguradora."),IF($D50&gt;=4,"Pode cair no caminho e demorar a se recuperar.",IF(AND($H50="RF_REGR",$X50&gt;=0.03),"Se vender antes do vencimento, o preço pode estar abaixo do que você pagou.",IF($X50&gt;=0.03,"O valor oscila mês a mês: em prazo curto pode estar abaixo do que você aplicou.",IF($H50="FUNDO_LP","Tem come-cotas em maio e novembro, que antecipam parte do imposto.",IF($F50&gt;7,"Para o dinheiro cair na conta leva cerca de "&amp;$F50&amp;" dias.",IF($I50&gt;=0.015,"Taxa de administração alta em relação ao retorno esperado.","Confirme prazo, liquidez e tributação antes de contratar."))))))))))</f>
        <v/>
      </c>
      <c r="V50" s="148" t="str">
        <f aca="false">IF($B50="","",IFERROR(IF(Produtos!$H50="MULT",(1+INDEX(TAB_MACRO_VAL,MATCH(Produtos!$E50,TAB_MACRO_COD,0))*Produtos!$F50)*(1+Produtos!$G50)-1,INDEX(TAB_MACRO_VAL,MATCH(Produtos!$E50,TAB_MACRO_COD,0))*Produtos!$F50+Produtos!$G50),""))</f>
        <v/>
      </c>
      <c r="W50" s="74" t="str">
        <f aca="false">IF(Produtos!$B50="","",Produtos!$E50)</f>
        <v/>
      </c>
      <c r="X50" s="76" t="n">
        <f aca="false">IF(Produtos!$B50="",0,Produtos!$U50)</f>
        <v>0</v>
      </c>
    </row>
    <row r="51" customFormat="false" ht="21.75" hidden="false" customHeight="true" outlineLevel="0" collapsed="false">
      <c r="A51" s="74" t="str">
        <f aca="false">IF(Produtos!$B51="","",Produtos!$A51)</f>
        <v/>
      </c>
      <c r="B51" s="142" t="str">
        <f aca="false">IF(Produtos!$B51="","",Produtos!$B51)</f>
        <v/>
      </c>
      <c r="C51" s="74" t="str">
        <f aca="false">IF(Produtos!$B51="","",Produtos!$C51)</f>
        <v/>
      </c>
      <c r="D51" s="77" t="n">
        <f aca="false">IF(Produtos!$B51="",0,Produtos!$T51)</f>
        <v>0</v>
      </c>
      <c r="E51" s="77" t="n">
        <f aca="false">IF(Produtos!$B51="",0,Produtos!$P51)</f>
        <v>0</v>
      </c>
      <c r="F51" s="77" t="n">
        <f aca="false">IF(Produtos!$B51="",0,Produtos!$Q51)</f>
        <v>0</v>
      </c>
      <c r="G51" s="78" t="n">
        <f aca="false">IF(Produtos!$B51="",0,Produtos!$R51)</f>
        <v>0</v>
      </c>
      <c r="H51" s="74" t="str">
        <f aca="false">IF(Produtos!$B51="","",Produtos!$N51)</f>
        <v/>
      </c>
      <c r="I51" s="76" t="n">
        <f aca="false">IF(Produtos!$B51="",0,Produtos!$I51)</f>
        <v>0</v>
      </c>
      <c r="J51" s="74" t="str">
        <f aca="false">IF(Produtos!$B51="","NÃO",Produtos!$AD51)</f>
        <v>NÃO</v>
      </c>
      <c r="K51" s="143" t="n">
        <f aca="false">IF(AND($B51&lt;&gt;"",IN_CAPITAL&gt;=$G51),1,0)</f>
        <v>0</v>
      </c>
      <c r="L51" s="143" t="n">
        <f aca="false">IF(AND($B51&lt;&gt;"",$D51&lt;=IFERROR(INDEX(Premissas!$B$102:$B$104,MATCH(IN_PERFIL,Premissas!$A$102:$A$104,0)),5)),1,0)</f>
        <v>0</v>
      </c>
      <c r="M51" s="143" t="n">
        <f aca="false">IF(IN_PRAZO*30&lt;$E51,0,IF($D51&gt;=4,IF(IN_PRAZO&gt;=60,100,IF(IN_PRAZO&gt;=36,60,IF(IN_PRAZO&gt;=24,30,0))),IF($D51=3,IF(IN_PRAZO&gt;=24,100,IF(IN_PRAZO&gt;=12,70,40)),100)))</f>
        <v>100</v>
      </c>
      <c r="N51" s="143" t="n">
        <f aca="false">IF(IN_RESGATE="Sim",IF($E51+$F51&lt;=3,100,IF($E51+$F51&lt;=31,50,0)),IF(IN_RESGATE="Talvez",IF($E51+$F51&lt;=90,100,IF($E51+$F51&lt;=360,50,20)),100))</f>
        <v>100</v>
      </c>
      <c r="O51" s="143" t="n">
        <f aca="false">IF($D51=0,0,IFERROR(INDEX($B$98:$F$101,MATCH(IN_PRIORIDADE,$A$98:$A$101,0),$D51),0))</f>
        <v>0</v>
      </c>
      <c r="P51" s="143" t="n">
        <f aca="false">MAX(0,MIN(100,60+IF($H51="ISENTO",25,0)+IF($I51&lt;=0.005,15,IF($I51&gt;=0.015,-15,0))+IF(AND($H51="PREV_REGR",IN_PRAZO&gt;=120),20,0)+IF(AND($H51="FUNDO_LP",IN_PRAZO&lt;=12),-10,0)+IF(AND($H51="FUNDO_CP",IN_PRAZO&gt;=24),-15,0)))</f>
        <v>75</v>
      </c>
      <c r="Q51" s="144" t="n">
        <f aca="false">IF(OR($B51="",$J51&lt;&gt;"SIM",$K51=0,$L51=0),0,ROUND(($M51*$B$7+$N51*$C$7+$O51*$D$7+$P51*$E$7)/MAX(1,$B$7+$C$7+$D$7+$E$7),1))</f>
        <v>0</v>
      </c>
      <c r="R51" s="145" t="n">
        <f aca="false">IF($H51="IMOVEL",0,$Q51+ROW()/1000000)</f>
        <v>5.1E-005</v>
      </c>
      <c r="S51" s="146" t="str">
        <f aca="false">IF($B51="","",IF($Q51=0,"Não indicado agora",IF($Q51&gt;=75,"Pode fazer sentido",IF($Q51&gt;=50,"Talvez faça sentido","Provavelmente não é o mais indicado"))))</f>
        <v/>
      </c>
      <c r="T51" s="147" t="str">
        <f aca="false">IF($B51="","",IF($Q51=0,IF($K51=0,"O valor disponível é menor que a aplicação mínima deste produto.",IF($L51=0,"O risco deste produto está acima do perfil declarado pelo cliente.","Produto não está ativo na base.")),IF($Q51&lt;50,"Encaixa pouco no que foi pedido — veja o ponto de atenção ao lado.",IF($H51="ISENTO","Não paga Imposto de Renda para pessoa física.",IF($W51="PRE","A taxa fica travada na contratação: não cai se os juros da economia caírem.",IF($W51="IPCA","Protege o poder de compra: rende a inflação mais uma taxa fixa por cima.",IF(AND($E51=0,$F51&lt;=1),"O dinheiro pode ser retirado praticamente a qualquer momento.",IF(AND($H51="PREV_REGR",IN_PRAZO&gt;=120),"No prazo escolhido a previdência alcança a menor alíquota de imposto (10%).",IF($D51&gt;=4,"Pode render mais no prazo longo, aceitando oscilação pelo caminho.","Combina com o prazo, a liquidez e a prioridade informados.")))))))))</f>
        <v/>
      </c>
      <c r="U51" s="147" t="str">
        <f aca="false">IF($B51="","",IF($E51&gt;0,"Carência de "&amp;$E51&amp;" dias: não dá para resgatar antes.",IF($F51&gt;60,"Não é dinheiro rápido: leva meses para virar caixa.",IF(LEFT($H51,4)="PREV",IF(IN_PRAZO&lt;24,"Resgate antes de 2 anos paga 35% de imposto.","Não tem cobertura do FGC: quem responde pelo dinheiro é a seguradora."),IF($D51&gt;=4,"Pode cair no caminho e demorar a se recuperar.",IF(AND($H51="RF_REGR",$X51&gt;=0.03),"Se vender antes do vencimento, o preço pode estar abaixo do que você pagou.",IF($X51&gt;=0.03,"O valor oscila mês a mês: em prazo curto pode estar abaixo do que você aplicou.",IF($H51="FUNDO_LP","Tem come-cotas em maio e novembro, que antecipam parte do imposto.",IF($F51&gt;7,"Para o dinheiro cair na conta leva cerca de "&amp;$F51&amp;" dias.",IF($I51&gt;=0.015,"Taxa de administração alta em relação ao retorno esperado.","Confirme prazo, liquidez e tributação antes de contratar."))))))))))</f>
        <v/>
      </c>
      <c r="V51" s="148" t="str">
        <f aca="false">IF($B51="","",IFERROR(IF(Produtos!$H51="MULT",(1+INDEX(TAB_MACRO_VAL,MATCH(Produtos!$E51,TAB_MACRO_COD,0))*Produtos!$F51)*(1+Produtos!$G51)-1,INDEX(TAB_MACRO_VAL,MATCH(Produtos!$E51,TAB_MACRO_COD,0))*Produtos!$F51+Produtos!$G51),""))</f>
        <v/>
      </c>
      <c r="W51" s="74" t="str">
        <f aca="false">IF(Produtos!$B51="","",Produtos!$E51)</f>
        <v/>
      </c>
      <c r="X51" s="76" t="n">
        <f aca="false">IF(Produtos!$B51="",0,Produtos!$U51)</f>
        <v>0</v>
      </c>
    </row>
    <row r="52" customFormat="false" ht="21.75" hidden="false" customHeight="true" outlineLevel="0" collapsed="false">
      <c r="A52" s="74" t="str">
        <f aca="false">IF(Produtos!$B52="","",Produtos!$A52)</f>
        <v/>
      </c>
      <c r="B52" s="142" t="str">
        <f aca="false">IF(Produtos!$B52="","",Produtos!$B52)</f>
        <v/>
      </c>
      <c r="C52" s="74" t="str">
        <f aca="false">IF(Produtos!$B52="","",Produtos!$C52)</f>
        <v/>
      </c>
      <c r="D52" s="77" t="n">
        <f aca="false">IF(Produtos!$B52="",0,Produtos!$T52)</f>
        <v>0</v>
      </c>
      <c r="E52" s="77" t="n">
        <f aca="false">IF(Produtos!$B52="",0,Produtos!$P52)</f>
        <v>0</v>
      </c>
      <c r="F52" s="77" t="n">
        <f aca="false">IF(Produtos!$B52="",0,Produtos!$Q52)</f>
        <v>0</v>
      </c>
      <c r="G52" s="78" t="n">
        <f aca="false">IF(Produtos!$B52="",0,Produtos!$R52)</f>
        <v>0</v>
      </c>
      <c r="H52" s="74" t="str">
        <f aca="false">IF(Produtos!$B52="","",Produtos!$N52)</f>
        <v/>
      </c>
      <c r="I52" s="76" t="n">
        <f aca="false">IF(Produtos!$B52="",0,Produtos!$I52)</f>
        <v>0</v>
      </c>
      <c r="J52" s="74" t="str">
        <f aca="false">IF(Produtos!$B52="","NÃO",Produtos!$AD52)</f>
        <v>NÃO</v>
      </c>
      <c r="K52" s="143" t="n">
        <f aca="false">IF(AND($B52&lt;&gt;"",IN_CAPITAL&gt;=$G52),1,0)</f>
        <v>0</v>
      </c>
      <c r="L52" s="143" t="n">
        <f aca="false">IF(AND($B52&lt;&gt;"",$D52&lt;=IFERROR(INDEX(Premissas!$B$102:$B$104,MATCH(IN_PERFIL,Premissas!$A$102:$A$104,0)),5)),1,0)</f>
        <v>0</v>
      </c>
      <c r="M52" s="143" t="n">
        <f aca="false">IF(IN_PRAZO*30&lt;$E52,0,IF($D52&gt;=4,IF(IN_PRAZO&gt;=60,100,IF(IN_PRAZO&gt;=36,60,IF(IN_PRAZO&gt;=24,30,0))),IF($D52=3,IF(IN_PRAZO&gt;=24,100,IF(IN_PRAZO&gt;=12,70,40)),100)))</f>
        <v>100</v>
      </c>
      <c r="N52" s="143" t="n">
        <f aca="false">IF(IN_RESGATE="Sim",IF($E52+$F52&lt;=3,100,IF($E52+$F52&lt;=31,50,0)),IF(IN_RESGATE="Talvez",IF($E52+$F52&lt;=90,100,IF($E52+$F52&lt;=360,50,20)),100))</f>
        <v>100</v>
      </c>
      <c r="O52" s="143" t="n">
        <f aca="false">IF($D52=0,0,IFERROR(INDEX($B$98:$F$101,MATCH(IN_PRIORIDADE,$A$98:$A$101,0),$D52),0))</f>
        <v>0</v>
      </c>
      <c r="P52" s="143" t="n">
        <f aca="false">MAX(0,MIN(100,60+IF($H52="ISENTO",25,0)+IF($I52&lt;=0.005,15,IF($I52&gt;=0.015,-15,0))+IF(AND($H52="PREV_REGR",IN_PRAZO&gt;=120),20,0)+IF(AND($H52="FUNDO_LP",IN_PRAZO&lt;=12),-10,0)+IF(AND($H52="FUNDO_CP",IN_PRAZO&gt;=24),-15,0)))</f>
        <v>75</v>
      </c>
      <c r="Q52" s="144" t="n">
        <f aca="false">IF(OR($B52="",$J52&lt;&gt;"SIM",$K52=0,$L52=0),0,ROUND(($M52*$B$7+$N52*$C$7+$O52*$D$7+$P52*$E$7)/MAX(1,$B$7+$C$7+$D$7+$E$7),1))</f>
        <v>0</v>
      </c>
      <c r="R52" s="145" t="n">
        <f aca="false">IF($H52="IMOVEL",0,$Q52+ROW()/1000000)</f>
        <v>5.2E-005</v>
      </c>
      <c r="S52" s="146" t="str">
        <f aca="false">IF($B52="","",IF($Q52=0,"Não indicado agora",IF($Q52&gt;=75,"Pode fazer sentido",IF($Q52&gt;=50,"Talvez faça sentido","Provavelmente não é o mais indicado"))))</f>
        <v/>
      </c>
      <c r="T52" s="147" t="str">
        <f aca="false">IF($B52="","",IF($Q52=0,IF($K52=0,"O valor disponível é menor que a aplicação mínima deste produto.",IF($L52=0,"O risco deste produto está acima do perfil declarado pelo cliente.","Produto não está ativo na base.")),IF($Q52&lt;50,"Encaixa pouco no que foi pedido — veja o ponto de atenção ao lado.",IF($H52="ISENTO","Não paga Imposto de Renda para pessoa física.",IF($W52="PRE","A taxa fica travada na contratação: não cai se os juros da economia caírem.",IF($W52="IPCA","Protege o poder de compra: rende a inflação mais uma taxa fixa por cima.",IF(AND($E52=0,$F52&lt;=1),"O dinheiro pode ser retirado praticamente a qualquer momento.",IF(AND($H52="PREV_REGR",IN_PRAZO&gt;=120),"No prazo escolhido a previdência alcança a menor alíquota de imposto (10%).",IF($D52&gt;=4,"Pode render mais no prazo longo, aceitando oscilação pelo caminho.","Combina com o prazo, a liquidez e a prioridade informados.")))))))))</f>
        <v/>
      </c>
      <c r="U52" s="147" t="str">
        <f aca="false">IF($B52="","",IF($E52&gt;0,"Carência de "&amp;$E52&amp;" dias: não dá para resgatar antes.",IF($F52&gt;60,"Não é dinheiro rápido: leva meses para virar caixa.",IF(LEFT($H52,4)="PREV",IF(IN_PRAZO&lt;24,"Resgate antes de 2 anos paga 35% de imposto.","Não tem cobertura do FGC: quem responde pelo dinheiro é a seguradora."),IF($D52&gt;=4,"Pode cair no caminho e demorar a se recuperar.",IF(AND($H52="RF_REGR",$X52&gt;=0.03),"Se vender antes do vencimento, o preço pode estar abaixo do que você pagou.",IF($X52&gt;=0.03,"O valor oscila mês a mês: em prazo curto pode estar abaixo do que você aplicou.",IF($H52="FUNDO_LP","Tem come-cotas em maio e novembro, que antecipam parte do imposto.",IF($F52&gt;7,"Para o dinheiro cair na conta leva cerca de "&amp;$F52&amp;" dias.",IF($I52&gt;=0.015,"Taxa de administração alta em relação ao retorno esperado.","Confirme prazo, liquidez e tributação antes de contratar."))))))))))</f>
        <v/>
      </c>
      <c r="V52" s="148" t="str">
        <f aca="false">IF($B52="","",IFERROR(IF(Produtos!$H52="MULT",(1+INDEX(TAB_MACRO_VAL,MATCH(Produtos!$E52,TAB_MACRO_COD,0))*Produtos!$F52)*(1+Produtos!$G52)-1,INDEX(TAB_MACRO_VAL,MATCH(Produtos!$E52,TAB_MACRO_COD,0))*Produtos!$F52+Produtos!$G52),""))</f>
        <v/>
      </c>
      <c r="W52" s="74" t="str">
        <f aca="false">IF(Produtos!$B52="","",Produtos!$E52)</f>
        <v/>
      </c>
      <c r="X52" s="76" t="n">
        <f aca="false">IF(Produtos!$B52="",0,Produtos!$U52)</f>
        <v>0</v>
      </c>
    </row>
    <row r="53" customFormat="false" ht="21.75" hidden="false" customHeight="true" outlineLevel="0" collapsed="false">
      <c r="A53" s="74" t="str">
        <f aca="false">IF(Produtos!$B53="","",Produtos!$A53)</f>
        <v/>
      </c>
      <c r="B53" s="142" t="str">
        <f aca="false">IF(Produtos!$B53="","",Produtos!$B53)</f>
        <v/>
      </c>
      <c r="C53" s="74" t="str">
        <f aca="false">IF(Produtos!$B53="","",Produtos!$C53)</f>
        <v/>
      </c>
      <c r="D53" s="77" t="n">
        <f aca="false">IF(Produtos!$B53="",0,Produtos!$T53)</f>
        <v>0</v>
      </c>
      <c r="E53" s="77" t="n">
        <f aca="false">IF(Produtos!$B53="",0,Produtos!$P53)</f>
        <v>0</v>
      </c>
      <c r="F53" s="77" t="n">
        <f aca="false">IF(Produtos!$B53="",0,Produtos!$Q53)</f>
        <v>0</v>
      </c>
      <c r="G53" s="78" t="n">
        <f aca="false">IF(Produtos!$B53="",0,Produtos!$R53)</f>
        <v>0</v>
      </c>
      <c r="H53" s="74" t="str">
        <f aca="false">IF(Produtos!$B53="","",Produtos!$N53)</f>
        <v/>
      </c>
      <c r="I53" s="76" t="n">
        <f aca="false">IF(Produtos!$B53="",0,Produtos!$I53)</f>
        <v>0</v>
      </c>
      <c r="J53" s="74" t="str">
        <f aca="false">IF(Produtos!$B53="","NÃO",Produtos!$AD53)</f>
        <v>NÃO</v>
      </c>
      <c r="K53" s="143" t="n">
        <f aca="false">IF(AND($B53&lt;&gt;"",IN_CAPITAL&gt;=$G53),1,0)</f>
        <v>0</v>
      </c>
      <c r="L53" s="143" t="n">
        <f aca="false">IF(AND($B53&lt;&gt;"",$D53&lt;=IFERROR(INDEX(Premissas!$B$102:$B$104,MATCH(IN_PERFIL,Premissas!$A$102:$A$104,0)),5)),1,0)</f>
        <v>0</v>
      </c>
      <c r="M53" s="143" t="n">
        <f aca="false">IF(IN_PRAZO*30&lt;$E53,0,IF($D53&gt;=4,IF(IN_PRAZO&gt;=60,100,IF(IN_PRAZO&gt;=36,60,IF(IN_PRAZO&gt;=24,30,0))),IF($D53=3,IF(IN_PRAZO&gt;=24,100,IF(IN_PRAZO&gt;=12,70,40)),100)))</f>
        <v>100</v>
      </c>
      <c r="N53" s="143" t="n">
        <f aca="false">IF(IN_RESGATE="Sim",IF($E53+$F53&lt;=3,100,IF($E53+$F53&lt;=31,50,0)),IF(IN_RESGATE="Talvez",IF($E53+$F53&lt;=90,100,IF($E53+$F53&lt;=360,50,20)),100))</f>
        <v>100</v>
      </c>
      <c r="O53" s="143" t="n">
        <f aca="false">IF($D53=0,0,IFERROR(INDEX($B$98:$F$101,MATCH(IN_PRIORIDADE,$A$98:$A$101,0),$D53),0))</f>
        <v>0</v>
      </c>
      <c r="P53" s="143" t="n">
        <f aca="false">MAX(0,MIN(100,60+IF($H53="ISENTO",25,0)+IF($I53&lt;=0.005,15,IF($I53&gt;=0.015,-15,0))+IF(AND($H53="PREV_REGR",IN_PRAZO&gt;=120),20,0)+IF(AND($H53="FUNDO_LP",IN_PRAZO&lt;=12),-10,0)+IF(AND($H53="FUNDO_CP",IN_PRAZO&gt;=24),-15,0)))</f>
        <v>75</v>
      </c>
      <c r="Q53" s="144" t="n">
        <f aca="false">IF(OR($B53="",$J53&lt;&gt;"SIM",$K53=0,$L53=0),0,ROUND(($M53*$B$7+$N53*$C$7+$O53*$D$7+$P53*$E$7)/MAX(1,$B$7+$C$7+$D$7+$E$7),1))</f>
        <v>0</v>
      </c>
      <c r="R53" s="145" t="n">
        <f aca="false">IF($H53="IMOVEL",0,$Q53+ROW()/1000000)</f>
        <v>5.3E-005</v>
      </c>
      <c r="S53" s="146" t="str">
        <f aca="false">IF($B53="","",IF($Q53=0,"Não indicado agora",IF($Q53&gt;=75,"Pode fazer sentido",IF($Q53&gt;=50,"Talvez faça sentido","Provavelmente não é o mais indicado"))))</f>
        <v/>
      </c>
      <c r="T53" s="147" t="str">
        <f aca="false">IF($B53="","",IF($Q53=0,IF($K53=0,"O valor disponível é menor que a aplicação mínima deste produto.",IF($L53=0,"O risco deste produto está acima do perfil declarado pelo cliente.","Produto não está ativo na base.")),IF($Q53&lt;50,"Encaixa pouco no que foi pedido — veja o ponto de atenção ao lado.",IF($H53="ISENTO","Não paga Imposto de Renda para pessoa física.",IF($W53="PRE","A taxa fica travada na contratação: não cai se os juros da economia caírem.",IF($W53="IPCA","Protege o poder de compra: rende a inflação mais uma taxa fixa por cima.",IF(AND($E53=0,$F53&lt;=1),"O dinheiro pode ser retirado praticamente a qualquer momento.",IF(AND($H53="PREV_REGR",IN_PRAZO&gt;=120),"No prazo escolhido a previdência alcança a menor alíquota de imposto (10%).",IF($D53&gt;=4,"Pode render mais no prazo longo, aceitando oscilação pelo caminho.","Combina com o prazo, a liquidez e a prioridade informados.")))))))))</f>
        <v/>
      </c>
      <c r="U53" s="147" t="str">
        <f aca="false">IF($B53="","",IF($E53&gt;0,"Carência de "&amp;$E53&amp;" dias: não dá para resgatar antes.",IF($F53&gt;60,"Não é dinheiro rápido: leva meses para virar caixa.",IF(LEFT($H53,4)="PREV",IF(IN_PRAZO&lt;24,"Resgate antes de 2 anos paga 35% de imposto.","Não tem cobertura do FGC: quem responde pelo dinheiro é a seguradora."),IF($D53&gt;=4,"Pode cair no caminho e demorar a se recuperar.",IF(AND($H53="RF_REGR",$X53&gt;=0.03),"Se vender antes do vencimento, o preço pode estar abaixo do que você pagou.",IF($X53&gt;=0.03,"O valor oscila mês a mês: em prazo curto pode estar abaixo do que você aplicou.",IF($H53="FUNDO_LP","Tem come-cotas em maio e novembro, que antecipam parte do imposto.",IF($F53&gt;7,"Para o dinheiro cair na conta leva cerca de "&amp;$F53&amp;" dias.",IF($I53&gt;=0.015,"Taxa de administração alta em relação ao retorno esperado.","Confirme prazo, liquidez e tributação antes de contratar."))))))))))</f>
        <v/>
      </c>
      <c r="V53" s="148" t="str">
        <f aca="false">IF($B53="","",IFERROR(IF(Produtos!$H53="MULT",(1+INDEX(TAB_MACRO_VAL,MATCH(Produtos!$E53,TAB_MACRO_COD,0))*Produtos!$F53)*(1+Produtos!$G53)-1,INDEX(TAB_MACRO_VAL,MATCH(Produtos!$E53,TAB_MACRO_COD,0))*Produtos!$F53+Produtos!$G53),""))</f>
        <v/>
      </c>
      <c r="W53" s="74" t="str">
        <f aca="false">IF(Produtos!$B53="","",Produtos!$E53)</f>
        <v/>
      </c>
      <c r="X53" s="76" t="n">
        <f aca="false">IF(Produtos!$B53="",0,Produtos!$U53)</f>
        <v>0</v>
      </c>
    </row>
    <row r="54" customFormat="false" ht="21.75" hidden="false" customHeight="true" outlineLevel="0" collapsed="false">
      <c r="A54" s="74" t="str">
        <f aca="false">IF(Produtos!$B54="","",Produtos!$A54)</f>
        <v/>
      </c>
      <c r="B54" s="142" t="str">
        <f aca="false">IF(Produtos!$B54="","",Produtos!$B54)</f>
        <v/>
      </c>
      <c r="C54" s="74" t="str">
        <f aca="false">IF(Produtos!$B54="","",Produtos!$C54)</f>
        <v/>
      </c>
      <c r="D54" s="77" t="n">
        <f aca="false">IF(Produtos!$B54="",0,Produtos!$T54)</f>
        <v>0</v>
      </c>
      <c r="E54" s="77" t="n">
        <f aca="false">IF(Produtos!$B54="",0,Produtos!$P54)</f>
        <v>0</v>
      </c>
      <c r="F54" s="77" t="n">
        <f aca="false">IF(Produtos!$B54="",0,Produtos!$Q54)</f>
        <v>0</v>
      </c>
      <c r="G54" s="78" t="n">
        <f aca="false">IF(Produtos!$B54="",0,Produtos!$R54)</f>
        <v>0</v>
      </c>
      <c r="H54" s="74" t="str">
        <f aca="false">IF(Produtos!$B54="","",Produtos!$N54)</f>
        <v/>
      </c>
      <c r="I54" s="76" t="n">
        <f aca="false">IF(Produtos!$B54="",0,Produtos!$I54)</f>
        <v>0</v>
      </c>
      <c r="J54" s="74" t="str">
        <f aca="false">IF(Produtos!$B54="","NÃO",Produtos!$AD54)</f>
        <v>NÃO</v>
      </c>
      <c r="K54" s="143" t="n">
        <f aca="false">IF(AND($B54&lt;&gt;"",IN_CAPITAL&gt;=$G54),1,0)</f>
        <v>0</v>
      </c>
      <c r="L54" s="143" t="n">
        <f aca="false">IF(AND($B54&lt;&gt;"",$D54&lt;=IFERROR(INDEX(Premissas!$B$102:$B$104,MATCH(IN_PERFIL,Premissas!$A$102:$A$104,0)),5)),1,0)</f>
        <v>0</v>
      </c>
      <c r="M54" s="143" t="n">
        <f aca="false">IF(IN_PRAZO*30&lt;$E54,0,IF($D54&gt;=4,IF(IN_PRAZO&gt;=60,100,IF(IN_PRAZO&gt;=36,60,IF(IN_PRAZO&gt;=24,30,0))),IF($D54=3,IF(IN_PRAZO&gt;=24,100,IF(IN_PRAZO&gt;=12,70,40)),100)))</f>
        <v>100</v>
      </c>
      <c r="N54" s="143" t="n">
        <f aca="false">IF(IN_RESGATE="Sim",IF($E54+$F54&lt;=3,100,IF($E54+$F54&lt;=31,50,0)),IF(IN_RESGATE="Talvez",IF($E54+$F54&lt;=90,100,IF($E54+$F54&lt;=360,50,20)),100))</f>
        <v>100</v>
      </c>
      <c r="O54" s="143" t="n">
        <f aca="false">IF($D54=0,0,IFERROR(INDEX($B$98:$F$101,MATCH(IN_PRIORIDADE,$A$98:$A$101,0),$D54),0))</f>
        <v>0</v>
      </c>
      <c r="P54" s="143" t="n">
        <f aca="false">MAX(0,MIN(100,60+IF($H54="ISENTO",25,0)+IF($I54&lt;=0.005,15,IF($I54&gt;=0.015,-15,0))+IF(AND($H54="PREV_REGR",IN_PRAZO&gt;=120),20,0)+IF(AND($H54="FUNDO_LP",IN_PRAZO&lt;=12),-10,0)+IF(AND($H54="FUNDO_CP",IN_PRAZO&gt;=24),-15,0)))</f>
        <v>75</v>
      </c>
      <c r="Q54" s="144" t="n">
        <f aca="false">IF(OR($B54="",$J54&lt;&gt;"SIM",$K54=0,$L54=0),0,ROUND(($M54*$B$7+$N54*$C$7+$O54*$D$7+$P54*$E$7)/MAX(1,$B$7+$C$7+$D$7+$E$7),1))</f>
        <v>0</v>
      </c>
      <c r="R54" s="145" t="n">
        <f aca="false">IF($H54="IMOVEL",0,$Q54+ROW()/1000000)</f>
        <v>5.4E-005</v>
      </c>
      <c r="S54" s="146" t="str">
        <f aca="false">IF($B54="","",IF($Q54=0,"Não indicado agora",IF($Q54&gt;=75,"Pode fazer sentido",IF($Q54&gt;=50,"Talvez faça sentido","Provavelmente não é o mais indicado"))))</f>
        <v/>
      </c>
      <c r="T54" s="147" t="str">
        <f aca="false">IF($B54="","",IF($Q54=0,IF($K54=0,"O valor disponível é menor que a aplicação mínima deste produto.",IF($L54=0,"O risco deste produto está acima do perfil declarado pelo cliente.","Produto não está ativo na base.")),IF($Q54&lt;50,"Encaixa pouco no que foi pedido — veja o ponto de atenção ao lado.",IF($H54="ISENTO","Não paga Imposto de Renda para pessoa física.",IF($W54="PRE","A taxa fica travada na contratação: não cai se os juros da economia caírem.",IF($W54="IPCA","Protege o poder de compra: rende a inflação mais uma taxa fixa por cima.",IF(AND($E54=0,$F54&lt;=1),"O dinheiro pode ser retirado praticamente a qualquer momento.",IF(AND($H54="PREV_REGR",IN_PRAZO&gt;=120),"No prazo escolhido a previdência alcança a menor alíquota de imposto (10%).",IF($D54&gt;=4,"Pode render mais no prazo longo, aceitando oscilação pelo caminho.","Combina com o prazo, a liquidez e a prioridade informados.")))))))))</f>
        <v/>
      </c>
      <c r="U54" s="147" t="str">
        <f aca="false">IF($B54="","",IF($E54&gt;0,"Carência de "&amp;$E54&amp;" dias: não dá para resgatar antes.",IF($F54&gt;60,"Não é dinheiro rápido: leva meses para virar caixa.",IF(LEFT($H54,4)="PREV",IF(IN_PRAZO&lt;24,"Resgate antes de 2 anos paga 35% de imposto.","Não tem cobertura do FGC: quem responde pelo dinheiro é a seguradora."),IF($D54&gt;=4,"Pode cair no caminho e demorar a se recuperar.",IF(AND($H54="RF_REGR",$X54&gt;=0.03),"Se vender antes do vencimento, o preço pode estar abaixo do que você pagou.",IF($X54&gt;=0.03,"O valor oscila mês a mês: em prazo curto pode estar abaixo do que você aplicou.",IF($H54="FUNDO_LP","Tem come-cotas em maio e novembro, que antecipam parte do imposto.",IF($F54&gt;7,"Para o dinheiro cair na conta leva cerca de "&amp;$F54&amp;" dias.",IF($I54&gt;=0.015,"Taxa de administração alta em relação ao retorno esperado.","Confirme prazo, liquidez e tributação antes de contratar."))))))))))</f>
        <v/>
      </c>
      <c r="V54" s="148" t="str">
        <f aca="false">IF($B54="","",IFERROR(IF(Produtos!$H54="MULT",(1+INDEX(TAB_MACRO_VAL,MATCH(Produtos!$E54,TAB_MACRO_COD,0))*Produtos!$F54)*(1+Produtos!$G54)-1,INDEX(TAB_MACRO_VAL,MATCH(Produtos!$E54,TAB_MACRO_COD,0))*Produtos!$F54+Produtos!$G54),""))</f>
        <v/>
      </c>
      <c r="W54" s="74" t="str">
        <f aca="false">IF(Produtos!$B54="","",Produtos!$E54)</f>
        <v/>
      </c>
      <c r="X54" s="76" t="n">
        <f aca="false">IF(Produtos!$B54="",0,Produtos!$U54)</f>
        <v>0</v>
      </c>
    </row>
    <row r="55" customFormat="false" ht="21.75" hidden="false" customHeight="true" outlineLevel="0" collapsed="false">
      <c r="A55" s="74" t="str">
        <f aca="false">IF(Produtos!$B55="","",Produtos!$A55)</f>
        <v/>
      </c>
      <c r="B55" s="142" t="str">
        <f aca="false">IF(Produtos!$B55="","",Produtos!$B55)</f>
        <v/>
      </c>
      <c r="C55" s="74" t="str">
        <f aca="false">IF(Produtos!$B55="","",Produtos!$C55)</f>
        <v/>
      </c>
      <c r="D55" s="77" t="n">
        <f aca="false">IF(Produtos!$B55="",0,Produtos!$T55)</f>
        <v>0</v>
      </c>
      <c r="E55" s="77" t="n">
        <f aca="false">IF(Produtos!$B55="",0,Produtos!$P55)</f>
        <v>0</v>
      </c>
      <c r="F55" s="77" t="n">
        <f aca="false">IF(Produtos!$B55="",0,Produtos!$Q55)</f>
        <v>0</v>
      </c>
      <c r="G55" s="78" t="n">
        <f aca="false">IF(Produtos!$B55="",0,Produtos!$R55)</f>
        <v>0</v>
      </c>
      <c r="H55" s="74" t="str">
        <f aca="false">IF(Produtos!$B55="","",Produtos!$N55)</f>
        <v/>
      </c>
      <c r="I55" s="76" t="n">
        <f aca="false">IF(Produtos!$B55="",0,Produtos!$I55)</f>
        <v>0</v>
      </c>
      <c r="J55" s="74" t="str">
        <f aca="false">IF(Produtos!$B55="","NÃO",Produtos!$AD55)</f>
        <v>NÃO</v>
      </c>
      <c r="K55" s="143" t="n">
        <f aca="false">IF(AND($B55&lt;&gt;"",IN_CAPITAL&gt;=$G55),1,0)</f>
        <v>0</v>
      </c>
      <c r="L55" s="143" t="n">
        <f aca="false">IF(AND($B55&lt;&gt;"",$D55&lt;=IFERROR(INDEX(Premissas!$B$102:$B$104,MATCH(IN_PERFIL,Premissas!$A$102:$A$104,0)),5)),1,0)</f>
        <v>0</v>
      </c>
      <c r="M55" s="143" t="n">
        <f aca="false">IF(IN_PRAZO*30&lt;$E55,0,IF($D55&gt;=4,IF(IN_PRAZO&gt;=60,100,IF(IN_PRAZO&gt;=36,60,IF(IN_PRAZO&gt;=24,30,0))),IF($D55=3,IF(IN_PRAZO&gt;=24,100,IF(IN_PRAZO&gt;=12,70,40)),100)))</f>
        <v>100</v>
      </c>
      <c r="N55" s="143" t="n">
        <f aca="false">IF(IN_RESGATE="Sim",IF($E55+$F55&lt;=3,100,IF($E55+$F55&lt;=31,50,0)),IF(IN_RESGATE="Talvez",IF($E55+$F55&lt;=90,100,IF($E55+$F55&lt;=360,50,20)),100))</f>
        <v>100</v>
      </c>
      <c r="O55" s="143" t="n">
        <f aca="false">IF($D55=0,0,IFERROR(INDEX($B$98:$F$101,MATCH(IN_PRIORIDADE,$A$98:$A$101,0),$D55),0))</f>
        <v>0</v>
      </c>
      <c r="P55" s="143" t="n">
        <f aca="false">MAX(0,MIN(100,60+IF($H55="ISENTO",25,0)+IF($I55&lt;=0.005,15,IF($I55&gt;=0.015,-15,0))+IF(AND($H55="PREV_REGR",IN_PRAZO&gt;=120),20,0)+IF(AND($H55="FUNDO_LP",IN_PRAZO&lt;=12),-10,0)+IF(AND($H55="FUNDO_CP",IN_PRAZO&gt;=24),-15,0)))</f>
        <v>75</v>
      </c>
      <c r="Q55" s="144" t="n">
        <f aca="false">IF(OR($B55="",$J55&lt;&gt;"SIM",$K55=0,$L55=0),0,ROUND(($M55*$B$7+$N55*$C$7+$O55*$D$7+$P55*$E$7)/MAX(1,$B$7+$C$7+$D$7+$E$7),1))</f>
        <v>0</v>
      </c>
      <c r="R55" s="145" t="n">
        <f aca="false">IF($H55="IMOVEL",0,$Q55+ROW()/1000000)</f>
        <v>5.5E-005</v>
      </c>
      <c r="S55" s="146" t="str">
        <f aca="false">IF($B55="","",IF($Q55=0,"Não indicado agora",IF($Q55&gt;=75,"Pode fazer sentido",IF($Q55&gt;=50,"Talvez faça sentido","Provavelmente não é o mais indicado"))))</f>
        <v/>
      </c>
      <c r="T55" s="147" t="str">
        <f aca="false">IF($B55="","",IF($Q55=0,IF($K55=0,"O valor disponível é menor que a aplicação mínima deste produto.",IF($L55=0,"O risco deste produto está acima do perfil declarado pelo cliente.","Produto não está ativo na base.")),IF($Q55&lt;50,"Encaixa pouco no que foi pedido — veja o ponto de atenção ao lado.",IF($H55="ISENTO","Não paga Imposto de Renda para pessoa física.",IF($W55="PRE","A taxa fica travada na contratação: não cai se os juros da economia caírem.",IF($W55="IPCA","Protege o poder de compra: rende a inflação mais uma taxa fixa por cima.",IF(AND($E55=0,$F55&lt;=1),"O dinheiro pode ser retirado praticamente a qualquer momento.",IF(AND($H55="PREV_REGR",IN_PRAZO&gt;=120),"No prazo escolhido a previdência alcança a menor alíquota de imposto (10%).",IF($D55&gt;=4,"Pode render mais no prazo longo, aceitando oscilação pelo caminho.","Combina com o prazo, a liquidez e a prioridade informados.")))))))))</f>
        <v/>
      </c>
      <c r="U55" s="147" t="str">
        <f aca="false">IF($B55="","",IF($E55&gt;0,"Carência de "&amp;$E55&amp;" dias: não dá para resgatar antes.",IF($F55&gt;60,"Não é dinheiro rápido: leva meses para virar caixa.",IF(LEFT($H55,4)="PREV",IF(IN_PRAZO&lt;24,"Resgate antes de 2 anos paga 35% de imposto.","Não tem cobertura do FGC: quem responde pelo dinheiro é a seguradora."),IF($D55&gt;=4,"Pode cair no caminho e demorar a se recuperar.",IF(AND($H55="RF_REGR",$X55&gt;=0.03),"Se vender antes do vencimento, o preço pode estar abaixo do que você pagou.",IF($X55&gt;=0.03,"O valor oscila mês a mês: em prazo curto pode estar abaixo do que você aplicou.",IF($H55="FUNDO_LP","Tem come-cotas em maio e novembro, que antecipam parte do imposto.",IF($F55&gt;7,"Para o dinheiro cair na conta leva cerca de "&amp;$F55&amp;" dias.",IF($I55&gt;=0.015,"Taxa de administração alta em relação ao retorno esperado.","Confirme prazo, liquidez e tributação antes de contratar."))))))))))</f>
        <v/>
      </c>
      <c r="V55" s="148" t="str">
        <f aca="false">IF($B55="","",IFERROR(IF(Produtos!$H55="MULT",(1+INDEX(TAB_MACRO_VAL,MATCH(Produtos!$E55,TAB_MACRO_COD,0))*Produtos!$F55)*(1+Produtos!$G55)-1,INDEX(TAB_MACRO_VAL,MATCH(Produtos!$E55,TAB_MACRO_COD,0))*Produtos!$F55+Produtos!$G55),""))</f>
        <v/>
      </c>
      <c r="W55" s="74" t="str">
        <f aca="false">IF(Produtos!$B55="","",Produtos!$E55)</f>
        <v/>
      </c>
      <c r="X55" s="76" t="n">
        <f aca="false">IF(Produtos!$B55="",0,Produtos!$U55)</f>
        <v>0</v>
      </c>
    </row>
    <row r="56" customFormat="false" ht="21.75" hidden="false" customHeight="true" outlineLevel="0" collapsed="false">
      <c r="A56" s="74" t="str">
        <f aca="false">IF(Produtos!$B56="","",Produtos!$A56)</f>
        <v/>
      </c>
      <c r="B56" s="142" t="str">
        <f aca="false">IF(Produtos!$B56="","",Produtos!$B56)</f>
        <v/>
      </c>
      <c r="C56" s="74" t="str">
        <f aca="false">IF(Produtos!$B56="","",Produtos!$C56)</f>
        <v/>
      </c>
      <c r="D56" s="77" t="n">
        <f aca="false">IF(Produtos!$B56="",0,Produtos!$T56)</f>
        <v>0</v>
      </c>
      <c r="E56" s="77" t="n">
        <f aca="false">IF(Produtos!$B56="",0,Produtos!$P56)</f>
        <v>0</v>
      </c>
      <c r="F56" s="77" t="n">
        <f aca="false">IF(Produtos!$B56="",0,Produtos!$Q56)</f>
        <v>0</v>
      </c>
      <c r="G56" s="78" t="n">
        <f aca="false">IF(Produtos!$B56="",0,Produtos!$R56)</f>
        <v>0</v>
      </c>
      <c r="H56" s="74" t="str">
        <f aca="false">IF(Produtos!$B56="","",Produtos!$N56)</f>
        <v/>
      </c>
      <c r="I56" s="76" t="n">
        <f aca="false">IF(Produtos!$B56="",0,Produtos!$I56)</f>
        <v>0</v>
      </c>
      <c r="J56" s="74" t="str">
        <f aca="false">IF(Produtos!$B56="","NÃO",Produtos!$AD56)</f>
        <v>NÃO</v>
      </c>
      <c r="K56" s="143" t="n">
        <f aca="false">IF(AND($B56&lt;&gt;"",IN_CAPITAL&gt;=$G56),1,0)</f>
        <v>0</v>
      </c>
      <c r="L56" s="143" t="n">
        <f aca="false">IF(AND($B56&lt;&gt;"",$D56&lt;=IFERROR(INDEX(Premissas!$B$102:$B$104,MATCH(IN_PERFIL,Premissas!$A$102:$A$104,0)),5)),1,0)</f>
        <v>0</v>
      </c>
      <c r="M56" s="143" t="n">
        <f aca="false">IF(IN_PRAZO*30&lt;$E56,0,IF($D56&gt;=4,IF(IN_PRAZO&gt;=60,100,IF(IN_PRAZO&gt;=36,60,IF(IN_PRAZO&gt;=24,30,0))),IF($D56=3,IF(IN_PRAZO&gt;=24,100,IF(IN_PRAZO&gt;=12,70,40)),100)))</f>
        <v>100</v>
      </c>
      <c r="N56" s="143" t="n">
        <f aca="false">IF(IN_RESGATE="Sim",IF($E56+$F56&lt;=3,100,IF($E56+$F56&lt;=31,50,0)),IF(IN_RESGATE="Talvez",IF($E56+$F56&lt;=90,100,IF($E56+$F56&lt;=360,50,20)),100))</f>
        <v>100</v>
      </c>
      <c r="O56" s="143" t="n">
        <f aca="false">IF($D56=0,0,IFERROR(INDEX($B$98:$F$101,MATCH(IN_PRIORIDADE,$A$98:$A$101,0),$D56),0))</f>
        <v>0</v>
      </c>
      <c r="P56" s="143" t="n">
        <f aca="false">MAX(0,MIN(100,60+IF($H56="ISENTO",25,0)+IF($I56&lt;=0.005,15,IF($I56&gt;=0.015,-15,0))+IF(AND($H56="PREV_REGR",IN_PRAZO&gt;=120),20,0)+IF(AND($H56="FUNDO_LP",IN_PRAZO&lt;=12),-10,0)+IF(AND($H56="FUNDO_CP",IN_PRAZO&gt;=24),-15,0)))</f>
        <v>75</v>
      </c>
      <c r="Q56" s="144" t="n">
        <f aca="false">IF(OR($B56="",$J56&lt;&gt;"SIM",$K56=0,$L56=0),0,ROUND(($M56*$B$7+$N56*$C$7+$O56*$D$7+$P56*$E$7)/MAX(1,$B$7+$C$7+$D$7+$E$7),1))</f>
        <v>0</v>
      </c>
      <c r="R56" s="145" t="n">
        <f aca="false">IF($H56="IMOVEL",0,$Q56+ROW()/1000000)</f>
        <v>5.6E-005</v>
      </c>
      <c r="S56" s="146" t="str">
        <f aca="false">IF($B56="","",IF($Q56=0,"Não indicado agora",IF($Q56&gt;=75,"Pode fazer sentido",IF($Q56&gt;=50,"Talvez faça sentido","Provavelmente não é o mais indicado"))))</f>
        <v/>
      </c>
      <c r="T56" s="147" t="str">
        <f aca="false">IF($B56="","",IF($Q56=0,IF($K56=0,"O valor disponível é menor que a aplicação mínima deste produto.",IF($L56=0,"O risco deste produto está acima do perfil declarado pelo cliente.","Produto não está ativo na base.")),IF($Q56&lt;50,"Encaixa pouco no que foi pedido — veja o ponto de atenção ao lado.",IF($H56="ISENTO","Não paga Imposto de Renda para pessoa física.",IF($W56="PRE","A taxa fica travada na contratação: não cai se os juros da economia caírem.",IF($W56="IPCA","Protege o poder de compra: rende a inflação mais uma taxa fixa por cima.",IF(AND($E56=0,$F56&lt;=1),"O dinheiro pode ser retirado praticamente a qualquer momento.",IF(AND($H56="PREV_REGR",IN_PRAZO&gt;=120),"No prazo escolhido a previdência alcança a menor alíquota de imposto (10%).",IF($D56&gt;=4,"Pode render mais no prazo longo, aceitando oscilação pelo caminho.","Combina com o prazo, a liquidez e a prioridade informados.")))))))))</f>
        <v/>
      </c>
      <c r="U56" s="147" t="str">
        <f aca="false">IF($B56="","",IF($E56&gt;0,"Carência de "&amp;$E56&amp;" dias: não dá para resgatar antes.",IF($F56&gt;60,"Não é dinheiro rápido: leva meses para virar caixa.",IF(LEFT($H56,4)="PREV",IF(IN_PRAZO&lt;24,"Resgate antes de 2 anos paga 35% de imposto.","Não tem cobertura do FGC: quem responde pelo dinheiro é a seguradora."),IF($D56&gt;=4,"Pode cair no caminho e demorar a se recuperar.",IF(AND($H56="RF_REGR",$X56&gt;=0.03),"Se vender antes do vencimento, o preço pode estar abaixo do que você pagou.",IF($X56&gt;=0.03,"O valor oscila mês a mês: em prazo curto pode estar abaixo do que você aplicou.",IF($H56="FUNDO_LP","Tem come-cotas em maio e novembro, que antecipam parte do imposto.",IF($F56&gt;7,"Para o dinheiro cair na conta leva cerca de "&amp;$F56&amp;" dias.",IF($I56&gt;=0.015,"Taxa de administração alta em relação ao retorno esperado.","Confirme prazo, liquidez e tributação antes de contratar."))))))))))</f>
        <v/>
      </c>
      <c r="V56" s="148" t="str">
        <f aca="false">IF($B56="","",IFERROR(IF(Produtos!$H56="MULT",(1+INDEX(TAB_MACRO_VAL,MATCH(Produtos!$E56,TAB_MACRO_COD,0))*Produtos!$F56)*(1+Produtos!$G56)-1,INDEX(TAB_MACRO_VAL,MATCH(Produtos!$E56,TAB_MACRO_COD,0))*Produtos!$F56+Produtos!$G56),""))</f>
        <v/>
      </c>
      <c r="W56" s="74" t="str">
        <f aca="false">IF(Produtos!$B56="","",Produtos!$E56)</f>
        <v/>
      </c>
      <c r="X56" s="76" t="n">
        <f aca="false">IF(Produtos!$B56="",0,Produtos!$U56)</f>
        <v>0</v>
      </c>
    </row>
    <row r="57" customFormat="false" ht="21.75" hidden="false" customHeight="true" outlineLevel="0" collapsed="false">
      <c r="A57" s="74" t="str">
        <f aca="false">IF(Produtos!$B57="","",Produtos!$A57)</f>
        <v/>
      </c>
      <c r="B57" s="142" t="str">
        <f aca="false">IF(Produtos!$B57="","",Produtos!$B57)</f>
        <v/>
      </c>
      <c r="C57" s="74" t="str">
        <f aca="false">IF(Produtos!$B57="","",Produtos!$C57)</f>
        <v/>
      </c>
      <c r="D57" s="77" t="n">
        <f aca="false">IF(Produtos!$B57="",0,Produtos!$T57)</f>
        <v>0</v>
      </c>
      <c r="E57" s="77" t="n">
        <f aca="false">IF(Produtos!$B57="",0,Produtos!$P57)</f>
        <v>0</v>
      </c>
      <c r="F57" s="77" t="n">
        <f aca="false">IF(Produtos!$B57="",0,Produtos!$Q57)</f>
        <v>0</v>
      </c>
      <c r="G57" s="78" t="n">
        <f aca="false">IF(Produtos!$B57="",0,Produtos!$R57)</f>
        <v>0</v>
      </c>
      <c r="H57" s="74" t="str">
        <f aca="false">IF(Produtos!$B57="","",Produtos!$N57)</f>
        <v/>
      </c>
      <c r="I57" s="76" t="n">
        <f aca="false">IF(Produtos!$B57="",0,Produtos!$I57)</f>
        <v>0</v>
      </c>
      <c r="J57" s="74" t="str">
        <f aca="false">IF(Produtos!$B57="","NÃO",Produtos!$AD57)</f>
        <v>NÃO</v>
      </c>
      <c r="K57" s="143" t="n">
        <f aca="false">IF(AND($B57&lt;&gt;"",IN_CAPITAL&gt;=$G57),1,0)</f>
        <v>0</v>
      </c>
      <c r="L57" s="143" t="n">
        <f aca="false">IF(AND($B57&lt;&gt;"",$D57&lt;=IFERROR(INDEX(Premissas!$B$102:$B$104,MATCH(IN_PERFIL,Premissas!$A$102:$A$104,0)),5)),1,0)</f>
        <v>0</v>
      </c>
      <c r="M57" s="143" t="n">
        <f aca="false">IF(IN_PRAZO*30&lt;$E57,0,IF($D57&gt;=4,IF(IN_PRAZO&gt;=60,100,IF(IN_PRAZO&gt;=36,60,IF(IN_PRAZO&gt;=24,30,0))),IF($D57=3,IF(IN_PRAZO&gt;=24,100,IF(IN_PRAZO&gt;=12,70,40)),100)))</f>
        <v>100</v>
      </c>
      <c r="N57" s="143" t="n">
        <f aca="false">IF(IN_RESGATE="Sim",IF($E57+$F57&lt;=3,100,IF($E57+$F57&lt;=31,50,0)),IF(IN_RESGATE="Talvez",IF($E57+$F57&lt;=90,100,IF($E57+$F57&lt;=360,50,20)),100))</f>
        <v>100</v>
      </c>
      <c r="O57" s="143" t="n">
        <f aca="false">IF($D57=0,0,IFERROR(INDEX($B$98:$F$101,MATCH(IN_PRIORIDADE,$A$98:$A$101,0),$D57),0))</f>
        <v>0</v>
      </c>
      <c r="P57" s="143" t="n">
        <f aca="false">MAX(0,MIN(100,60+IF($H57="ISENTO",25,0)+IF($I57&lt;=0.005,15,IF($I57&gt;=0.015,-15,0))+IF(AND($H57="PREV_REGR",IN_PRAZO&gt;=120),20,0)+IF(AND($H57="FUNDO_LP",IN_PRAZO&lt;=12),-10,0)+IF(AND($H57="FUNDO_CP",IN_PRAZO&gt;=24),-15,0)))</f>
        <v>75</v>
      </c>
      <c r="Q57" s="144" t="n">
        <f aca="false">IF(OR($B57="",$J57&lt;&gt;"SIM",$K57=0,$L57=0),0,ROUND(($M57*$B$7+$N57*$C$7+$O57*$D$7+$P57*$E$7)/MAX(1,$B$7+$C$7+$D$7+$E$7),1))</f>
        <v>0</v>
      </c>
      <c r="R57" s="145" t="n">
        <f aca="false">IF($H57="IMOVEL",0,$Q57+ROW()/1000000)</f>
        <v>5.7E-005</v>
      </c>
      <c r="S57" s="146" t="str">
        <f aca="false">IF($B57="","",IF($Q57=0,"Não indicado agora",IF($Q57&gt;=75,"Pode fazer sentido",IF($Q57&gt;=50,"Talvez faça sentido","Provavelmente não é o mais indicado"))))</f>
        <v/>
      </c>
      <c r="T57" s="147" t="str">
        <f aca="false">IF($B57="","",IF($Q57=0,IF($K57=0,"O valor disponível é menor que a aplicação mínima deste produto.",IF($L57=0,"O risco deste produto está acima do perfil declarado pelo cliente.","Produto não está ativo na base.")),IF($Q57&lt;50,"Encaixa pouco no que foi pedido — veja o ponto de atenção ao lado.",IF($H57="ISENTO","Não paga Imposto de Renda para pessoa física.",IF($W57="PRE","A taxa fica travada na contratação: não cai se os juros da economia caírem.",IF($W57="IPCA","Protege o poder de compra: rende a inflação mais uma taxa fixa por cima.",IF(AND($E57=0,$F57&lt;=1),"O dinheiro pode ser retirado praticamente a qualquer momento.",IF(AND($H57="PREV_REGR",IN_PRAZO&gt;=120),"No prazo escolhido a previdência alcança a menor alíquota de imposto (10%).",IF($D57&gt;=4,"Pode render mais no prazo longo, aceitando oscilação pelo caminho.","Combina com o prazo, a liquidez e a prioridade informados.")))))))))</f>
        <v/>
      </c>
      <c r="U57" s="147" t="str">
        <f aca="false">IF($B57="","",IF($E57&gt;0,"Carência de "&amp;$E57&amp;" dias: não dá para resgatar antes.",IF($F57&gt;60,"Não é dinheiro rápido: leva meses para virar caixa.",IF(LEFT($H57,4)="PREV",IF(IN_PRAZO&lt;24,"Resgate antes de 2 anos paga 35% de imposto.","Não tem cobertura do FGC: quem responde pelo dinheiro é a seguradora."),IF($D57&gt;=4,"Pode cair no caminho e demorar a se recuperar.",IF(AND($H57="RF_REGR",$X57&gt;=0.03),"Se vender antes do vencimento, o preço pode estar abaixo do que você pagou.",IF($X57&gt;=0.03,"O valor oscila mês a mês: em prazo curto pode estar abaixo do que você aplicou.",IF($H57="FUNDO_LP","Tem come-cotas em maio e novembro, que antecipam parte do imposto.",IF($F57&gt;7,"Para o dinheiro cair na conta leva cerca de "&amp;$F57&amp;" dias.",IF($I57&gt;=0.015,"Taxa de administração alta em relação ao retorno esperado.","Confirme prazo, liquidez e tributação antes de contratar."))))))))))</f>
        <v/>
      </c>
      <c r="V57" s="148" t="str">
        <f aca="false">IF($B57="","",IFERROR(IF(Produtos!$H57="MULT",(1+INDEX(TAB_MACRO_VAL,MATCH(Produtos!$E57,TAB_MACRO_COD,0))*Produtos!$F57)*(1+Produtos!$G57)-1,INDEX(TAB_MACRO_VAL,MATCH(Produtos!$E57,TAB_MACRO_COD,0))*Produtos!$F57+Produtos!$G57),""))</f>
        <v/>
      </c>
      <c r="W57" s="74" t="str">
        <f aca="false">IF(Produtos!$B57="","",Produtos!$E57)</f>
        <v/>
      </c>
      <c r="X57" s="76" t="n">
        <f aca="false">IF(Produtos!$B57="",0,Produtos!$U57)</f>
        <v>0</v>
      </c>
    </row>
    <row r="58" customFormat="false" ht="21.75" hidden="false" customHeight="true" outlineLevel="0" collapsed="false">
      <c r="A58" s="74" t="str">
        <f aca="false">IF(Produtos!$B58="","",Produtos!$A58)</f>
        <v/>
      </c>
      <c r="B58" s="142" t="str">
        <f aca="false">IF(Produtos!$B58="","",Produtos!$B58)</f>
        <v/>
      </c>
      <c r="C58" s="74" t="str">
        <f aca="false">IF(Produtos!$B58="","",Produtos!$C58)</f>
        <v/>
      </c>
      <c r="D58" s="77" t="n">
        <f aca="false">IF(Produtos!$B58="",0,Produtos!$T58)</f>
        <v>0</v>
      </c>
      <c r="E58" s="77" t="n">
        <f aca="false">IF(Produtos!$B58="",0,Produtos!$P58)</f>
        <v>0</v>
      </c>
      <c r="F58" s="77" t="n">
        <f aca="false">IF(Produtos!$B58="",0,Produtos!$Q58)</f>
        <v>0</v>
      </c>
      <c r="G58" s="78" t="n">
        <f aca="false">IF(Produtos!$B58="",0,Produtos!$R58)</f>
        <v>0</v>
      </c>
      <c r="H58" s="74" t="str">
        <f aca="false">IF(Produtos!$B58="","",Produtos!$N58)</f>
        <v/>
      </c>
      <c r="I58" s="76" t="n">
        <f aca="false">IF(Produtos!$B58="",0,Produtos!$I58)</f>
        <v>0</v>
      </c>
      <c r="J58" s="74" t="str">
        <f aca="false">IF(Produtos!$B58="","NÃO",Produtos!$AD58)</f>
        <v>NÃO</v>
      </c>
      <c r="K58" s="143" t="n">
        <f aca="false">IF(AND($B58&lt;&gt;"",IN_CAPITAL&gt;=$G58),1,0)</f>
        <v>0</v>
      </c>
      <c r="L58" s="143" t="n">
        <f aca="false">IF(AND($B58&lt;&gt;"",$D58&lt;=IFERROR(INDEX(Premissas!$B$102:$B$104,MATCH(IN_PERFIL,Premissas!$A$102:$A$104,0)),5)),1,0)</f>
        <v>0</v>
      </c>
      <c r="M58" s="143" t="n">
        <f aca="false">IF(IN_PRAZO*30&lt;$E58,0,IF($D58&gt;=4,IF(IN_PRAZO&gt;=60,100,IF(IN_PRAZO&gt;=36,60,IF(IN_PRAZO&gt;=24,30,0))),IF($D58=3,IF(IN_PRAZO&gt;=24,100,IF(IN_PRAZO&gt;=12,70,40)),100)))</f>
        <v>100</v>
      </c>
      <c r="N58" s="143" t="n">
        <f aca="false">IF(IN_RESGATE="Sim",IF($E58+$F58&lt;=3,100,IF($E58+$F58&lt;=31,50,0)),IF(IN_RESGATE="Talvez",IF($E58+$F58&lt;=90,100,IF($E58+$F58&lt;=360,50,20)),100))</f>
        <v>100</v>
      </c>
      <c r="O58" s="143" t="n">
        <f aca="false">IF($D58=0,0,IFERROR(INDEX($B$98:$F$101,MATCH(IN_PRIORIDADE,$A$98:$A$101,0),$D58),0))</f>
        <v>0</v>
      </c>
      <c r="P58" s="143" t="n">
        <f aca="false">MAX(0,MIN(100,60+IF($H58="ISENTO",25,0)+IF($I58&lt;=0.005,15,IF($I58&gt;=0.015,-15,0))+IF(AND($H58="PREV_REGR",IN_PRAZO&gt;=120),20,0)+IF(AND($H58="FUNDO_LP",IN_PRAZO&lt;=12),-10,0)+IF(AND($H58="FUNDO_CP",IN_PRAZO&gt;=24),-15,0)))</f>
        <v>75</v>
      </c>
      <c r="Q58" s="144" t="n">
        <f aca="false">IF(OR($B58="",$J58&lt;&gt;"SIM",$K58=0,$L58=0),0,ROUND(($M58*$B$7+$N58*$C$7+$O58*$D$7+$P58*$E$7)/MAX(1,$B$7+$C$7+$D$7+$E$7),1))</f>
        <v>0</v>
      </c>
      <c r="R58" s="145" t="n">
        <f aca="false">IF($H58="IMOVEL",0,$Q58+ROW()/1000000)</f>
        <v>5.8E-005</v>
      </c>
      <c r="S58" s="146" t="str">
        <f aca="false">IF($B58="","",IF($Q58=0,"Não indicado agora",IF($Q58&gt;=75,"Pode fazer sentido",IF($Q58&gt;=50,"Talvez faça sentido","Provavelmente não é o mais indicado"))))</f>
        <v/>
      </c>
      <c r="T58" s="147" t="str">
        <f aca="false">IF($B58="","",IF($Q58=0,IF($K58=0,"O valor disponível é menor que a aplicação mínima deste produto.",IF($L58=0,"O risco deste produto está acima do perfil declarado pelo cliente.","Produto não está ativo na base.")),IF($Q58&lt;50,"Encaixa pouco no que foi pedido — veja o ponto de atenção ao lado.",IF($H58="ISENTO","Não paga Imposto de Renda para pessoa física.",IF($W58="PRE","A taxa fica travada na contratação: não cai se os juros da economia caírem.",IF($W58="IPCA","Protege o poder de compra: rende a inflação mais uma taxa fixa por cima.",IF(AND($E58=0,$F58&lt;=1),"O dinheiro pode ser retirado praticamente a qualquer momento.",IF(AND($H58="PREV_REGR",IN_PRAZO&gt;=120),"No prazo escolhido a previdência alcança a menor alíquota de imposto (10%).",IF($D58&gt;=4,"Pode render mais no prazo longo, aceitando oscilação pelo caminho.","Combina com o prazo, a liquidez e a prioridade informados.")))))))))</f>
        <v/>
      </c>
      <c r="U58" s="147" t="str">
        <f aca="false">IF($B58="","",IF($E58&gt;0,"Carência de "&amp;$E58&amp;" dias: não dá para resgatar antes.",IF($F58&gt;60,"Não é dinheiro rápido: leva meses para virar caixa.",IF(LEFT($H58,4)="PREV",IF(IN_PRAZO&lt;24,"Resgate antes de 2 anos paga 35% de imposto.","Não tem cobertura do FGC: quem responde pelo dinheiro é a seguradora."),IF($D58&gt;=4,"Pode cair no caminho e demorar a se recuperar.",IF(AND($H58="RF_REGR",$X58&gt;=0.03),"Se vender antes do vencimento, o preço pode estar abaixo do que você pagou.",IF($X58&gt;=0.03,"O valor oscila mês a mês: em prazo curto pode estar abaixo do que você aplicou.",IF($H58="FUNDO_LP","Tem come-cotas em maio e novembro, que antecipam parte do imposto.",IF($F58&gt;7,"Para o dinheiro cair na conta leva cerca de "&amp;$F58&amp;" dias.",IF($I58&gt;=0.015,"Taxa de administração alta em relação ao retorno esperado.","Confirme prazo, liquidez e tributação antes de contratar."))))))))))</f>
        <v/>
      </c>
      <c r="V58" s="148" t="str">
        <f aca="false">IF($B58="","",IFERROR(IF(Produtos!$H58="MULT",(1+INDEX(TAB_MACRO_VAL,MATCH(Produtos!$E58,TAB_MACRO_COD,0))*Produtos!$F58)*(1+Produtos!$G58)-1,INDEX(TAB_MACRO_VAL,MATCH(Produtos!$E58,TAB_MACRO_COD,0))*Produtos!$F58+Produtos!$G58),""))</f>
        <v/>
      </c>
      <c r="W58" s="74" t="str">
        <f aca="false">IF(Produtos!$B58="","",Produtos!$E58)</f>
        <v/>
      </c>
      <c r="X58" s="76" t="n">
        <f aca="false">IF(Produtos!$B58="",0,Produtos!$U58)</f>
        <v>0</v>
      </c>
    </row>
    <row r="59" customFormat="false" ht="21.75" hidden="false" customHeight="true" outlineLevel="0" collapsed="false">
      <c r="A59" s="74" t="str">
        <f aca="false">IF(Produtos!$B59="","",Produtos!$A59)</f>
        <v/>
      </c>
      <c r="B59" s="142" t="str">
        <f aca="false">IF(Produtos!$B59="","",Produtos!$B59)</f>
        <v/>
      </c>
      <c r="C59" s="74" t="str">
        <f aca="false">IF(Produtos!$B59="","",Produtos!$C59)</f>
        <v/>
      </c>
      <c r="D59" s="77" t="n">
        <f aca="false">IF(Produtos!$B59="",0,Produtos!$T59)</f>
        <v>0</v>
      </c>
      <c r="E59" s="77" t="n">
        <f aca="false">IF(Produtos!$B59="",0,Produtos!$P59)</f>
        <v>0</v>
      </c>
      <c r="F59" s="77" t="n">
        <f aca="false">IF(Produtos!$B59="",0,Produtos!$Q59)</f>
        <v>0</v>
      </c>
      <c r="G59" s="78" t="n">
        <f aca="false">IF(Produtos!$B59="",0,Produtos!$R59)</f>
        <v>0</v>
      </c>
      <c r="H59" s="74" t="str">
        <f aca="false">IF(Produtos!$B59="","",Produtos!$N59)</f>
        <v/>
      </c>
      <c r="I59" s="76" t="n">
        <f aca="false">IF(Produtos!$B59="",0,Produtos!$I59)</f>
        <v>0</v>
      </c>
      <c r="J59" s="74" t="str">
        <f aca="false">IF(Produtos!$B59="","NÃO",Produtos!$AD59)</f>
        <v>NÃO</v>
      </c>
      <c r="K59" s="143" t="n">
        <f aca="false">IF(AND($B59&lt;&gt;"",IN_CAPITAL&gt;=$G59),1,0)</f>
        <v>0</v>
      </c>
      <c r="L59" s="143" t="n">
        <f aca="false">IF(AND($B59&lt;&gt;"",$D59&lt;=IFERROR(INDEX(Premissas!$B$102:$B$104,MATCH(IN_PERFIL,Premissas!$A$102:$A$104,0)),5)),1,0)</f>
        <v>0</v>
      </c>
      <c r="M59" s="143" t="n">
        <f aca="false">IF(IN_PRAZO*30&lt;$E59,0,IF($D59&gt;=4,IF(IN_PRAZO&gt;=60,100,IF(IN_PRAZO&gt;=36,60,IF(IN_PRAZO&gt;=24,30,0))),IF($D59=3,IF(IN_PRAZO&gt;=24,100,IF(IN_PRAZO&gt;=12,70,40)),100)))</f>
        <v>100</v>
      </c>
      <c r="N59" s="143" t="n">
        <f aca="false">IF(IN_RESGATE="Sim",IF($E59+$F59&lt;=3,100,IF($E59+$F59&lt;=31,50,0)),IF(IN_RESGATE="Talvez",IF($E59+$F59&lt;=90,100,IF($E59+$F59&lt;=360,50,20)),100))</f>
        <v>100</v>
      </c>
      <c r="O59" s="143" t="n">
        <f aca="false">IF($D59=0,0,IFERROR(INDEX($B$98:$F$101,MATCH(IN_PRIORIDADE,$A$98:$A$101,0),$D59),0))</f>
        <v>0</v>
      </c>
      <c r="P59" s="143" t="n">
        <f aca="false">MAX(0,MIN(100,60+IF($H59="ISENTO",25,0)+IF($I59&lt;=0.005,15,IF($I59&gt;=0.015,-15,0))+IF(AND($H59="PREV_REGR",IN_PRAZO&gt;=120),20,0)+IF(AND($H59="FUNDO_LP",IN_PRAZO&lt;=12),-10,0)+IF(AND($H59="FUNDO_CP",IN_PRAZO&gt;=24),-15,0)))</f>
        <v>75</v>
      </c>
      <c r="Q59" s="144" t="n">
        <f aca="false">IF(OR($B59="",$J59&lt;&gt;"SIM",$K59=0,$L59=0),0,ROUND(($M59*$B$7+$N59*$C$7+$O59*$D$7+$P59*$E$7)/MAX(1,$B$7+$C$7+$D$7+$E$7),1))</f>
        <v>0</v>
      </c>
      <c r="R59" s="145" t="n">
        <f aca="false">IF($H59="IMOVEL",0,$Q59+ROW()/1000000)</f>
        <v>5.9E-005</v>
      </c>
      <c r="S59" s="146" t="str">
        <f aca="false">IF($B59="","",IF($Q59=0,"Não indicado agora",IF($Q59&gt;=75,"Pode fazer sentido",IF($Q59&gt;=50,"Talvez faça sentido","Provavelmente não é o mais indicado"))))</f>
        <v/>
      </c>
      <c r="T59" s="147" t="str">
        <f aca="false">IF($B59="","",IF($Q59=0,IF($K59=0,"O valor disponível é menor que a aplicação mínima deste produto.",IF($L59=0,"O risco deste produto está acima do perfil declarado pelo cliente.","Produto não está ativo na base.")),IF($Q59&lt;50,"Encaixa pouco no que foi pedido — veja o ponto de atenção ao lado.",IF($H59="ISENTO","Não paga Imposto de Renda para pessoa física.",IF($W59="PRE","A taxa fica travada na contratação: não cai se os juros da economia caírem.",IF($W59="IPCA","Protege o poder de compra: rende a inflação mais uma taxa fixa por cima.",IF(AND($E59=0,$F59&lt;=1),"O dinheiro pode ser retirado praticamente a qualquer momento.",IF(AND($H59="PREV_REGR",IN_PRAZO&gt;=120),"No prazo escolhido a previdência alcança a menor alíquota de imposto (10%).",IF($D59&gt;=4,"Pode render mais no prazo longo, aceitando oscilação pelo caminho.","Combina com o prazo, a liquidez e a prioridade informados.")))))))))</f>
        <v/>
      </c>
      <c r="U59" s="147" t="str">
        <f aca="false">IF($B59="","",IF($E59&gt;0,"Carência de "&amp;$E59&amp;" dias: não dá para resgatar antes.",IF($F59&gt;60,"Não é dinheiro rápido: leva meses para virar caixa.",IF(LEFT($H59,4)="PREV",IF(IN_PRAZO&lt;24,"Resgate antes de 2 anos paga 35% de imposto.","Não tem cobertura do FGC: quem responde pelo dinheiro é a seguradora."),IF($D59&gt;=4,"Pode cair no caminho e demorar a se recuperar.",IF(AND($H59="RF_REGR",$X59&gt;=0.03),"Se vender antes do vencimento, o preço pode estar abaixo do que você pagou.",IF($X59&gt;=0.03,"O valor oscila mês a mês: em prazo curto pode estar abaixo do que você aplicou.",IF($H59="FUNDO_LP","Tem come-cotas em maio e novembro, que antecipam parte do imposto.",IF($F59&gt;7,"Para o dinheiro cair na conta leva cerca de "&amp;$F59&amp;" dias.",IF($I59&gt;=0.015,"Taxa de administração alta em relação ao retorno esperado.","Confirme prazo, liquidez e tributação antes de contratar."))))))))))</f>
        <v/>
      </c>
      <c r="V59" s="148" t="str">
        <f aca="false">IF($B59="","",IFERROR(IF(Produtos!$H59="MULT",(1+INDEX(TAB_MACRO_VAL,MATCH(Produtos!$E59,TAB_MACRO_COD,0))*Produtos!$F59)*(1+Produtos!$G59)-1,INDEX(TAB_MACRO_VAL,MATCH(Produtos!$E59,TAB_MACRO_COD,0))*Produtos!$F59+Produtos!$G59),""))</f>
        <v/>
      </c>
      <c r="W59" s="74" t="str">
        <f aca="false">IF(Produtos!$B59="","",Produtos!$E59)</f>
        <v/>
      </c>
      <c r="X59" s="76" t="n">
        <f aca="false">IF(Produtos!$B59="",0,Produtos!$U59)</f>
        <v>0</v>
      </c>
    </row>
    <row r="60" customFormat="false" ht="21.75" hidden="false" customHeight="true" outlineLevel="0" collapsed="false">
      <c r="A60" s="74" t="str">
        <f aca="false">IF(Produtos!$B60="","",Produtos!$A60)</f>
        <v/>
      </c>
      <c r="B60" s="142" t="str">
        <f aca="false">IF(Produtos!$B60="","",Produtos!$B60)</f>
        <v/>
      </c>
      <c r="C60" s="74" t="str">
        <f aca="false">IF(Produtos!$B60="","",Produtos!$C60)</f>
        <v/>
      </c>
      <c r="D60" s="77" t="n">
        <f aca="false">IF(Produtos!$B60="",0,Produtos!$T60)</f>
        <v>0</v>
      </c>
      <c r="E60" s="77" t="n">
        <f aca="false">IF(Produtos!$B60="",0,Produtos!$P60)</f>
        <v>0</v>
      </c>
      <c r="F60" s="77" t="n">
        <f aca="false">IF(Produtos!$B60="",0,Produtos!$Q60)</f>
        <v>0</v>
      </c>
      <c r="G60" s="78" t="n">
        <f aca="false">IF(Produtos!$B60="",0,Produtos!$R60)</f>
        <v>0</v>
      </c>
      <c r="H60" s="74" t="str">
        <f aca="false">IF(Produtos!$B60="","",Produtos!$N60)</f>
        <v/>
      </c>
      <c r="I60" s="76" t="n">
        <f aca="false">IF(Produtos!$B60="",0,Produtos!$I60)</f>
        <v>0</v>
      </c>
      <c r="J60" s="74" t="str">
        <f aca="false">IF(Produtos!$B60="","NÃO",Produtos!$AD60)</f>
        <v>NÃO</v>
      </c>
      <c r="K60" s="143" t="n">
        <f aca="false">IF(AND($B60&lt;&gt;"",IN_CAPITAL&gt;=$G60),1,0)</f>
        <v>0</v>
      </c>
      <c r="L60" s="143" t="n">
        <f aca="false">IF(AND($B60&lt;&gt;"",$D60&lt;=IFERROR(INDEX(Premissas!$B$102:$B$104,MATCH(IN_PERFIL,Premissas!$A$102:$A$104,0)),5)),1,0)</f>
        <v>0</v>
      </c>
      <c r="M60" s="143" t="n">
        <f aca="false">IF(IN_PRAZO*30&lt;$E60,0,IF($D60&gt;=4,IF(IN_PRAZO&gt;=60,100,IF(IN_PRAZO&gt;=36,60,IF(IN_PRAZO&gt;=24,30,0))),IF($D60=3,IF(IN_PRAZO&gt;=24,100,IF(IN_PRAZO&gt;=12,70,40)),100)))</f>
        <v>100</v>
      </c>
      <c r="N60" s="143" t="n">
        <f aca="false">IF(IN_RESGATE="Sim",IF($E60+$F60&lt;=3,100,IF($E60+$F60&lt;=31,50,0)),IF(IN_RESGATE="Talvez",IF($E60+$F60&lt;=90,100,IF($E60+$F60&lt;=360,50,20)),100))</f>
        <v>100</v>
      </c>
      <c r="O60" s="143" t="n">
        <f aca="false">IF($D60=0,0,IFERROR(INDEX($B$98:$F$101,MATCH(IN_PRIORIDADE,$A$98:$A$101,0),$D60),0))</f>
        <v>0</v>
      </c>
      <c r="P60" s="143" t="n">
        <f aca="false">MAX(0,MIN(100,60+IF($H60="ISENTO",25,0)+IF($I60&lt;=0.005,15,IF($I60&gt;=0.015,-15,0))+IF(AND($H60="PREV_REGR",IN_PRAZO&gt;=120),20,0)+IF(AND($H60="FUNDO_LP",IN_PRAZO&lt;=12),-10,0)+IF(AND($H60="FUNDO_CP",IN_PRAZO&gt;=24),-15,0)))</f>
        <v>75</v>
      </c>
      <c r="Q60" s="144" t="n">
        <f aca="false">IF(OR($B60="",$J60&lt;&gt;"SIM",$K60=0,$L60=0),0,ROUND(($M60*$B$7+$N60*$C$7+$O60*$D$7+$P60*$E$7)/MAX(1,$B$7+$C$7+$D$7+$E$7),1))</f>
        <v>0</v>
      </c>
      <c r="R60" s="145" t="n">
        <f aca="false">IF($H60="IMOVEL",0,$Q60+ROW()/1000000)</f>
        <v>6E-005</v>
      </c>
      <c r="S60" s="146" t="str">
        <f aca="false">IF($B60="","",IF($Q60=0,"Não indicado agora",IF($Q60&gt;=75,"Pode fazer sentido",IF($Q60&gt;=50,"Talvez faça sentido","Provavelmente não é o mais indicado"))))</f>
        <v/>
      </c>
      <c r="T60" s="147" t="str">
        <f aca="false">IF($B60="","",IF($Q60=0,IF($K60=0,"O valor disponível é menor que a aplicação mínima deste produto.",IF($L60=0,"O risco deste produto está acima do perfil declarado pelo cliente.","Produto não está ativo na base.")),IF($Q60&lt;50,"Encaixa pouco no que foi pedido — veja o ponto de atenção ao lado.",IF($H60="ISENTO","Não paga Imposto de Renda para pessoa física.",IF($W60="PRE","A taxa fica travada na contratação: não cai se os juros da economia caírem.",IF($W60="IPCA","Protege o poder de compra: rende a inflação mais uma taxa fixa por cima.",IF(AND($E60=0,$F60&lt;=1),"O dinheiro pode ser retirado praticamente a qualquer momento.",IF(AND($H60="PREV_REGR",IN_PRAZO&gt;=120),"No prazo escolhido a previdência alcança a menor alíquota de imposto (10%).",IF($D60&gt;=4,"Pode render mais no prazo longo, aceitando oscilação pelo caminho.","Combina com o prazo, a liquidez e a prioridade informados.")))))))))</f>
        <v/>
      </c>
      <c r="U60" s="147" t="str">
        <f aca="false">IF($B60="","",IF($E60&gt;0,"Carência de "&amp;$E60&amp;" dias: não dá para resgatar antes.",IF($F60&gt;60,"Não é dinheiro rápido: leva meses para virar caixa.",IF(LEFT($H60,4)="PREV",IF(IN_PRAZO&lt;24,"Resgate antes de 2 anos paga 35% de imposto.","Não tem cobertura do FGC: quem responde pelo dinheiro é a seguradora."),IF($D60&gt;=4,"Pode cair no caminho e demorar a se recuperar.",IF(AND($H60="RF_REGR",$X60&gt;=0.03),"Se vender antes do vencimento, o preço pode estar abaixo do que você pagou.",IF($X60&gt;=0.03,"O valor oscila mês a mês: em prazo curto pode estar abaixo do que você aplicou.",IF($H60="FUNDO_LP","Tem come-cotas em maio e novembro, que antecipam parte do imposto.",IF($F60&gt;7,"Para o dinheiro cair na conta leva cerca de "&amp;$F60&amp;" dias.",IF($I60&gt;=0.015,"Taxa de administração alta em relação ao retorno esperado.","Confirme prazo, liquidez e tributação antes de contratar."))))))))))</f>
        <v/>
      </c>
      <c r="V60" s="148" t="str">
        <f aca="false">IF($B60="","",IFERROR(IF(Produtos!$H60="MULT",(1+INDEX(TAB_MACRO_VAL,MATCH(Produtos!$E60,TAB_MACRO_COD,0))*Produtos!$F60)*(1+Produtos!$G60)-1,INDEX(TAB_MACRO_VAL,MATCH(Produtos!$E60,TAB_MACRO_COD,0))*Produtos!$F60+Produtos!$G60),""))</f>
        <v/>
      </c>
      <c r="W60" s="74" t="str">
        <f aca="false">IF(Produtos!$B60="","",Produtos!$E60)</f>
        <v/>
      </c>
      <c r="X60" s="76" t="n">
        <f aca="false">IF(Produtos!$B60="",0,Produtos!$U60)</f>
        <v>0</v>
      </c>
    </row>
    <row r="61" customFormat="false" ht="21.75" hidden="false" customHeight="true" outlineLevel="0" collapsed="false">
      <c r="A61" s="74" t="str">
        <f aca="false">IF(Produtos!$B61="","",Produtos!$A61)</f>
        <v/>
      </c>
      <c r="B61" s="142" t="str">
        <f aca="false">IF(Produtos!$B61="","",Produtos!$B61)</f>
        <v/>
      </c>
      <c r="C61" s="74" t="str">
        <f aca="false">IF(Produtos!$B61="","",Produtos!$C61)</f>
        <v/>
      </c>
      <c r="D61" s="77" t="n">
        <f aca="false">IF(Produtos!$B61="",0,Produtos!$T61)</f>
        <v>0</v>
      </c>
      <c r="E61" s="77" t="n">
        <f aca="false">IF(Produtos!$B61="",0,Produtos!$P61)</f>
        <v>0</v>
      </c>
      <c r="F61" s="77" t="n">
        <f aca="false">IF(Produtos!$B61="",0,Produtos!$Q61)</f>
        <v>0</v>
      </c>
      <c r="G61" s="78" t="n">
        <f aca="false">IF(Produtos!$B61="",0,Produtos!$R61)</f>
        <v>0</v>
      </c>
      <c r="H61" s="74" t="str">
        <f aca="false">IF(Produtos!$B61="","",Produtos!$N61)</f>
        <v/>
      </c>
      <c r="I61" s="76" t="n">
        <f aca="false">IF(Produtos!$B61="",0,Produtos!$I61)</f>
        <v>0</v>
      </c>
      <c r="J61" s="74" t="str">
        <f aca="false">IF(Produtos!$B61="","NÃO",Produtos!$AD61)</f>
        <v>NÃO</v>
      </c>
      <c r="K61" s="143" t="n">
        <f aca="false">IF(AND($B61&lt;&gt;"",IN_CAPITAL&gt;=$G61),1,0)</f>
        <v>0</v>
      </c>
      <c r="L61" s="143" t="n">
        <f aca="false">IF(AND($B61&lt;&gt;"",$D61&lt;=IFERROR(INDEX(Premissas!$B$102:$B$104,MATCH(IN_PERFIL,Premissas!$A$102:$A$104,0)),5)),1,0)</f>
        <v>0</v>
      </c>
      <c r="M61" s="143" t="n">
        <f aca="false">IF(IN_PRAZO*30&lt;$E61,0,IF($D61&gt;=4,IF(IN_PRAZO&gt;=60,100,IF(IN_PRAZO&gt;=36,60,IF(IN_PRAZO&gt;=24,30,0))),IF($D61=3,IF(IN_PRAZO&gt;=24,100,IF(IN_PRAZO&gt;=12,70,40)),100)))</f>
        <v>100</v>
      </c>
      <c r="N61" s="143" t="n">
        <f aca="false">IF(IN_RESGATE="Sim",IF($E61+$F61&lt;=3,100,IF($E61+$F61&lt;=31,50,0)),IF(IN_RESGATE="Talvez",IF($E61+$F61&lt;=90,100,IF($E61+$F61&lt;=360,50,20)),100))</f>
        <v>100</v>
      </c>
      <c r="O61" s="143" t="n">
        <f aca="false">IF($D61=0,0,IFERROR(INDEX($B$98:$F$101,MATCH(IN_PRIORIDADE,$A$98:$A$101,0),$D61),0))</f>
        <v>0</v>
      </c>
      <c r="P61" s="143" t="n">
        <f aca="false">MAX(0,MIN(100,60+IF($H61="ISENTO",25,0)+IF($I61&lt;=0.005,15,IF($I61&gt;=0.015,-15,0))+IF(AND($H61="PREV_REGR",IN_PRAZO&gt;=120),20,0)+IF(AND($H61="FUNDO_LP",IN_PRAZO&lt;=12),-10,0)+IF(AND($H61="FUNDO_CP",IN_PRAZO&gt;=24),-15,0)))</f>
        <v>75</v>
      </c>
      <c r="Q61" s="144" t="n">
        <f aca="false">IF(OR($B61="",$J61&lt;&gt;"SIM",$K61=0,$L61=0),0,ROUND(($M61*$B$7+$N61*$C$7+$O61*$D$7+$P61*$E$7)/MAX(1,$B$7+$C$7+$D$7+$E$7),1))</f>
        <v>0</v>
      </c>
      <c r="R61" s="145" t="n">
        <f aca="false">IF($H61="IMOVEL",0,$Q61+ROW()/1000000)</f>
        <v>6.1E-005</v>
      </c>
      <c r="S61" s="146" t="str">
        <f aca="false">IF($B61="","",IF($Q61=0,"Não indicado agora",IF($Q61&gt;=75,"Pode fazer sentido",IF($Q61&gt;=50,"Talvez faça sentido","Provavelmente não é o mais indicado"))))</f>
        <v/>
      </c>
      <c r="T61" s="147" t="str">
        <f aca="false">IF($B61="","",IF($Q61=0,IF($K61=0,"O valor disponível é menor que a aplicação mínima deste produto.",IF($L61=0,"O risco deste produto está acima do perfil declarado pelo cliente.","Produto não está ativo na base.")),IF($Q61&lt;50,"Encaixa pouco no que foi pedido — veja o ponto de atenção ao lado.",IF($H61="ISENTO","Não paga Imposto de Renda para pessoa física.",IF($W61="PRE","A taxa fica travada na contratação: não cai se os juros da economia caírem.",IF($W61="IPCA","Protege o poder de compra: rende a inflação mais uma taxa fixa por cima.",IF(AND($E61=0,$F61&lt;=1),"O dinheiro pode ser retirado praticamente a qualquer momento.",IF(AND($H61="PREV_REGR",IN_PRAZO&gt;=120),"No prazo escolhido a previdência alcança a menor alíquota de imposto (10%).",IF($D61&gt;=4,"Pode render mais no prazo longo, aceitando oscilação pelo caminho.","Combina com o prazo, a liquidez e a prioridade informados.")))))))))</f>
        <v/>
      </c>
      <c r="U61" s="147" t="str">
        <f aca="false">IF($B61="","",IF($E61&gt;0,"Carência de "&amp;$E61&amp;" dias: não dá para resgatar antes.",IF($F61&gt;60,"Não é dinheiro rápido: leva meses para virar caixa.",IF(LEFT($H61,4)="PREV",IF(IN_PRAZO&lt;24,"Resgate antes de 2 anos paga 35% de imposto.","Não tem cobertura do FGC: quem responde pelo dinheiro é a seguradora."),IF($D61&gt;=4,"Pode cair no caminho e demorar a se recuperar.",IF(AND($H61="RF_REGR",$X61&gt;=0.03),"Se vender antes do vencimento, o preço pode estar abaixo do que você pagou.",IF($X61&gt;=0.03,"O valor oscila mês a mês: em prazo curto pode estar abaixo do que você aplicou.",IF($H61="FUNDO_LP","Tem come-cotas em maio e novembro, que antecipam parte do imposto.",IF($F61&gt;7,"Para o dinheiro cair na conta leva cerca de "&amp;$F61&amp;" dias.",IF($I61&gt;=0.015,"Taxa de administração alta em relação ao retorno esperado.","Confirme prazo, liquidez e tributação antes de contratar."))))))))))</f>
        <v/>
      </c>
      <c r="V61" s="148" t="str">
        <f aca="false">IF($B61="","",IFERROR(IF(Produtos!$H61="MULT",(1+INDEX(TAB_MACRO_VAL,MATCH(Produtos!$E61,TAB_MACRO_COD,0))*Produtos!$F61)*(1+Produtos!$G61)-1,INDEX(TAB_MACRO_VAL,MATCH(Produtos!$E61,TAB_MACRO_COD,0))*Produtos!$F61+Produtos!$G61),""))</f>
        <v/>
      </c>
      <c r="W61" s="74" t="str">
        <f aca="false">IF(Produtos!$B61="","",Produtos!$E61)</f>
        <v/>
      </c>
      <c r="X61" s="76" t="n">
        <f aca="false">IF(Produtos!$B61="",0,Produtos!$U61)</f>
        <v>0</v>
      </c>
    </row>
    <row r="62" customFormat="false" ht="21.75" hidden="false" customHeight="true" outlineLevel="0" collapsed="false">
      <c r="A62" s="74" t="str">
        <f aca="false">IF(Produtos!$B62="","",Produtos!$A62)</f>
        <v/>
      </c>
      <c r="B62" s="142" t="str">
        <f aca="false">IF(Produtos!$B62="","",Produtos!$B62)</f>
        <v/>
      </c>
      <c r="C62" s="74" t="str">
        <f aca="false">IF(Produtos!$B62="","",Produtos!$C62)</f>
        <v/>
      </c>
      <c r="D62" s="77" t="n">
        <f aca="false">IF(Produtos!$B62="",0,Produtos!$T62)</f>
        <v>0</v>
      </c>
      <c r="E62" s="77" t="n">
        <f aca="false">IF(Produtos!$B62="",0,Produtos!$P62)</f>
        <v>0</v>
      </c>
      <c r="F62" s="77" t="n">
        <f aca="false">IF(Produtos!$B62="",0,Produtos!$Q62)</f>
        <v>0</v>
      </c>
      <c r="G62" s="78" t="n">
        <f aca="false">IF(Produtos!$B62="",0,Produtos!$R62)</f>
        <v>0</v>
      </c>
      <c r="H62" s="74" t="str">
        <f aca="false">IF(Produtos!$B62="","",Produtos!$N62)</f>
        <v/>
      </c>
      <c r="I62" s="76" t="n">
        <f aca="false">IF(Produtos!$B62="",0,Produtos!$I62)</f>
        <v>0</v>
      </c>
      <c r="J62" s="74" t="str">
        <f aca="false">IF(Produtos!$B62="","NÃO",Produtos!$AD62)</f>
        <v>NÃO</v>
      </c>
      <c r="K62" s="143" t="n">
        <f aca="false">IF(AND($B62&lt;&gt;"",IN_CAPITAL&gt;=$G62),1,0)</f>
        <v>0</v>
      </c>
      <c r="L62" s="143" t="n">
        <f aca="false">IF(AND($B62&lt;&gt;"",$D62&lt;=IFERROR(INDEX(Premissas!$B$102:$B$104,MATCH(IN_PERFIL,Premissas!$A$102:$A$104,0)),5)),1,0)</f>
        <v>0</v>
      </c>
      <c r="M62" s="143" t="n">
        <f aca="false">IF(IN_PRAZO*30&lt;$E62,0,IF($D62&gt;=4,IF(IN_PRAZO&gt;=60,100,IF(IN_PRAZO&gt;=36,60,IF(IN_PRAZO&gt;=24,30,0))),IF($D62=3,IF(IN_PRAZO&gt;=24,100,IF(IN_PRAZO&gt;=12,70,40)),100)))</f>
        <v>100</v>
      </c>
      <c r="N62" s="143" t="n">
        <f aca="false">IF(IN_RESGATE="Sim",IF($E62+$F62&lt;=3,100,IF($E62+$F62&lt;=31,50,0)),IF(IN_RESGATE="Talvez",IF($E62+$F62&lt;=90,100,IF($E62+$F62&lt;=360,50,20)),100))</f>
        <v>100</v>
      </c>
      <c r="O62" s="143" t="n">
        <f aca="false">IF($D62=0,0,IFERROR(INDEX($B$98:$F$101,MATCH(IN_PRIORIDADE,$A$98:$A$101,0),$D62),0))</f>
        <v>0</v>
      </c>
      <c r="P62" s="143" t="n">
        <f aca="false">MAX(0,MIN(100,60+IF($H62="ISENTO",25,0)+IF($I62&lt;=0.005,15,IF($I62&gt;=0.015,-15,0))+IF(AND($H62="PREV_REGR",IN_PRAZO&gt;=120),20,0)+IF(AND($H62="FUNDO_LP",IN_PRAZO&lt;=12),-10,0)+IF(AND($H62="FUNDO_CP",IN_PRAZO&gt;=24),-15,0)))</f>
        <v>75</v>
      </c>
      <c r="Q62" s="144" t="n">
        <f aca="false">IF(OR($B62="",$J62&lt;&gt;"SIM",$K62=0,$L62=0),0,ROUND(($M62*$B$7+$N62*$C$7+$O62*$D$7+$P62*$E$7)/MAX(1,$B$7+$C$7+$D$7+$E$7),1))</f>
        <v>0</v>
      </c>
      <c r="R62" s="145" t="n">
        <f aca="false">IF($H62="IMOVEL",0,$Q62+ROW()/1000000)</f>
        <v>6.2E-005</v>
      </c>
      <c r="S62" s="146" t="str">
        <f aca="false">IF($B62="","",IF($Q62=0,"Não indicado agora",IF($Q62&gt;=75,"Pode fazer sentido",IF($Q62&gt;=50,"Talvez faça sentido","Provavelmente não é o mais indicado"))))</f>
        <v/>
      </c>
      <c r="T62" s="147" t="str">
        <f aca="false">IF($B62="","",IF($Q62=0,IF($K62=0,"O valor disponível é menor que a aplicação mínima deste produto.",IF($L62=0,"O risco deste produto está acima do perfil declarado pelo cliente.","Produto não está ativo na base.")),IF($Q62&lt;50,"Encaixa pouco no que foi pedido — veja o ponto de atenção ao lado.",IF($H62="ISENTO","Não paga Imposto de Renda para pessoa física.",IF($W62="PRE","A taxa fica travada na contratação: não cai se os juros da economia caírem.",IF($W62="IPCA","Protege o poder de compra: rende a inflação mais uma taxa fixa por cima.",IF(AND($E62=0,$F62&lt;=1),"O dinheiro pode ser retirado praticamente a qualquer momento.",IF(AND($H62="PREV_REGR",IN_PRAZO&gt;=120),"No prazo escolhido a previdência alcança a menor alíquota de imposto (10%).",IF($D62&gt;=4,"Pode render mais no prazo longo, aceitando oscilação pelo caminho.","Combina com o prazo, a liquidez e a prioridade informados.")))))))))</f>
        <v/>
      </c>
      <c r="U62" s="147" t="str">
        <f aca="false">IF($B62="","",IF($E62&gt;0,"Carência de "&amp;$E62&amp;" dias: não dá para resgatar antes.",IF($F62&gt;60,"Não é dinheiro rápido: leva meses para virar caixa.",IF(LEFT($H62,4)="PREV",IF(IN_PRAZO&lt;24,"Resgate antes de 2 anos paga 35% de imposto.","Não tem cobertura do FGC: quem responde pelo dinheiro é a seguradora."),IF($D62&gt;=4,"Pode cair no caminho e demorar a se recuperar.",IF(AND($H62="RF_REGR",$X62&gt;=0.03),"Se vender antes do vencimento, o preço pode estar abaixo do que você pagou.",IF($X62&gt;=0.03,"O valor oscila mês a mês: em prazo curto pode estar abaixo do que você aplicou.",IF($H62="FUNDO_LP","Tem come-cotas em maio e novembro, que antecipam parte do imposto.",IF($F62&gt;7,"Para o dinheiro cair na conta leva cerca de "&amp;$F62&amp;" dias.",IF($I62&gt;=0.015,"Taxa de administração alta em relação ao retorno esperado.","Confirme prazo, liquidez e tributação antes de contratar."))))))))))</f>
        <v/>
      </c>
      <c r="V62" s="148" t="str">
        <f aca="false">IF($B62="","",IFERROR(IF(Produtos!$H62="MULT",(1+INDEX(TAB_MACRO_VAL,MATCH(Produtos!$E62,TAB_MACRO_COD,0))*Produtos!$F62)*(1+Produtos!$G62)-1,INDEX(TAB_MACRO_VAL,MATCH(Produtos!$E62,TAB_MACRO_COD,0))*Produtos!$F62+Produtos!$G62),""))</f>
        <v/>
      </c>
      <c r="W62" s="74" t="str">
        <f aca="false">IF(Produtos!$B62="","",Produtos!$E62)</f>
        <v/>
      </c>
      <c r="X62" s="76" t="n">
        <f aca="false">IF(Produtos!$B62="",0,Produtos!$U62)</f>
        <v>0</v>
      </c>
    </row>
    <row r="63" customFormat="false" ht="21.75" hidden="false" customHeight="true" outlineLevel="0" collapsed="false">
      <c r="A63" s="74" t="str">
        <f aca="false">IF(Produtos!$B63="","",Produtos!$A63)</f>
        <v/>
      </c>
      <c r="B63" s="142" t="str">
        <f aca="false">IF(Produtos!$B63="","",Produtos!$B63)</f>
        <v/>
      </c>
      <c r="C63" s="74" t="str">
        <f aca="false">IF(Produtos!$B63="","",Produtos!$C63)</f>
        <v/>
      </c>
      <c r="D63" s="77" t="n">
        <f aca="false">IF(Produtos!$B63="",0,Produtos!$T63)</f>
        <v>0</v>
      </c>
      <c r="E63" s="77" t="n">
        <f aca="false">IF(Produtos!$B63="",0,Produtos!$P63)</f>
        <v>0</v>
      </c>
      <c r="F63" s="77" t="n">
        <f aca="false">IF(Produtos!$B63="",0,Produtos!$Q63)</f>
        <v>0</v>
      </c>
      <c r="G63" s="78" t="n">
        <f aca="false">IF(Produtos!$B63="",0,Produtos!$R63)</f>
        <v>0</v>
      </c>
      <c r="H63" s="74" t="str">
        <f aca="false">IF(Produtos!$B63="","",Produtos!$N63)</f>
        <v/>
      </c>
      <c r="I63" s="76" t="n">
        <f aca="false">IF(Produtos!$B63="",0,Produtos!$I63)</f>
        <v>0</v>
      </c>
      <c r="J63" s="74" t="str">
        <f aca="false">IF(Produtos!$B63="","NÃO",Produtos!$AD63)</f>
        <v>NÃO</v>
      </c>
      <c r="K63" s="143" t="n">
        <f aca="false">IF(AND($B63&lt;&gt;"",IN_CAPITAL&gt;=$G63),1,0)</f>
        <v>0</v>
      </c>
      <c r="L63" s="143" t="n">
        <f aca="false">IF(AND($B63&lt;&gt;"",$D63&lt;=IFERROR(INDEX(Premissas!$B$102:$B$104,MATCH(IN_PERFIL,Premissas!$A$102:$A$104,0)),5)),1,0)</f>
        <v>0</v>
      </c>
      <c r="M63" s="143" t="n">
        <f aca="false">IF(IN_PRAZO*30&lt;$E63,0,IF($D63&gt;=4,IF(IN_PRAZO&gt;=60,100,IF(IN_PRAZO&gt;=36,60,IF(IN_PRAZO&gt;=24,30,0))),IF($D63=3,IF(IN_PRAZO&gt;=24,100,IF(IN_PRAZO&gt;=12,70,40)),100)))</f>
        <v>100</v>
      </c>
      <c r="N63" s="143" t="n">
        <f aca="false">IF(IN_RESGATE="Sim",IF($E63+$F63&lt;=3,100,IF($E63+$F63&lt;=31,50,0)),IF(IN_RESGATE="Talvez",IF($E63+$F63&lt;=90,100,IF($E63+$F63&lt;=360,50,20)),100))</f>
        <v>100</v>
      </c>
      <c r="O63" s="143" t="n">
        <f aca="false">IF($D63=0,0,IFERROR(INDEX($B$98:$F$101,MATCH(IN_PRIORIDADE,$A$98:$A$101,0),$D63),0))</f>
        <v>0</v>
      </c>
      <c r="P63" s="143" t="n">
        <f aca="false">MAX(0,MIN(100,60+IF($H63="ISENTO",25,0)+IF($I63&lt;=0.005,15,IF($I63&gt;=0.015,-15,0))+IF(AND($H63="PREV_REGR",IN_PRAZO&gt;=120),20,0)+IF(AND($H63="FUNDO_LP",IN_PRAZO&lt;=12),-10,0)+IF(AND($H63="FUNDO_CP",IN_PRAZO&gt;=24),-15,0)))</f>
        <v>75</v>
      </c>
      <c r="Q63" s="144" t="n">
        <f aca="false">IF(OR($B63="",$J63&lt;&gt;"SIM",$K63=0,$L63=0),0,ROUND(($M63*$B$7+$N63*$C$7+$O63*$D$7+$P63*$E$7)/MAX(1,$B$7+$C$7+$D$7+$E$7),1))</f>
        <v>0</v>
      </c>
      <c r="R63" s="145" t="n">
        <f aca="false">IF($H63="IMOVEL",0,$Q63+ROW()/1000000)</f>
        <v>6.3E-005</v>
      </c>
      <c r="S63" s="146" t="str">
        <f aca="false">IF($B63="","",IF($Q63=0,"Não indicado agora",IF($Q63&gt;=75,"Pode fazer sentido",IF($Q63&gt;=50,"Talvez faça sentido","Provavelmente não é o mais indicado"))))</f>
        <v/>
      </c>
      <c r="T63" s="147" t="str">
        <f aca="false">IF($B63="","",IF($Q63=0,IF($K63=0,"O valor disponível é menor que a aplicação mínima deste produto.",IF($L63=0,"O risco deste produto está acima do perfil declarado pelo cliente.","Produto não está ativo na base.")),IF($Q63&lt;50,"Encaixa pouco no que foi pedido — veja o ponto de atenção ao lado.",IF($H63="ISENTO","Não paga Imposto de Renda para pessoa física.",IF($W63="PRE","A taxa fica travada na contratação: não cai se os juros da economia caírem.",IF($W63="IPCA","Protege o poder de compra: rende a inflação mais uma taxa fixa por cima.",IF(AND($E63=0,$F63&lt;=1),"O dinheiro pode ser retirado praticamente a qualquer momento.",IF(AND($H63="PREV_REGR",IN_PRAZO&gt;=120),"No prazo escolhido a previdência alcança a menor alíquota de imposto (10%).",IF($D63&gt;=4,"Pode render mais no prazo longo, aceitando oscilação pelo caminho.","Combina com o prazo, a liquidez e a prioridade informados.")))))))))</f>
        <v/>
      </c>
      <c r="U63" s="147" t="str">
        <f aca="false">IF($B63="","",IF($E63&gt;0,"Carência de "&amp;$E63&amp;" dias: não dá para resgatar antes.",IF($F63&gt;60,"Não é dinheiro rápido: leva meses para virar caixa.",IF(LEFT($H63,4)="PREV",IF(IN_PRAZO&lt;24,"Resgate antes de 2 anos paga 35% de imposto.","Não tem cobertura do FGC: quem responde pelo dinheiro é a seguradora."),IF($D63&gt;=4,"Pode cair no caminho e demorar a se recuperar.",IF(AND($H63="RF_REGR",$X63&gt;=0.03),"Se vender antes do vencimento, o preço pode estar abaixo do que você pagou.",IF($X63&gt;=0.03,"O valor oscila mês a mês: em prazo curto pode estar abaixo do que você aplicou.",IF($H63="FUNDO_LP","Tem come-cotas em maio e novembro, que antecipam parte do imposto.",IF($F63&gt;7,"Para o dinheiro cair na conta leva cerca de "&amp;$F63&amp;" dias.",IF($I63&gt;=0.015,"Taxa de administração alta em relação ao retorno esperado.","Confirme prazo, liquidez e tributação antes de contratar."))))))))))</f>
        <v/>
      </c>
      <c r="V63" s="148" t="str">
        <f aca="false">IF($B63="","",IFERROR(IF(Produtos!$H63="MULT",(1+INDEX(TAB_MACRO_VAL,MATCH(Produtos!$E63,TAB_MACRO_COD,0))*Produtos!$F63)*(1+Produtos!$G63)-1,INDEX(TAB_MACRO_VAL,MATCH(Produtos!$E63,TAB_MACRO_COD,0))*Produtos!$F63+Produtos!$G63),""))</f>
        <v/>
      </c>
      <c r="W63" s="74" t="str">
        <f aca="false">IF(Produtos!$B63="","",Produtos!$E63)</f>
        <v/>
      </c>
      <c r="X63" s="76" t="n">
        <f aca="false">IF(Produtos!$B63="",0,Produtos!$U63)</f>
        <v>0</v>
      </c>
    </row>
    <row r="64" customFormat="false" ht="21.75" hidden="false" customHeight="true" outlineLevel="0" collapsed="false">
      <c r="A64" s="74" t="str">
        <f aca="false">IF(Produtos!$B64="","",Produtos!$A64)</f>
        <v/>
      </c>
      <c r="B64" s="142" t="str">
        <f aca="false">IF(Produtos!$B64="","",Produtos!$B64)</f>
        <v/>
      </c>
      <c r="C64" s="74" t="str">
        <f aca="false">IF(Produtos!$B64="","",Produtos!$C64)</f>
        <v/>
      </c>
      <c r="D64" s="77" t="n">
        <f aca="false">IF(Produtos!$B64="",0,Produtos!$T64)</f>
        <v>0</v>
      </c>
      <c r="E64" s="77" t="n">
        <f aca="false">IF(Produtos!$B64="",0,Produtos!$P64)</f>
        <v>0</v>
      </c>
      <c r="F64" s="77" t="n">
        <f aca="false">IF(Produtos!$B64="",0,Produtos!$Q64)</f>
        <v>0</v>
      </c>
      <c r="G64" s="78" t="n">
        <f aca="false">IF(Produtos!$B64="",0,Produtos!$R64)</f>
        <v>0</v>
      </c>
      <c r="H64" s="74" t="str">
        <f aca="false">IF(Produtos!$B64="","",Produtos!$N64)</f>
        <v/>
      </c>
      <c r="I64" s="76" t="n">
        <f aca="false">IF(Produtos!$B64="",0,Produtos!$I64)</f>
        <v>0</v>
      </c>
      <c r="J64" s="74" t="str">
        <f aca="false">IF(Produtos!$B64="","NÃO",Produtos!$AD64)</f>
        <v>NÃO</v>
      </c>
      <c r="K64" s="143" t="n">
        <f aca="false">IF(AND($B64&lt;&gt;"",IN_CAPITAL&gt;=$G64),1,0)</f>
        <v>0</v>
      </c>
      <c r="L64" s="143" t="n">
        <f aca="false">IF(AND($B64&lt;&gt;"",$D64&lt;=IFERROR(INDEX(Premissas!$B$102:$B$104,MATCH(IN_PERFIL,Premissas!$A$102:$A$104,0)),5)),1,0)</f>
        <v>0</v>
      </c>
      <c r="M64" s="143" t="n">
        <f aca="false">IF(IN_PRAZO*30&lt;$E64,0,IF($D64&gt;=4,IF(IN_PRAZO&gt;=60,100,IF(IN_PRAZO&gt;=36,60,IF(IN_PRAZO&gt;=24,30,0))),IF($D64=3,IF(IN_PRAZO&gt;=24,100,IF(IN_PRAZO&gt;=12,70,40)),100)))</f>
        <v>100</v>
      </c>
      <c r="N64" s="143" t="n">
        <f aca="false">IF(IN_RESGATE="Sim",IF($E64+$F64&lt;=3,100,IF($E64+$F64&lt;=31,50,0)),IF(IN_RESGATE="Talvez",IF($E64+$F64&lt;=90,100,IF($E64+$F64&lt;=360,50,20)),100))</f>
        <v>100</v>
      </c>
      <c r="O64" s="143" t="n">
        <f aca="false">IF($D64=0,0,IFERROR(INDEX($B$98:$F$101,MATCH(IN_PRIORIDADE,$A$98:$A$101,0),$D64),0))</f>
        <v>0</v>
      </c>
      <c r="P64" s="143" t="n">
        <f aca="false">MAX(0,MIN(100,60+IF($H64="ISENTO",25,0)+IF($I64&lt;=0.005,15,IF($I64&gt;=0.015,-15,0))+IF(AND($H64="PREV_REGR",IN_PRAZO&gt;=120),20,0)+IF(AND($H64="FUNDO_LP",IN_PRAZO&lt;=12),-10,0)+IF(AND($H64="FUNDO_CP",IN_PRAZO&gt;=24),-15,0)))</f>
        <v>75</v>
      </c>
      <c r="Q64" s="144" t="n">
        <f aca="false">IF(OR($B64="",$J64&lt;&gt;"SIM",$K64=0,$L64=0),0,ROUND(($M64*$B$7+$N64*$C$7+$O64*$D$7+$P64*$E$7)/MAX(1,$B$7+$C$7+$D$7+$E$7),1))</f>
        <v>0</v>
      </c>
      <c r="R64" s="145" t="n">
        <f aca="false">IF($H64="IMOVEL",0,$Q64+ROW()/1000000)</f>
        <v>6.4E-005</v>
      </c>
      <c r="S64" s="146" t="str">
        <f aca="false">IF($B64="","",IF($Q64=0,"Não indicado agora",IF($Q64&gt;=75,"Pode fazer sentido",IF($Q64&gt;=50,"Talvez faça sentido","Provavelmente não é o mais indicado"))))</f>
        <v/>
      </c>
      <c r="T64" s="147" t="str">
        <f aca="false">IF($B64="","",IF($Q64=0,IF($K64=0,"O valor disponível é menor que a aplicação mínima deste produto.",IF($L64=0,"O risco deste produto está acima do perfil declarado pelo cliente.","Produto não está ativo na base.")),IF($Q64&lt;50,"Encaixa pouco no que foi pedido — veja o ponto de atenção ao lado.",IF($H64="ISENTO","Não paga Imposto de Renda para pessoa física.",IF($W64="PRE","A taxa fica travada na contratação: não cai se os juros da economia caírem.",IF($W64="IPCA","Protege o poder de compra: rende a inflação mais uma taxa fixa por cima.",IF(AND($E64=0,$F64&lt;=1),"O dinheiro pode ser retirado praticamente a qualquer momento.",IF(AND($H64="PREV_REGR",IN_PRAZO&gt;=120),"No prazo escolhido a previdência alcança a menor alíquota de imposto (10%).",IF($D64&gt;=4,"Pode render mais no prazo longo, aceitando oscilação pelo caminho.","Combina com o prazo, a liquidez e a prioridade informados.")))))))))</f>
        <v/>
      </c>
      <c r="U64" s="147" t="str">
        <f aca="false">IF($B64="","",IF($E64&gt;0,"Carência de "&amp;$E64&amp;" dias: não dá para resgatar antes.",IF($F64&gt;60,"Não é dinheiro rápido: leva meses para virar caixa.",IF(LEFT($H64,4)="PREV",IF(IN_PRAZO&lt;24,"Resgate antes de 2 anos paga 35% de imposto.","Não tem cobertura do FGC: quem responde pelo dinheiro é a seguradora."),IF($D64&gt;=4,"Pode cair no caminho e demorar a se recuperar.",IF(AND($H64="RF_REGR",$X64&gt;=0.03),"Se vender antes do vencimento, o preço pode estar abaixo do que você pagou.",IF($X64&gt;=0.03,"O valor oscila mês a mês: em prazo curto pode estar abaixo do que você aplicou.",IF($H64="FUNDO_LP","Tem come-cotas em maio e novembro, que antecipam parte do imposto.",IF($F64&gt;7,"Para o dinheiro cair na conta leva cerca de "&amp;$F64&amp;" dias.",IF($I64&gt;=0.015,"Taxa de administração alta em relação ao retorno esperado.","Confirme prazo, liquidez e tributação antes de contratar."))))))))))</f>
        <v/>
      </c>
      <c r="V64" s="148" t="str">
        <f aca="false">IF($B64="","",IFERROR(IF(Produtos!$H64="MULT",(1+INDEX(TAB_MACRO_VAL,MATCH(Produtos!$E64,TAB_MACRO_COD,0))*Produtos!$F64)*(1+Produtos!$G64)-1,INDEX(TAB_MACRO_VAL,MATCH(Produtos!$E64,TAB_MACRO_COD,0))*Produtos!$F64+Produtos!$G64),""))</f>
        <v/>
      </c>
      <c r="W64" s="74" t="str">
        <f aca="false">IF(Produtos!$B64="","",Produtos!$E64)</f>
        <v/>
      </c>
      <c r="X64" s="76" t="n">
        <f aca="false">IF(Produtos!$B64="",0,Produtos!$U64)</f>
        <v>0</v>
      </c>
    </row>
    <row r="65" customFormat="false" ht="21.75" hidden="false" customHeight="true" outlineLevel="0" collapsed="false">
      <c r="A65" s="74" t="str">
        <f aca="false">IF(Produtos!$B65="","",Produtos!$A65)</f>
        <v/>
      </c>
      <c r="B65" s="142" t="str">
        <f aca="false">IF(Produtos!$B65="","",Produtos!$B65)</f>
        <v/>
      </c>
      <c r="C65" s="74" t="str">
        <f aca="false">IF(Produtos!$B65="","",Produtos!$C65)</f>
        <v/>
      </c>
      <c r="D65" s="77" t="n">
        <f aca="false">IF(Produtos!$B65="",0,Produtos!$T65)</f>
        <v>0</v>
      </c>
      <c r="E65" s="77" t="n">
        <f aca="false">IF(Produtos!$B65="",0,Produtos!$P65)</f>
        <v>0</v>
      </c>
      <c r="F65" s="77" t="n">
        <f aca="false">IF(Produtos!$B65="",0,Produtos!$Q65)</f>
        <v>0</v>
      </c>
      <c r="G65" s="78" t="n">
        <f aca="false">IF(Produtos!$B65="",0,Produtos!$R65)</f>
        <v>0</v>
      </c>
      <c r="H65" s="74" t="str">
        <f aca="false">IF(Produtos!$B65="","",Produtos!$N65)</f>
        <v/>
      </c>
      <c r="I65" s="76" t="n">
        <f aca="false">IF(Produtos!$B65="",0,Produtos!$I65)</f>
        <v>0</v>
      </c>
      <c r="J65" s="74" t="str">
        <f aca="false">IF(Produtos!$B65="","NÃO",Produtos!$AD65)</f>
        <v>NÃO</v>
      </c>
      <c r="K65" s="143" t="n">
        <f aca="false">IF(AND($B65&lt;&gt;"",IN_CAPITAL&gt;=$G65),1,0)</f>
        <v>0</v>
      </c>
      <c r="L65" s="143" t="n">
        <f aca="false">IF(AND($B65&lt;&gt;"",$D65&lt;=IFERROR(INDEX(Premissas!$B$102:$B$104,MATCH(IN_PERFIL,Premissas!$A$102:$A$104,0)),5)),1,0)</f>
        <v>0</v>
      </c>
      <c r="M65" s="143" t="n">
        <f aca="false">IF(IN_PRAZO*30&lt;$E65,0,IF($D65&gt;=4,IF(IN_PRAZO&gt;=60,100,IF(IN_PRAZO&gt;=36,60,IF(IN_PRAZO&gt;=24,30,0))),IF($D65=3,IF(IN_PRAZO&gt;=24,100,IF(IN_PRAZO&gt;=12,70,40)),100)))</f>
        <v>100</v>
      </c>
      <c r="N65" s="143" t="n">
        <f aca="false">IF(IN_RESGATE="Sim",IF($E65+$F65&lt;=3,100,IF($E65+$F65&lt;=31,50,0)),IF(IN_RESGATE="Talvez",IF($E65+$F65&lt;=90,100,IF($E65+$F65&lt;=360,50,20)),100))</f>
        <v>100</v>
      </c>
      <c r="O65" s="143" t="n">
        <f aca="false">IF($D65=0,0,IFERROR(INDEX($B$98:$F$101,MATCH(IN_PRIORIDADE,$A$98:$A$101,0),$D65),0))</f>
        <v>0</v>
      </c>
      <c r="P65" s="143" t="n">
        <f aca="false">MAX(0,MIN(100,60+IF($H65="ISENTO",25,0)+IF($I65&lt;=0.005,15,IF($I65&gt;=0.015,-15,0))+IF(AND($H65="PREV_REGR",IN_PRAZO&gt;=120),20,0)+IF(AND($H65="FUNDO_LP",IN_PRAZO&lt;=12),-10,0)+IF(AND($H65="FUNDO_CP",IN_PRAZO&gt;=24),-15,0)))</f>
        <v>75</v>
      </c>
      <c r="Q65" s="144" t="n">
        <f aca="false">IF(OR($B65="",$J65&lt;&gt;"SIM",$K65=0,$L65=0),0,ROUND(($M65*$B$7+$N65*$C$7+$O65*$D$7+$P65*$E$7)/MAX(1,$B$7+$C$7+$D$7+$E$7),1))</f>
        <v>0</v>
      </c>
      <c r="R65" s="145" t="n">
        <f aca="false">IF($H65="IMOVEL",0,$Q65+ROW()/1000000)</f>
        <v>6.5E-005</v>
      </c>
      <c r="S65" s="146" t="str">
        <f aca="false">IF($B65="","",IF($Q65=0,"Não indicado agora",IF($Q65&gt;=75,"Pode fazer sentido",IF($Q65&gt;=50,"Talvez faça sentido","Provavelmente não é o mais indicado"))))</f>
        <v/>
      </c>
      <c r="T65" s="147" t="str">
        <f aca="false">IF($B65="","",IF($Q65=0,IF($K65=0,"O valor disponível é menor que a aplicação mínima deste produto.",IF($L65=0,"O risco deste produto está acima do perfil declarado pelo cliente.","Produto não está ativo na base.")),IF($Q65&lt;50,"Encaixa pouco no que foi pedido — veja o ponto de atenção ao lado.",IF($H65="ISENTO","Não paga Imposto de Renda para pessoa física.",IF($W65="PRE","A taxa fica travada na contratação: não cai se os juros da economia caírem.",IF($W65="IPCA","Protege o poder de compra: rende a inflação mais uma taxa fixa por cima.",IF(AND($E65=0,$F65&lt;=1),"O dinheiro pode ser retirado praticamente a qualquer momento.",IF(AND($H65="PREV_REGR",IN_PRAZO&gt;=120),"No prazo escolhido a previdência alcança a menor alíquota de imposto (10%).",IF($D65&gt;=4,"Pode render mais no prazo longo, aceitando oscilação pelo caminho.","Combina com o prazo, a liquidez e a prioridade informados.")))))))))</f>
        <v/>
      </c>
      <c r="U65" s="147" t="str">
        <f aca="false">IF($B65="","",IF($E65&gt;0,"Carência de "&amp;$E65&amp;" dias: não dá para resgatar antes.",IF($F65&gt;60,"Não é dinheiro rápido: leva meses para virar caixa.",IF(LEFT($H65,4)="PREV",IF(IN_PRAZO&lt;24,"Resgate antes de 2 anos paga 35% de imposto.","Não tem cobertura do FGC: quem responde pelo dinheiro é a seguradora."),IF($D65&gt;=4,"Pode cair no caminho e demorar a se recuperar.",IF(AND($H65="RF_REGR",$X65&gt;=0.03),"Se vender antes do vencimento, o preço pode estar abaixo do que você pagou.",IF($X65&gt;=0.03,"O valor oscila mês a mês: em prazo curto pode estar abaixo do que você aplicou.",IF($H65="FUNDO_LP","Tem come-cotas em maio e novembro, que antecipam parte do imposto.",IF($F65&gt;7,"Para o dinheiro cair na conta leva cerca de "&amp;$F65&amp;" dias.",IF($I65&gt;=0.015,"Taxa de administração alta em relação ao retorno esperado.","Confirme prazo, liquidez e tributação antes de contratar."))))))))))</f>
        <v/>
      </c>
      <c r="V65" s="148" t="str">
        <f aca="false">IF($B65="","",IFERROR(IF(Produtos!$H65="MULT",(1+INDEX(TAB_MACRO_VAL,MATCH(Produtos!$E65,TAB_MACRO_COD,0))*Produtos!$F65)*(1+Produtos!$G65)-1,INDEX(TAB_MACRO_VAL,MATCH(Produtos!$E65,TAB_MACRO_COD,0))*Produtos!$F65+Produtos!$G65),""))</f>
        <v/>
      </c>
      <c r="W65" s="74" t="str">
        <f aca="false">IF(Produtos!$B65="","",Produtos!$E65)</f>
        <v/>
      </c>
      <c r="X65" s="76" t="n">
        <f aca="false">IF(Produtos!$B65="",0,Produtos!$U65)</f>
        <v>0</v>
      </c>
    </row>
    <row r="66" customFormat="false" ht="21.75" hidden="false" customHeight="true" outlineLevel="0" collapsed="false">
      <c r="A66" s="74" t="str">
        <f aca="false">IF(Produtos!$B66="","",Produtos!$A66)</f>
        <v/>
      </c>
      <c r="B66" s="142" t="str">
        <f aca="false">IF(Produtos!$B66="","",Produtos!$B66)</f>
        <v/>
      </c>
      <c r="C66" s="74" t="str">
        <f aca="false">IF(Produtos!$B66="","",Produtos!$C66)</f>
        <v/>
      </c>
      <c r="D66" s="77" t="n">
        <f aca="false">IF(Produtos!$B66="",0,Produtos!$T66)</f>
        <v>0</v>
      </c>
      <c r="E66" s="77" t="n">
        <f aca="false">IF(Produtos!$B66="",0,Produtos!$P66)</f>
        <v>0</v>
      </c>
      <c r="F66" s="77" t="n">
        <f aca="false">IF(Produtos!$B66="",0,Produtos!$Q66)</f>
        <v>0</v>
      </c>
      <c r="G66" s="78" t="n">
        <f aca="false">IF(Produtos!$B66="",0,Produtos!$R66)</f>
        <v>0</v>
      </c>
      <c r="H66" s="74" t="str">
        <f aca="false">IF(Produtos!$B66="","",Produtos!$N66)</f>
        <v/>
      </c>
      <c r="I66" s="76" t="n">
        <f aca="false">IF(Produtos!$B66="",0,Produtos!$I66)</f>
        <v>0</v>
      </c>
      <c r="J66" s="74" t="str">
        <f aca="false">IF(Produtos!$B66="","NÃO",Produtos!$AD66)</f>
        <v>NÃO</v>
      </c>
      <c r="K66" s="143" t="n">
        <f aca="false">IF(AND($B66&lt;&gt;"",IN_CAPITAL&gt;=$G66),1,0)</f>
        <v>0</v>
      </c>
      <c r="L66" s="143" t="n">
        <f aca="false">IF(AND($B66&lt;&gt;"",$D66&lt;=IFERROR(INDEX(Premissas!$B$102:$B$104,MATCH(IN_PERFIL,Premissas!$A$102:$A$104,0)),5)),1,0)</f>
        <v>0</v>
      </c>
      <c r="M66" s="143" t="n">
        <f aca="false">IF(IN_PRAZO*30&lt;$E66,0,IF($D66&gt;=4,IF(IN_PRAZO&gt;=60,100,IF(IN_PRAZO&gt;=36,60,IF(IN_PRAZO&gt;=24,30,0))),IF($D66=3,IF(IN_PRAZO&gt;=24,100,IF(IN_PRAZO&gt;=12,70,40)),100)))</f>
        <v>100</v>
      </c>
      <c r="N66" s="143" t="n">
        <f aca="false">IF(IN_RESGATE="Sim",IF($E66+$F66&lt;=3,100,IF($E66+$F66&lt;=31,50,0)),IF(IN_RESGATE="Talvez",IF($E66+$F66&lt;=90,100,IF($E66+$F66&lt;=360,50,20)),100))</f>
        <v>100</v>
      </c>
      <c r="O66" s="143" t="n">
        <f aca="false">IF($D66=0,0,IFERROR(INDEX($B$98:$F$101,MATCH(IN_PRIORIDADE,$A$98:$A$101,0),$D66),0))</f>
        <v>0</v>
      </c>
      <c r="P66" s="143" t="n">
        <f aca="false">MAX(0,MIN(100,60+IF($H66="ISENTO",25,0)+IF($I66&lt;=0.005,15,IF($I66&gt;=0.015,-15,0))+IF(AND($H66="PREV_REGR",IN_PRAZO&gt;=120),20,0)+IF(AND($H66="FUNDO_LP",IN_PRAZO&lt;=12),-10,0)+IF(AND($H66="FUNDO_CP",IN_PRAZO&gt;=24),-15,0)))</f>
        <v>75</v>
      </c>
      <c r="Q66" s="144" t="n">
        <f aca="false">IF(OR($B66="",$J66&lt;&gt;"SIM",$K66=0,$L66=0),0,ROUND(($M66*$B$7+$N66*$C$7+$O66*$D$7+$P66*$E$7)/MAX(1,$B$7+$C$7+$D$7+$E$7),1))</f>
        <v>0</v>
      </c>
      <c r="R66" s="145" t="n">
        <f aca="false">IF($H66="IMOVEL",0,$Q66+ROW()/1000000)</f>
        <v>6.6E-005</v>
      </c>
      <c r="S66" s="146" t="str">
        <f aca="false">IF($B66="","",IF($Q66=0,"Não indicado agora",IF($Q66&gt;=75,"Pode fazer sentido",IF($Q66&gt;=50,"Talvez faça sentido","Provavelmente não é o mais indicado"))))</f>
        <v/>
      </c>
      <c r="T66" s="147" t="str">
        <f aca="false">IF($B66="","",IF($Q66=0,IF($K66=0,"O valor disponível é menor que a aplicação mínima deste produto.",IF($L66=0,"O risco deste produto está acima do perfil declarado pelo cliente.","Produto não está ativo na base.")),IF($Q66&lt;50,"Encaixa pouco no que foi pedido — veja o ponto de atenção ao lado.",IF($H66="ISENTO","Não paga Imposto de Renda para pessoa física.",IF($W66="PRE","A taxa fica travada na contratação: não cai se os juros da economia caírem.",IF($W66="IPCA","Protege o poder de compra: rende a inflação mais uma taxa fixa por cima.",IF(AND($E66=0,$F66&lt;=1),"O dinheiro pode ser retirado praticamente a qualquer momento.",IF(AND($H66="PREV_REGR",IN_PRAZO&gt;=120),"No prazo escolhido a previdência alcança a menor alíquota de imposto (10%).",IF($D66&gt;=4,"Pode render mais no prazo longo, aceitando oscilação pelo caminho.","Combina com o prazo, a liquidez e a prioridade informados.")))))))))</f>
        <v/>
      </c>
      <c r="U66" s="147" t="str">
        <f aca="false">IF($B66="","",IF($E66&gt;0,"Carência de "&amp;$E66&amp;" dias: não dá para resgatar antes.",IF($F66&gt;60,"Não é dinheiro rápido: leva meses para virar caixa.",IF(LEFT($H66,4)="PREV",IF(IN_PRAZO&lt;24,"Resgate antes de 2 anos paga 35% de imposto.","Não tem cobertura do FGC: quem responde pelo dinheiro é a seguradora."),IF($D66&gt;=4,"Pode cair no caminho e demorar a se recuperar.",IF(AND($H66="RF_REGR",$X66&gt;=0.03),"Se vender antes do vencimento, o preço pode estar abaixo do que você pagou.",IF($X66&gt;=0.03,"O valor oscila mês a mês: em prazo curto pode estar abaixo do que você aplicou.",IF($H66="FUNDO_LP","Tem come-cotas em maio e novembro, que antecipam parte do imposto.",IF($F66&gt;7,"Para o dinheiro cair na conta leva cerca de "&amp;$F66&amp;" dias.",IF($I66&gt;=0.015,"Taxa de administração alta em relação ao retorno esperado.","Confirme prazo, liquidez e tributação antes de contratar."))))))))))</f>
        <v/>
      </c>
      <c r="V66" s="148" t="str">
        <f aca="false">IF($B66="","",IFERROR(IF(Produtos!$H66="MULT",(1+INDEX(TAB_MACRO_VAL,MATCH(Produtos!$E66,TAB_MACRO_COD,0))*Produtos!$F66)*(1+Produtos!$G66)-1,INDEX(TAB_MACRO_VAL,MATCH(Produtos!$E66,TAB_MACRO_COD,0))*Produtos!$F66+Produtos!$G66),""))</f>
        <v/>
      </c>
      <c r="W66" s="74" t="str">
        <f aca="false">IF(Produtos!$B66="","",Produtos!$E66)</f>
        <v/>
      </c>
      <c r="X66" s="76" t="n">
        <f aca="false">IF(Produtos!$B66="",0,Produtos!$U66)</f>
        <v>0</v>
      </c>
    </row>
    <row r="67" customFormat="false" ht="21.75" hidden="false" customHeight="true" outlineLevel="0" collapsed="false">
      <c r="A67" s="74" t="str">
        <f aca="false">IF(Produtos!$B67="","",Produtos!$A67)</f>
        <v/>
      </c>
      <c r="B67" s="142" t="str">
        <f aca="false">IF(Produtos!$B67="","",Produtos!$B67)</f>
        <v/>
      </c>
      <c r="C67" s="74" t="str">
        <f aca="false">IF(Produtos!$B67="","",Produtos!$C67)</f>
        <v/>
      </c>
      <c r="D67" s="77" t="n">
        <f aca="false">IF(Produtos!$B67="",0,Produtos!$T67)</f>
        <v>0</v>
      </c>
      <c r="E67" s="77" t="n">
        <f aca="false">IF(Produtos!$B67="",0,Produtos!$P67)</f>
        <v>0</v>
      </c>
      <c r="F67" s="77" t="n">
        <f aca="false">IF(Produtos!$B67="",0,Produtos!$Q67)</f>
        <v>0</v>
      </c>
      <c r="G67" s="78" t="n">
        <f aca="false">IF(Produtos!$B67="",0,Produtos!$R67)</f>
        <v>0</v>
      </c>
      <c r="H67" s="74" t="str">
        <f aca="false">IF(Produtos!$B67="","",Produtos!$N67)</f>
        <v/>
      </c>
      <c r="I67" s="76" t="n">
        <f aca="false">IF(Produtos!$B67="",0,Produtos!$I67)</f>
        <v>0</v>
      </c>
      <c r="J67" s="74" t="str">
        <f aca="false">IF(Produtos!$B67="","NÃO",Produtos!$AD67)</f>
        <v>NÃO</v>
      </c>
      <c r="K67" s="143" t="n">
        <f aca="false">IF(AND($B67&lt;&gt;"",IN_CAPITAL&gt;=$G67),1,0)</f>
        <v>0</v>
      </c>
      <c r="L67" s="143" t="n">
        <f aca="false">IF(AND($B67&lt;&gt;"",$D67&lt;=IFERROR(INDEX(Premissas!$B$102:$B$104,MATCH(IN_PERFIL,Premissas!$A$102:$A$104,0)),5)),1,0)</f>
        <v>0</v>
      </c>
      <c r="M67" s="143" t="n">
        <f aca="false">IF(IN_PRAZO*30&lt;$E67,0,IF($D67&gt;=4,IF(IN_PRAZO&gt;=60,100,IF(IN_PRAZO&gt;=36,60,IF(IN_PRAZO&gt;=24,30,0))),IF($D67=3,IF(IN_PRAZO&gt;=24,100,IF(IN_PRAZO&gt;=12,70,40)),100)))</f>
        <v>100</v>
      </c>
      <c r="N67" s="143" t="n">
        <f aca="false">IF(IN_RESGATE="Sim",IF($E67+$F67&lt;=3,100,IF($E67+$F67&lt;=31,50,0)),IF(IN_RESGATE="Talvez",IF($E67+$F67&lt;=90,100,IF($E67+$F67&lt;=360,50,20)),100))</f>
        <v>100</v>
      </c>
      <c r="O67" s="143" t="n">
        <f aca="false">IF($D67=0,0,IFERROR(INDEX($B$98:$F$101,MATCH(IN_PRIORIDADE,$A$98:$A$101,0),$D67),0))</f>
        <v>0</v>
      </c>
      <c r="P67" s="143" t="n">
        <f aca="false">MAX(0,MIN(100,60+IF($H67="ISENTO",25,0)+IF($I67&lt;=0.005,15,IF($I67&gt;=0.015,-15,0))+IF(AND($H67="PREV_REGR",IN_PRAZO&gt;=120),20,0)+IF(AND($H67="FUNDO_LP",IN_PRAZO&lt;=12),-10,0)+IF(AND($H67="FUNDO_CP",IN_PRAZO&gt;=24),-15,0)))</f>
        <v>75</v>
      </c>
      <c r="Q67" s="144" t="n">
        <f aca="false">IF(OR($B67="",$J67&lt;&gt;"SIM",$K67=0,$L67=0),0,ROUND(($M67*$B$7+$N67*$C$7+$O67*$D$7+$P67*$E$7)/MAX(1,$B$7+$C$7+$D$7+$E$7),1))</f>
        <v>0</v>
      </c>
      <c r="R67" s="145" t="n">
        <f aca="false">IF($H67="IMOVEL",0,$Q67+ROW()/1000000)</f>
        <v>6.7E-005</v>
      </c>
      <c r="S67" s="146" t="str">
        <f aca="false">IF($B67="","",IF($Q67=0,"Não indicado agora",IF($Q67&gt;=75,"Pode fazer sentido",IF($Q67&gt;=50,"Talvez faça sentido","Provavelmente não é o mais indicado"))))</f>
        <v/>
      </c>
      <c r="T67" s="147" t="str">
        <f aca="false">IF($B67="","",IF($Q67=0,IF($K67=0,"O valor disponível é menor que a aplicação mínima deste produto.",IF($L67=0,"O risco deste produto está acima do perfil declarado pelo cliente.","Produto não está ativo na base.")),IF($Q67&lt;50,"Encaixa pouco no que foi pedido — veja o ponto de atenção ao lado.",IF($H67="ISENTO","Não paga Imposto de Renda para pessoa física.",IF($W67="PRE","A taxa fica travada na contratação: não cai se os juros da economia caírem.",IF($W67="IPCA","Protege o poder de compra: rende a inflação mais uma taxa fixa por cima.",IF(AND($E67=0,$F67&lt;=1),"O dinheiro pode ser retirado praticamente a qualquer momento.",IF(AND($H67="PREV_REGR",IN_PRAZO&gt;=120),"No prazo escolhido a previdência alcança a menor alíquota de imposto (10%).",IF($D67&gt;=4,"Pode render mais no prazo longo, aceitando oscilação pelo caminho.","Combina com o prazo, a liquidez e a prioridade informados.")))))))))</f>
        <v/>
      </c>
      <c r="U67" s="147" t="str">
        <f aca="false">IF($B67="","",IF($E67&gt;0,"Carência de "&amp;$E67&amp;" dias: não dá para resgatar antes.",IF($F67&gt;60,"Não é dinheiro rápido: leva meses para virar caixa.",IF(LEFT($H67,4)="PREV",IF(IN_PRAZO&lt;24,"Resgate antes de 2 anos paga 35% de imposto.","Não tem cobertura do FGC: quem responde pelo dinheiro é a seguradora."),IF($D67&gt;=4,"Pode cair no caminho e demorar a se recuperar.",IF(AND($H67="RF_REGR",$X67&gt;=0.03),"Se vender antes do vencimento, o preço pode estar abaixo do que você pagou.",IF($X67&gt;=0.03,"O valor oscila mês a mês: em prazo curto pode estar abaixo do que você aplicou.",IF($H67="FUNDO_LP","Tem come-cotas em maio e novembro, que antecipam parte do imposto.",IF($F67&gt;7,"Para o dinheiro cair na conta leva cerca de "&amp;$F67&amp;" dias.",IF($I67&gt;=0.015,"Taxa de administração alta em relação ao retorno esperado.","Confirme prazo, liquidez e tributação antes de contratar."))))))))))</f>
        <v/>
      </c>
      <c r="V67" s="148" t="str">
        <f aca="false">IF($B67="","",IFERROR(IF(Produtos!$H67="MULT",(1+INDEX(TAB_MACRO_VAL,MATCH(Produtos!$E67,TAB_MACRO_COD,0))*Produtos!$F67)*(1+Produtos!$G67)-1,INDEX(TAB_MACRO_VAL,MATCH(Produtos!$E67,TAB_MACRO_COD,0))*Produtos!$F67+Produtos!$G67),""))</f>
        <v/>
      </c>
      <c r="W67" s="74" t="str">
        <f aca="false">IF(Produtos!$B67="","",Produtos!$E67)</f>
        <v/>
      </c>
      <c r="X67" s="76" t="n">
        <f aca="false">IF(Produtos!$B67="",0,Produtos!$U67)</f>
        <v>0</v>
      </c>
    </row>
    <row r="68" customFormat="false" ht="21.75" hidden="false" customHeight="true" outlineLevel="0" collapsed="false">
      <c r="A68" s="74" t="str">
        <f aca="false">IF(Produtos!$B68="","",Produtos!$A68)</f>
        <v/>
      </c>
      <c r="B68" s="142" t="str">
        <f aca="false">IF(Produtos!$B68="","",Produtos!$B68)</f>
        <v/>
      </c>
      <c r="C68" s="74" t="str">
        <f aca="false">IF(Produtos!$B68="","",Produtos!$C68)</f>
        <v/>
      </c>
      <c r="D68" s="77" t="n">
        <f aca="false">IF(Produtos!$B68="",0,Produtos!$T68)</f>
        <v>0</v>
      </c>
      <c r="E68" s="77" t="n">
        <f aca="false">IF(Produtos!$B68="",0,Produtos!$P68)</f>
        <v>0</v>
      </c>
      <c r="F68" s="77" t="n">
        <f aca="false">IF(Produtos!$B68="",0,Produtos!$Q68)</f>
        <v>0</v>
      </c>
      <c r="G68" s="78" t="n">
        <f aca="false">IF(Produtos!$B68="",0,Produtos!$R68)</f>
        <v>0</v>
      </c>
      <c r="H68" s="74" t="str">
        <f aca="false">IF(Produtos!$B68="","",Produtos!$N68)</f>
        <v/>
      </c>
      <c r="I68" s="76" t="n">
        <f aca="false">IF(Produtos!$B68="",0,Produtos!$I68)</f>
        <v>0</v>
      </c>
      <c r="J68" s="74" t="str">
        <f aca="false">IF(Produtos!$B68="","NÃO",Produtos!$AD68)</f>
        <v>NÃO</v>
      </c>
      <c r="K68" s="143" t="n">
        <f aca="false">IF(AND($B68&lt;&gt;"",IN_CAPITAL&gt;=$G68),1,0)</f>
        <v>0</v>
      </c>
      <c r="L68" s="143" t="n">
        <f aca="false">IF(AND($B68&lt;&gt;"",$D68&lt;=IFERROR(INDEX(Premissas!$B$102:$B$104,MATCH(IN_PERFIL,Premissas!$A$102:$A$104,0)),5)),1,0)</f>
        <v>0</v>
      </c>
      <c r="M68" s="143" t="n">
        <f aca="false">IF(IN_PRAZO*30&lt;$E68,0,IF($D68&gt;=4,IF(IN_PRAZO&gt;=60,100,IF(IN_PRAZO&gt;=36,60,IF(IN_PRAZO&gt;=24,30,0))),IF($D68=3,IF(IN_PRAZO&gt;=24,100,IF(IN_PRAZO&gt;=12,70,40)),100)))</f>
        <v>100</v>
      </c>
      <c r="N68" s="143" t="n">
        <f aca="false">IF(IN_RESGATE="Sim",IF($E68+$F68&lt;=3,100,IF($E68+$F68&lt;=31,50,0)),IF(IN_RESGATE="Talvez",IF($E68+$F68&lt;=90,100,IF($E68+$F68&lt;=360,50,20)),100))</f>
        <v>100</v>
      </c>
      <c r="O68" s="143" t="n">
        <f aca="false">IF($D68=0,0,IFERROR(INDEX($B$98:$F$101,MATCH(IN_PRIORIDADE,$A$98:$A$101,0),$D68),0))</f>
        <v>0</v>
      </c>
      <c r="P68" s="143" t="n">
        <f aca="false">MAX(0,MIN(100,60+IF($H68="ISENTO",25,0)+IF($I68&lt;=0.005,15,IF($I68&gt;=0.015,-15,0))+IF(AND($H68="PREV_REGR",IN_PRAZO&gt;=120),20,0)+IF(AND($H68="FUNDO_LP",IN_PRAZO&lt;=12),-10,0)+IF(AND($H68="FUNDO_CP",IN_PRAZO&gt;=24),-15,0)))</f>
        <v>75</v>
      </c>
      <c r="Q68" s="144" t="n">
        <f aca="false">IF(OR($B68="",$J68&lt;&gt;"SIM",$K68=0,$L68=0),0,ROUND(($M68*$B$7+$N68*$C$7+$O68*$D$7+$P68*$E$7)/MAX(1,$B$7+$C$7+$D$7+$E$7),1))</f>
        <v>0</v>
      </c>
      <c r="R68" s="145" t="n">
        <f aca="false">IF($H68="IMOVEL",0,$Q68+ROW()/1000000)</f>
        <v>6.8E-005</v>
      </c>
      <c r="S68" s="146" t="str">
        <f aca="false">IF($B68="","",IF($Q68=0,"Não indicado agora",IF($Q68&gt;=75,"Pode fazer sentido",IF($Q68&gt;=50,"Talvez faça sentido","Provavelmente não é o mais indicado"))))</f>
        <v/>
      </c>
      <c r="T68" s="147" t="str">
        <f aca="false">IF($B68="","",IF($Q68=0,IF($K68=0,"O valor disponível é menor que a aplicação mínima deste produto.",IF($L68=0,"O risco deste produto está acima do perfil declarado pelo cliente.","Produto não está ativo na base.")),IF($Q68&lt;50,"Encaixa pouco no que foi pedido — veja o ponto de atenção ao lado.",IF($H68="ISENTO","Não paga Imposto de Renda para pessoa física.",IF($W68="PRE","A taxa fica travada na contratação: não cai se os juros da economia caírem.",IF($W68="IPCA","Protege o poder de compra: rende a inflação mais uma taxa fixa por cima.",IF(AND($E68=0,$F68&lt;=1),"O dinheiro pode ser retirado praticamente a qualquer momento.",IF(AND($H68="PREV_REGR",IN_PRAZO&gt;=120),"No prazo escolhido a previdência alcança a menor alíquota de imposto (10%).",IF($D68&gt;=4,"Pode render mais no prazo longo, aceitando oscilação pelo caminho.","Combina com o prazo, a liquidez e a prioridade informados.")))))))))</f>
        <v/>
      </c>
      <c r="U68" s="147" t="str">
        <f aca="false">IF($B68="","",IF($E68&gt;0,"Carência de "&amp;$E68&amp;" dias: não dá para resgatar antes.",IF($F68&gt;60,"Não é dinheiro rápido: leva meses para virar caixa.",IF(LEFT($H68,4)="PREV",IF(IN_PRAZO&lt;24,"Resgate antes de 2 anos paga 35% de imposto.","Não tem cobertura do FGC: quem responde pelo dinheiro é a seguradora."),IF($D68&gt;=4,"Pode cair no caminho e demorar a se recuperar.",IF(AND($H68="RF_REGR",$X68&gt;=0.03),"Se vender antes do vencimento, o preço pode estar abaixo do que você pagou.",IF($X68&gt;=0.03,"O valor oscila mês a mês: em prazo curto pode estar abaixo do que você aplicou.",IF($H68="FUNDO_LP","Tem come-cotas em maio e novembro, que antecipam parte do imposto.",IF($F68&gt;7,"Para o dinheiro cair na conta leva cerca de "&amp;$F68&amp;" dias.",IF($I68&gt;=0.015,"Taxa de administração alta em relação ao retorno esperado.","Confirme prazo, liquidez e tributação antes de contratar."))))))))))</f>
        <v/>
      </c>
      <c r="V68" s="148" t="str">
        <f aca="false">IF($B68="","",IFERROR(IF(Produtos!$H68="MULT",(1+INDEX(TAB_MACRO_VAL,MATCH(Produtos!$E68,TAB_MACRO_COD,0))*Produtos!$F68)*(1+Produtos!$G68)-1,INDEX(TAB_MACRO_VAL,MATCH(Produtos!$E68,TAB_MACRO_COD,0))*Produtos!$F68+Produtos!$G68),""))</f>
        <v/>
      </c>
      <c r="W68" s="74" t="str">
        <f aca="false">IF(Produtos!$B68="","",Produtos!$E68)</f>
        <v/>
      </c>
      <c r="X68" s="76" t="n">
        <f aca="false">IF(Produtos!$B68="",0,Produtos!$U68)</f>
        <v>0</v>
      </c>
    </row>
    <row r="69" customFormat="false" ht="21.75" hidden="false" customHeight="true" outlineLevel="0" collapsed="false">
      <c r="A69" s="74" t="str">
        <f aca="false">IF(Produtos!$B69="","",Produtos!$A69)</f>
        <v/>
      </c>
      <c r="B69" s="142" t="str">
        <f aca="false">IF(Produtos!$B69="","",Produtos!$B69)</f>
        <v/>
      </c>
      <c r="C69" s="74" t="str">
        <f aca="false">IF(Produtos!$B69="","",Produtos!$C69)</f>
        <v/>
      </c>
      <c r="D69" s="77" t="n">
        <f aca="false">IF(Produtos!$B69="",0,Produtos!$T69)</f>
        <v>0</v>
      </c>
      <c r="E69" s="77" t="n">
        <f aca="false">IF(Produtos!$B69="",0,Produtos!$P69)</f>
        <v>0</v>
      </c>
      <c r="F69" s="77" t="n">
        <f aca="false">IF(Produtos!$B69="",0,Produtos!$Q69)</f>
        <v>0</v>
      </c>
      <c r="G69" s="78" t="n">
        <f aca="false">IF(Produtos!$B69="",0,Produtos!$R69)</f>
        <v>0</v>
      </c>
      <c r="H69" s="74" t="str">
        <f aca="false">IF(Produtos!$B69="","",Produtos!$N69)</f>
        <v/>
      </c>
      <c r="I69" s="76" t="n">
        <f aca="false">IF(Produtos!$B69="",0,Produtos!$I69)</f>
        <v>0</v>
      </c>
      <c r="J69" s="74" t="str">
        <f aca="false">IF(Produtos!$B69="","NÃO",Produtos!$AD69)</f>
        <v>NÃO</v>
      </c>
      <c r="K69" s="143" t="n">
        <f aca="false">IF(AND($B69&lt;&gt;"",IN_CAPITAL&gt;=$G69),1,0)</f>
        <v>0</v>
      </c>
      <c r="L69" s="143" t="n">
        <f aca="false">IF(AND($B69&lt;&gt;"",$D69&lt;=IFERROR(INDEX(Premissas!$B$102:$B$104,MATCH(IN_PERFIL,Premissas!$A$102:$A$104,0)),5)),1,0)</f>
        <v>0</v>
      </c>
      <c r="M69" s="143" t="n">
        <f aca="false">IF(IN_PRAZO*30&lt;$E69,0,IF($D69&gt;=4,IF(IN_PRAZO&gt;=60,100,IF(IN_PRAZO&gt;=36,60,IF(IN_PRAZO&gt;=24,30,0))),IF($D69=3,IF(IN_PRAZO&gt;=24,100,IF(IN_PRAZO&gt;=12,70,40)),100)))</f>
        <v>100</v>
      </c>
      <c r="N69" s="143" t="n">
        <f aca="false">IF(IN_RESGATE="Sim",IF($E69+$F69&lt;=3,100,IF($E69+$F69&lt;=31,50,0)),IF(IN_RESGATE="Talvez",IF($E69+$F69&lt;=90,100,IF($E69+$F69&lt;=360,50,20)),100))</f>
        <v>100</v>
      </c>
      <c r="O69" s="143" t="n">
        <f aca="false">IF($D69=0,0,IFERROR(INDEX($B$98:$F$101,MATCH(IN_PRIORIDADE,$A$98:$A$101,0),$D69),0))</f>
        <v>0</v>
      </c>
      <c r="P69" s="143" t="n">
        <f aca="false">MAX(0,MIN(100,60+IF($H69="ISENTO",25,0)+IF($I69&lt;=0.005,15,IF($I69&gt;=0.015,-15,0))+IF(AND($H69="PREV_REGR",IN_PRAZO&gt;=120),20,0)+IF(AND($H69="FUNDO_LP",IN_PRAZO&lt;=12),-10,0)+IF(AND($H69="FUNDO_CP",IN_PRAZO&gt;=24),-15,0)))</f>
        <v>75</v>
      </c>
      <c r="Q69" s="144" t="n">
        <f aca="false">IF(OR($B69="",$J69&lt;&gt;"SIM",$K69=0,$L69=0),0,ROUND(($M69*$B$7+$N69*$C$7+$O69*$D$7+$P69*$E$7)/MAX(1,$B$7+$C$7+$D$7+$E$7),1))</f>
        <v>0</v>
      </c>
      <c r="R69" s="145" t="n">
        <f aca="false">IF($H69="IMOVEL",0,$Q69+ROW()/1000000)</f>
        <v>6.9E-005</v>
      </c>
      <c r="S69" s="146" t="str">
        <f aca="false">IF($B69="","",IF($Q69=0,"Não indicado agora",IF($Q69&gt;=75,"Pode fazer sentido",IF($Q69&gt;=50,"Talvez faça sentido","Provavelmente não é o mais indicado"))))</f>
        <v/>
      </c>
      <c r="T69" s="147" t="str">
        <f aca="false">IF($B69="","",IF($Q69=0,IF($K69=0,"O valor disponível é menor que a aplicação mínima deste produto.",IF($L69=0,"O risco deste produto está acima do perfil declarado pelo cliente.","Produto não está ativo na base.")),IF($Q69&lt;50,"Encaixa pouco no que foi pedido — veja o ponto de atenção ao lado.",IF($H69="ISENTO","Não paga Imposto de Renda para pessoa física.",IF($W69="PRE","A taxa fica travada na contratação: não cai se os juros da economia caírem.",IF($W69="IPCA","Protege o poder de compra: rende a inflação mais uma taxa fixa por cima.",IF(AND($E69=0,$F69&lt;=1),"O dinheiro pode ser retirado praticamente a qualquer momento.",IF(AND($H69="PREV_REGR",IN_PRAZO&gt;=120),"No prazo escolhido a previdência alcança a menor alíquota de imposto (10%).",IF($D69&gt;=4,"Pode render mais no prazo longo, aceitando oscilação pelo caminho.","Combina com o prazo, a liquidez e a prioridade informados.")))))))))</f>
        <v/>
      </c>
      <c r="U69" s="147" t="str">
        <f aca="false">IF($B69="","",IF($E69&gt;0,"Carência de "&amp;$E69&amp;" dias: não dá para resgatar antes.",IF($F69&gt;60,"Não é dinheiro rápido: leva meses para virar caixa.",IF(LEFT($H69,4)="PREV",IF(IN_PRAZO&lt;24,"Resgate antes de 2 anos paga 35% de imposto.","Não tem cobertura do FGC: quem responde pelo dinheiro é a seguradora."),IF($D69&gt;=4,"Pode cair no caminho e demorar a se recuperar.",IF(AND($H69="RF_REGR",$X69&gt;=0.03),"Se vender antes do vencimento, o preço pode estar abaixo do que você pagou.",IF($X69&gt;=0.03,"O valor oscila mês a mês: em prazo curto pode estar abaixo do que você aplicou.",IF($H69="FUNDO_LP","Tem come-cotas em maio e novembro, que antecipam parte do imposto.",IF($F69&gt;7,"Para o dinheiro cair na conta leva cerca de "&amp;$F69&amp;" dias.",IF($I69&gt;=0.015,"Taxa de administração alta em relação ao retorno esperado.","Confirme prazo, liquidez e tributação antes de contratar."))))))))))</f>
        <v/>
      </c>
      <c r="V69" s="148" t="str">
        <f aca="false">IF($B69="","",IFERROR(IF(Produtos!$H69="MULT",(1+INDEX(TAB_MACRO_VAL,MATCH(Produtos!$E69,TAB_MACRO_COD,0))*Produtos!$F69)*(1+Produtos!$G69)-1,INDEX(TAB_MACRO_VAL,MATCH(Produtos!$E69,TAB_MACRO_COD,0))*Produtos!$F69+Produtos!$G69),""))</f>
        <v/>
      </c>
      <c r="W69" s="74" t="str">
        <f aca="false">IF(Produtos!$B69="","",Produtos!$E69)</f>
        <v/>
      </c>
      <c r="X69" s="76" t="n">
        <f aca="false">IF(Produtos!$B69="",0,Produtos!$U69)</f>
        <v>0</v>
      </c>
    </row>
    <row r="70" customFormat="false" ht="21.75" hidden="false" customHeight="true" outlineLevel="0" collapsed="false">
      <c r="A70" s="74" t="str">
        <f aca="false">IF(Produtos!$B70="","",Produtos!$A70)</f>
        <v/>
      </c>
      <c r="B70" s="142" t="str">
        <f aca="false">IF(Produtos!$B70="","",Produtos!$B70)</f>
        <v/>
      </c>
      <c r="C70" s="74" t="str">
        <f aca="false">IF(Produtos!$B70="","",Produtos!$C70)</f>
        <v/>
      </c>
      <c r="D70" s="77" t="n">
        <f aca="false">IF(Produtos!$B70="",0,Produtos!$T70)</f>
        <v>0</v>
      </c>
      <c r="E70" s="77" t="n">
        <f aca="false">IF(Produtos!$B70="",0,Produtos!$P70)</f>
        <v>0</v>
      </c>
      <c r="F70" s="77" t="n">
        <f aca="false">IF(Produtos!$B70="",0,Produtos!$Q70)</f>
        <v>0</v>
      </c>
      <c r="G70" s="78" t="n">
        <f aca="false">IF(Produtos!$B70="",0,Produtos!$R70)</f>
        <v>0</v>
      </c>
      <c r="H70" s="74" t="str">
        <f aca="false">IF(Produtos!$B70="","",Produtos!$N70)</f>
        <v/>
      </c>
      <c r="I70" s="76" t="n">
        <f aca="false">IF(Produtos!$B70="",0,Produtos!$I70)</f>
        <v>0</v>
      </c>
      <c r="J70" s="74" t="str">
        <f aca="false">IF(Produtos!$B70="","NÃO",Produtos!$AD70)</f>
        <v>NÃO</v>
      </c>
      <c r="K70" s="143" t="n">
        <f aca="false">IF(AND($B70&lt;&gt;"",IN_CAPITAL&gt;=$G70),1,0)</f>
        <v>0</v>
      </c>
      <c r="L70" s="143" t="n">
        <f aca="false">IF(AND($B70&lt;&gt;"",$D70&lt;=IFERROR(INDEX(Premissas!$B$102:$B$104,MATCH(IN_PERFIL,Premissas!$A$102:$A$104,0)),5)),1,0)</f>
        <v>0</v>
      </c>
      <c r="M70" s="143" t="n">
        <f aca="false">IF(IN_PRAZO*30&lt;$E70,0,IF($D70&gt;=4,IF(IN_PRAZO&gt;=60,100,IF(IN_PRAZO&gt;=36,60,IF(IN_PRAZO&gt;=24,30,0))),IF($D70=3,IF(IN_PRAZO&gt;=24,100,IF(IN_PRAZO&gt;=12,70,40)),100)))</f>
        <v>100</v>
      </c>
      <c r="N70" s="143" t="n">
        <f aca="false">IF(IN_RESGATE="Sim",IF($E70+$F70&lt;=3,100,IF($E70+$F70&lt;=31,50,0)),IF(IN_RESGATE="Talvez",IF($E70+$F70&lt;=90,100,IF($E70+$F70&lt;=360,50,20)),100))</f>
        <v>100</v>
      </c>
      <c r="O70" s="143" t="n">
        <f aca="false">IF($D70=0,0,IFERROR(INDEX($B$98:$F$101,MATCH(IN_PRIORIDADE,$A$98:$A$101,0),$D70),0))</f>
        <v>0</v>
      </c>
      <c r="P70" s="143" t="n">
        <f aca="false">MAX(0,MIN(100,60+IF($H70="ISENTO",25,0)+IF($I70&lt;=0.005,15,IF($I70&gt;=0.015,-15,0))+IF(AND($H70="PREV_REGR",IN_PRAZO&gt;=120),20,0)+IF(AND($H70="FUNDO_LP",IN_PRAZO&lt;=12),-10,0)+IF(AND($H70="FUNDO_CP",IN_PRAZO&gt;=24),-15,0)))</f>
        <v>75</v>
      </c>
      <c r="Q70" s="144" t="n">
        <f aca="false">IF(OR($B70="",$J70&lt;&gt;"SIM",$K70=0,$L70=0),0,ROUND(($M70*$B$7+$N70*$C$7+$O70*$D$7+$P70*$E$7)/MAX(1,$B$7+$C$7+$D$7+$E$7),1))</f>
        <v>0</v>
      </c>
      <c r="R70" s="145" t="n">
        <f aca="false">IF($H70="IMOVEL",0,$Q70+ROW()/1000000)</f>
        <v>7E-005</v>
      </c>
      <c r="S70" s="146" t="str">
        <f aca="false">IF($B70="","",IF($Q70=0,"Não indicado agora",IF($Q70&gt;=75,"Pode fazer sentido",IF($Q70&gt;=50,"Talvez faça sentido","Provavelmente não é o mais indicado"))))</f>
        <v/>
      </c>
      <c r="T70" s="147" t="str">
        <f aca="false">IF($B70="","",IF($Q70=0,IF($K70=0,"O valor disponível é menor que a aplicação mínima deste produto.",IF($L70=0,"O risco deste produto está acima do perfil declarado pelo cliente.","Produto não está ativo na base.")),IF($Q70&lt;50,"Encaixa pouco no que foi pedido — veja o ponto de atenção ao lado.",IF($H70="ISENTO","Não paga Imposto de Renda para pessoa física.",IF($W70="PRE","A taxa fica travada na contratação: não cai se os juros da economia caírem.",IF($W70="IPCA","Protege o poder de compra: rende a inflação mais uma taxa fixa por cima.",IF(AND($E70=0,$F70&lt;=1),"O dinheiro pode ser retirado praticamente a qualquer momento.",IF(AND($H70="PREV_REGR",IN_PRAZO&gt;=120),"No prazo escolhido a previdência alcança a menor alíquota de imposto (10%).",IF($D70&gt;=4,"Pode render mais no prazo longo, aceitando oscilação pelo caminho.","Combina com o prazo, a liquidez e a prioridade informados.")))))))))</f>
        <v/>
      </c>
      <c r="U70" s="147" t="str">
        <f aca="false">IF($B70="","",IF($E70&gt;0,"Carência de "&amp;$E70&amp;" dias: não dá para resgatar antes.",IF($F70&gt;60,"Não é dinheiro rápido: leva meses para virar caixa.",IF(LEFT($H70,4)="PREV",IF(IN_PRAZO&lt;24,"Resgate antes de 2 anos paga 35% de imposto.","Não tem cobertura do FGC: quem responde pelo dinheiro é a seguradora."),IF($D70&gt;=4,"Pode cair no caminho e demorar a se recuperar.",IF(AND($H70="RF_REGR",$X70&gt;=0.03),"Se vender antes do vencimento, o preço pode estar abaixo do que você pagou.",IF($X70&gt;=0.03,"O valor oscila mês a mês: em prazo curto pode estar abaixo do que você aplicou.",IF($H70="FUNDO_LP","Tem come-cotas em maio e novembro, que antecipam parte do imposto.",IF($F70&gt;7,"Para o dinheiro cair na conta leva cerca de "&amp;$F70&amp;" dias.",IF($I70&gt;=0.015,"Taxa de administração alta em relação ao retorno esperado.","Confirme prazo, liquidez e tributação antes de contratar."))))))))))</f>
        <v/>
      </c>
      <c r="V70" s="148" t="str">
        <f aca="false">IF($B70="","",IFERROR(IF(Produtos!$H70="MULT",(1+INDEX(TAB_MACRO_VAL,MATCH(Produtos!$E70,TAB_MACRO_COD,0))*Produtos!$F70)*(1+Produtos!$G70)-1,INDEX(TAB_MACRO_VAL,MATCH(Produtos!$E70,TAB_MACRO_COD,0))*Produtos!$F70+Produtos!$G70),""))</f>
        <v/>
      </c>
      <c r="W70" s="74" t="str">
        <f aca="false">IF(Produtos!$B70="","",Produtos!$E70)</f>
        <v/>
      </c>
      <c r="X70" s="76" t="n">
        <f aca="false">IF(Produtos!$B70="",0,Produtos!$U70)</f>
        <v>0</v>
      </c>
    </row>
    <row r="71" customFormat="false" ht="21.75" hidden="false" customHeight="true" outlineLevel="0" collapsed="false">
      <c r="A71" s="74" t="str">
        <f aca="false">IF(Produtos!$B71="","",Produtos!$A71)</f>
        <v/>
      </c>
      <c r="B71" s="142" t="str">
        <f aca="false">IF(Produtos!$B71="","",Produtos!$B71)</f>
        <v/>
      </c>
      <c r="C71" s="74" t="str">
        <f aca="false">IF(Produtos!$B71="","",Produtos!$C71)</f>
        <v/>
      </c>
      <c r="D71" s="77" t="n">
        <f aca="false">IF(Produtos!$B71="",0,Produtos!$T71)</f>
        <v>0</v>
      </c>
      <c r="E71" s="77" t="n">
        <f aca="false">IF(Produtos!$B71="",0,Produtos!$P71)</f>
        <v>0</v>
      </c>
      <c r="F71" s="77" t="n">
        <f aca="false">IF(Produtos!$B71="",0,Produtos!$Q71)</f>
        <v>0</v>
      </c>
      <c r="G71" s="78" t="n">
        <f aca="false">IF(Produtos!$B71="",0,Produtos!$R71)</f>
        <v>0</v>
      </c>
      <c r="H71" s="74" t="str">
        <f aca="false">IF(Produtos!$B71="","",Produtos!$N71)</f>
        <v/>
      </c>
      <c r="I71" s="76" t="n">
        <f aca="false">IF(Produtos!$B71="",0,Produtos!$I71)</f>
        <v>0</v>
      </c>
      <c r="J71" s="74" t="str">
        <f aca="false">IF(Produtos!$B71="","NÃO",Produtos!$AD71)</f>
        <v>NÃO</v>
      </c>
      <c r="K71" s="143" t="n">
        <f aca="false">IF(AND($B71&lt;&gt;"",IN_CAPITAL&gt;=$G71),1,0)</f>
        <v>0</v>
      </c>
      <c r="L71" s="143" t="n">
        <f aca="false">IF(AND($B71&lt;&gt;"",$D71&lt;=IFERROR(INDEX(Premissas!$B$102:$B$104,MATCH(IN_PERFIL,Premissas!$A$102:$A$104,0)),5)),1,0)</f>
        <v>0</v>
      </c>
      <c r="M71" s="143" t="n">
        <f aca="false">IF(IN_PRAZO*30&lt;$E71,0,IF($D71&gt;=4,IF(IN_PRAZO&gt;=60,100,IF(IN_PRAZO&gt;=36,60,IF(IN_PRAZO&gt;=24,30,0))),IF($D71=3,IF(IN_PRAZO&gt;=24,100,IF(IN_PRAZO&gt;=12,70,40)),100)))</f>
        <v>100</v>
      </c>
      <c r="N71" s="143" t="n">
        <f aca="false">IF(IN_RESGATE="Sim",IF($E71+$F71&lt;=3,100,IF($E71+$F71&lt;=31,50,0)),IF(IN_RESGATE="Talvez",IF($E71+$F71&lt;=90,100,IF($E71+$F71&lt;=360,50,20)),100))</f>
        <v>100</v>
      </c>
      <c r="O71" s="143" t="n">
        <f aca="false">IF($D71=0,0,IFERROR(INDEX($B$98:$F$101,MATCH(IN_PRIORIDADE,$A$98:$A$101,0),$D71),0))</f>
        <v>0</v>
      </c>
      <c r="P71" s="143" t="n">
        <f aca="false">MAX(0,MIN(100,60+IF($H71="ISENTO",25,0)+IF($I71&lt;=0.005,15,IF($I71&gt;=0.015,-15,0))+IF(AND($H71="PREV_REGR",IN_PRAZO&gt;=120),20,0)+IF(AND($H71="FUNDO_LP",IN_PRAZO&lt;=12),-10,0)+IF(AND($H71="FUNDO_CP",IN_PRAZO&gt;=24),-15,0)))</f>
        <v>75</v>
      </c>
      <c r="Q71" s="144" t="n">
        <f aca="false">IF(OR($B71="",$J71&lt;&gt;"SIM",$K71=0,$L71=0),0,ROUND(($M71*$B$7+$N71*$C$7+$O71*$D$7+$P71*$E$7)/MAX(1,$B$7+$C$7+$D$7+$E$7),1))</f>
        <v>0</v>
      </c>
      <c r="R71" s="145" t="n">
        <f aca="false">IF($H71="IMOVEL",0,$Q71+ROW()/1000000)</f>
        <v>7.1E-005</v>
      </c>
      <c r="S71" s="146" t="str">
        <f aca="false">IF($B71="","",IF($Q71=0,"Não indicado agora",IF($Q71&gt;=75,"Pode fazer sentido",IF($Q71&gt;=50,"Talvez faça sentido","Provavelmente não é o mais indicado"))))</f>
        <v/>
      </c>
      <c r="T71" s="147" t="str">
        <f aca="false">IF($B71="","",IF($Q71=0,IF($K71=0,"O valor disponível é menor que a aplicação mínima deste produto.",IF($L71=0,"O risco deste produto está acima do perfil declarado pelo cliente.","Produto não está ativo na base.")),IF($Q71&lt;50,"Encaixa pouco no que foi pedido — veja o ponto de atenção ao lado.",IF($H71="ISENTO","Não paga Imposto de Renda para pessoa física.",IF($W71="PRE","A taxa fica travada na contratação: não cai se os juros da economia caírem.",IF($W71="IPCA","Protege o poder de compra: rende a inflação mais uma taxa fixa por cima.",IF(AND($E71=0,$F71&lt;=1),"O dinheiro pode ser retirado praticamente a qualquer momento.",IF(AND($H71="PREV_REGR",IN_PRAZO&gt;=120),"No prazo escolhido a previdência alcança a menor alíquota de imposto (10%).",IF($D71&gt;=4,"Pode render mais no prazo longo, aceitando oscilação pelo caminho.","Combina com o prazo, a liquidez e a prioridade informados.")))))))))</f>
        <v/>
      </c>
      <c r="U71" s="147" t="str">
        <f aca="false">IF($B71="","",IF($E71&gt;0,"Carência de "&amp;$E71&amp;" dias: não dá para resgatar antes.",IF($F71&gt;60,"Não é dinheiro rápido: leva meses para virar caixa.",IF(LEFT($H71,4)="PREV",IF(IN_PRAZO&lt;24,"Resgate antes de 2 anos paga 35% de imposto.","Não tem cobertura do FGC: quem responde pelo dinheiro é a seguradora."),IF($D71&gt;=4,"Pode cair no caminho e demorar a se recuperar.",IF(AND($H71="RF_REGR",$X71&gt;=0.03),"Se vender antes do vencimento, o preço pode estar abaixo do que você pagou.",IF($X71&gt;=0.03,"O valor oscila mês a mês: em prazo curto pode estar abaixo do que você aplicou.",IF($H71="FUNDO_LP","Tem come-cotas em maio e novembro, que antecipam parte do imposto.",IF($F71&gt;7,"Para o dinheiro cair na conta leva cerca de "&amp;$F71&amp;" dias.",IF($I71&gt;=0.015,"Taxa de administração alta em relação ao retorno esperado.","Confirme prazo, liquidez e tributação antes de contratar."))))))))))</f>
        <v/>
      </c>
      <c r="V71" s="148" t="str">
        <f aca="false">IF($B71="","",IFERROR(IF(Produtos!$H71="MULT",(1+INDEX(TAB_MACRO_VAL,MATCH(Produtos!$E71,TAB_MACRO_COD,0))*Produtos!$F71)*(1+Produtos!$G71)-1,INDEX(TAB_MACRO_VAL,MATCH(Produtos!$E71,TAB_MACRO_COD,0))*Produtos!$F71+Produtos!$G71),""))</f>
        <v/>
      </c>
      <c r="W71" s="74" t="str">
        <f aca="false">IF(Produtos!$B71="","",Produtos!$E71)</f>
        <v/>
      </c>
      <c r="X71" s="76" t="n">
        <f aca="false">IF(Produtos!$B71="",0,Produtos!$U71)</f>
        <v>0</v>
      </c>
    </row>
    <row r="72" customFormat="false" ht="21.75" hidden="false" customHeight="true" outlineLevel="0" collapsed="false">
      <c r="A72" s="74" t="str">
        <f aca="false">IF(Produtos!$B72="","",Produtos!$A72)</f>
        <v/>
      </c>
      <c r="B72" s="142" t="str">
        <f aca="false">IF(Produtos!$B72="","",Produtos!$B72)</f>
        <v/>
      </c>
      <c r="C72" s="74" t="str">
        <f aca="false">IF(Produtos!$B72="","",Produtos!$C72)</f>
        <v/>
      </c>
      <c r="D72" s="77" t="n">
        <f aca="false">IF(Produtos!$B72="",0,Produtos!$T72)</f>
        <v>0</v>
      </c>
      <c r="E72" s="77" t="n">
        <f aca="false">IF(Produtos!$B72="",0,Produtos!$P72)</f>
        <v>0</v>
      </c>
      <c r="F72" s="77" t="n">
        <f aca="false">IF(Produtos!$B72="",0,Produtos!$Q72)</f>
        <v>0</v>
      </c>
      <c r="G72" s="78" t="n">
        <f aca="false">IF(Produtos!$B72="",0,Produtos!$R72)</f>
        <v>0</v>
      </c>
      <c r="H72" s="74" t="str">
        <f aca="false">IF(Produtos!$B72="","",Produtos!$N72)</f>
        <v/>
      </c>
      <c r="I72" s="76" t="n">
        <f aca="false">IF(Produtos!$B72="",0,Produtos!$I72)</f>
        <v>0</v>
      </c>
      <c r="J72" s="74" t="str">
        <f aca="false">IF(Produtos!$B72="","NÃO",Produtos!$AD72)</f>
        <v>NÃO</v>
      </c>
      <c r="K72" s="143" t="n">
        <f aca="false">IF(AND($B72&lt;&gt;"",IN_CAPITAL&gt;=$G72),1,0)</f>
        <v>0</v>
      </c>
      <c r="L72" s="143" t="n">
        <f aca="false">IF(AND($B72&lt;&gt;"",$D72&lt;=IFERROR(INDEX(Premissas!$B$102:$B$104,MATCH(IN_PERFIL,Premissas!$A$102:$A$104,0)),5)),1,0)</f>
        <v>0</v>
      </c>
      <c r="M72" s="143" t="n">
        <f aca="false">IF(IN_PRAZO*30&lt;$E72,0,IF($D72&gt;=4,IF(IN_PRAZO&gt;=60,100,IF(IN_PRAZO&gt;=36,60,IF(IN_PRAZO&gt;=24,30,0))),IF($D72=3,IF(IN_PRAZO&gt;=24,100,IF(IN_PRAZO&gt;=12,70,40)),100)))</f>
        <v>100</v>
      </c>
      <c r="N72" s="143" t="n">
        <f aca="false">IF(IN_RESGATE="Sim",IF($E72+$F72&lt;=3,100,IF($E72+$F72&lt;=31,50,0)),IF(IN_RESGATE="Talvez",IF($E72+$F72&lt;=90,100,IF($E72+$F72&lt;=360,50,20)),100))</f>
        <v>100</v>
      </c>
      <c r="O72" s="143" t="n">
        <f aca="false">IF($D72=0,0,IFERROR(INDEX($B$98:$F$101,MATCH(IN_PRIORIDADE,$A$98:$A$101,0),$D72),0))</f>
        <v>0</v>
      </c>
      <c r="P72" s="143" t="n">
        <f aca="false">MAX(0,MIN(100,60+IF($H72="ISENTO",25,0)+IF($I72&lt;=0.005,15,IF($I72&gt;=0.015,-15,0))+IF(AND($H72="PREV_REGR",IN_PRAZO&gt;=120),20,0)+IF(AND($H72="FUNDO_LP",IN_PRAZO&lt;=12),-10,0)+IF(AND($H72="FUNDO_CP",IN_PRAZO&gt;=24),-15,0)))</f>
        <v>75</v>
      </c>
      <c r="Q72" s="144" t="n">
        <f aca="false">IF(OR($B72="",$J72&lt;&gt;"SIM",$K72=0,$L72=0),0,ROUND(($M72*$B$7+$N72*$C$7+$O72*$D$7+$P72*$E$7)/MAX(1,$B$7+$C$7+$D$7+$E$7),1))</f>
        <v>0</v>
      </c>
      <c r="R72" s="145" t="n">
        <f aca="false">IF($H72="IMOVEL",0,$Q72+ROW()/1000000)</f>
        <v>7.2E-005</v>
      </c>
      <c r="S72" s="146" t="str">
        <f aca="false">IF($B72="","",IF($Q72=0,"Não indicado agora",IF($Q72&gt;=75,"Pode fazer sentido",IF($Q72&gt;=50,"Talvez faça sentido","Provavelmente não é o mais indicado"))))</f>
        <v/>
      </c>
      <c r="T72" s="147" t="str">
        <f aca="false">IF($B72="","",IF($Q72=0,IF($K72=0,"O valor disponível é menor que a aplicação mínima deste produto.",IF($L72=0,"O risco deste produto está acima do perfil declarado pelo cliente.","Produto não está ativo na base.")),IF($Q72&lt;50,"Encaixa pouco no que foi pedido — veja o ponto de atenção ao lado.",IF($H72="ISENTO","Não paga Imposto de Renda para pessoa física.",IF($W72="PRE","A taxa fica travada na contratação: não cai se os juros da economia caírem.",IF($W72="IPCA","Protege o poder de compra: rende a inflação mais uma taxa fixa por cima.",IF(AND($E72=0,$F72&lt;=1),"O dinheiro pode ser retirado praticamente a qualquer momento.",IF(AND($H72="PREV_REGR",IN_PRAZO&gt;=120),"No prazo escolhido a previdência alcança a menor alíquota de imposto (10%).",IF($D72&gt;=4,"Pode render mais no prazo longo, aceitando oscilação pelo caminho.","Combina com o prazo, a liquidez e a prioridade informados.")))))))))</f>
        <v/>
      </c>
      <c r="U72" s="147" t="str">
        <f aca="false">IF($B72="","",IF($E72&gt;0,"Carência de "&amp;$E72&amp;" dias: não dá para resgatar antes.",IF($F72&gt;60,"Não é dinheiro rápido: leva meses para virar caixa.",IF(LEFT($H72,4)="PREV",IF(IN_PRAZO&lt;24,"Resgate antes de 2 anos paga 35% de imposto.","Não tem cobertura do FGC: quem responde pelo dinheiro é a seguradora."),IF($D72&gt;=4,"Pode cair no caminho e demorar a se recuperar.",IF(AND($H72="RF_REGR",$X72&gt;=0.03),"Se vender antes do vencimento, o preço pode estar abaixo do que você pagou.",IF($X72&gt;=0.03,"O valor oscila mês a mês: em prazo curto pode estar abaixo do que você aplicou.",IF($H72="FUNDO_LP","Tem come-cotas em maio e novembro, que antecipam parte do imposto.",IF($F72&gt;7,"Para o dinheiro cair na conta leva cerca de "&amp;$F72&amp;" dias.",IF($I72&gt;=0.015,"Taxa de administração alta em relação ao retorno esperado.","Confirme prazo, liquidez e tributação antes de contratar."))))))))))</f>
        <v/>
      </c>
      <c r="V72" s="148" t="str">
        <f aca="false">IF($B72="","",IFERROR(IF(Produtos!$H72="MULT",(1+INDEX(TAB_MACRO_VAL,MATCH(Produtos!$E72,TAB_MACRO_COD,0))*Produtos!$F72)*(1+Produtos!$G72)-1,INDEX(TAB_MACRO_VAL,MATCH(Produtos!$E72,TAB_MACRO_COD,0))*Produtos!$F72+Produtos!$G72),""))</f>
        <v/>
      </c>
      <c r="W72" s="74" t="str">
        <f aca="false">IF(Produtos!$B72="","",Produtos!$E72)</f>
        <v/>
      </c>
      <c r="X72" s="76" t="n">
        <f aca="false">IF(Produtos!$B72="",0,Produtos!$U72)</f>
        <v>0</v>
      </c>
    </row>
    <row r="73" customFormat="false" ht="21.75" hidden="false" customHeight="true" outlineLevel="0" collapsed="false">
      <c r="A73" s="74" t="str">
        <f aca="false">IF(Produtos!$B73="","",Produtos!$A73)</f>
        <v/>
      </c>
      <c r="B73" s="142" t="str">
        <f aca="false">IF(Produtos!$B73="","",Produtos!$B73)</f>
        <v/>
      </c>
      <c r="C73" s="74" t="str">
        <f aca="false">IF(Produtos!$B73="","",Produtos!$C73)</f>
        <v/>
      </c>
      <c r="D73" s="77" t="n">
        <f aca="false">IF(Produtos!$B73="",0,Produtos!$T73)</f>
        <v>0</v>
      </c>
      <c r="E73" s="77" t="n">
        <f aca="false">IF(Produtos!$B73="",0,Produtos!$P73)</f>
        <v>0</v>
      </c>
      <c r="F73" s="77" t="n">
        <f aca="false">IF(Produtos!$B73="",0,Produtos!$Q73)</f>
        <v>0</v>
      </c>
      <c r="G73" s="78" t="n">
        <f aca="false">IF(Produtos!$B73="",0,Produtos!$R73)</f>
        <v>0</v>
      </c>
      <c r="H73" s="74" t="str">
        <f aca="false">IF(Produtos!$B73="","",Produtos!$N73)</f>
        <v/>
      </c>
      <c r="I73" s="76" t="n">
        <f aca="false">IF(Produtos!$B73="",0,Produtos!$I73)</f>
        <v>0</v>
      </c>
      <c r="J73" s="74" t="str">
        <f aca="false">IF(Produtos!$B73="","NÃO",Produtos!$AD73)</f>
        <v>NÃO</v>
      </c>
      <c r="K73" s="143" t="n">
        <f aca="false">IF(AND($B73&lt;&gt;"",IN_CAPITAL&gt;=$G73),1,0)</f>
        <v>0</v>
      </c>
      <c r="L73" s="143" t="n">
        <f aca="false">IF(AND($B73&lt;&gt;"",$D73&lt;=IFERROR(INDEX(Premissas!$B$102:$B$104,MATCH(IN_PERFIL,Premissas!$A$102:$A$104,0)),5)),1,0)</f>
        <v>0</v>
      </c>
      <c r="M73" s="143" t="n">
        <f aca="false">IF(IN_PRAZO*30&lt;$E73,0,IF($D73&gt;=4,IF(IN_PRAZO&gt;=60,100,IF(IN_PRAZO&gt;=36,60,IF(IN_PRAZO&gt;=24,30,0))),IF($D73=3,IF(IN_PRAZO&gt;=24,100,IF(IN_PRAZO&gt;=12,70,40)),100)))</f>
        <v>100</v>
      </c>
      <c r="N73" s="143" t="n">
        <f aca="false">IF(IN_RESGATE="Sim",IF($E73+$F73&lt;=3,100,IF($E73+$F73&lt;=31,50,0)),IF(IN_RESGATE="Talvez",IF($E73+$F73&lt;=90,100,IF($E73+$F73&lt;=360,50,20)),100))</f>
        <v>100</v>
      </c>
      <c r="O73" s="143" t="n">
        <f aca="false">IF($D73=0,0,IFERROR(INDEX($B$98:$F$101,MATCH(IN_PRIORIDADE,$A$98:$A$101,0),$D73),0))</f>
        <v>0</v>
      </c>
      <c r="P73" s="143" t="n">
        <f aca="false">MAX(0,MIN(100,60+IF($H73="ISENTO",25,0)+IF($I73&lt;=0.005,15,IF($I73&gt;=0.015,-15,0))+IF(AND($H73="PREV_REGR",IN_PRAZO&gt;=120),20,0)+IF(AND($H73="FUNDO_LP",IN_PRAZO&lt;=12),-10,0)+IF(AND($H73="FUNDO_CP",IN_PRAZO&gt;=24),-15,0)))</f>
        <v>75</v>
      </c>
      <c r="Q73" s="144" t="n">
        <f aca="false">IF(OR($B73="",$J73&lt;&gt;"SIM",$K73=0,$L73=0),0,ROUND(($M73*$B$7+$N73*$C$7+$O73*$D$7+$P73*$E$7)/MAX(1,$B$7+$C$7+$D$7+$E$7),1))</f>
        <v>0</v>
      </c>
      <c r="R73" s="145" t="n">
        <f aca="false">IF($H73="IMOVEL",0,$Q73+ROW()/1000000)</f>
        <v>7.3E-005</v>
      </c>
      <c r="S73" s="146" t="str">
        <f aca="false">IF($B73="","",IF($Q73=0,"Não indicado agora",IF($Q73&gt;=75,"Pode fazer sentido",IF($Q73&gt;=50,"Talvez faça sentido","Provavelmente não é o mais indicado"))))</f>
        <v/>
      </c>
      <c r="T73" s="147" t="str">
        <f aca="false">IF($B73="","",IF($Q73=0,IF($K73=0,"O valor disponível é menor que a aplicação mínima deste produto.",IF($L73=0,"O risco deste produto está acima do perfil declarado pelo cliente.","Produto não está ativo na base.")),IF($Q73&lt;50,"Encaixa pouco no que foi pedido — veja o ponto de atenção ao lado.",IF($H73="ISENTO","Não paga Imposto de Renda para pessoa física.",IF($W73="PRE","A taxa fica travada na contratação: não cai se os juros da economia caírem.",IF($W73="IPCA","Protege o poder de compra: rende a inflação mais uma taxa fixa por cima.",IF(AND($E73=0,$F73&lt;=1),"O dinheiro pode ser retirado praticamente a qualquer momento.",IF(AND($H73="PREV_REGR",IN_PRAZO&gt;=120),"No prazo escolhido a previdência alcança a menor alíquota de imposto (10%).",IF($D73&gt;=4,"Pode render mais no prazo longo, aceitando oscilação pelo caminho.","Combina com o prazo, a liquidez e a prioridade informados.")))))))))</f>
        <v/>
      </c>
      <c r="U73" s="147" t="str">
        <f aca="false">IF($B73="","",IF($E73&gt;0,"Carência de "&amp;$E73&amp;" dias: não dá para resgatar antes.",IF($F73&gt;60,"Não é dinheiro rápido: leva meses para virar caixa.",IF(LEFT($H73,4)="PREV",IF(IN_PRAZO&lt;24,"Resgate antes de 2 anos paga 35% de imposto.","Não tem cobertura do FGC: quem responde pelo dinheiro é a seguradora."),IF($D73&gt;=4,"Pode cair no caminho e demorar a se recuperar.",IF(AND($H73="RF_REGR",$X73&gt;=0.03),"Se vender antes do vencimento, o preço pode estar abaixo do que você pagou.",IF($X73&gt;=0.03,"O valor oscila mês a mês: em prazo curto pode estar abaixo do que você aplicou.",IF($H73="FUNDO_LP","Tem come-cotas em maio e novembro, que antecipam parte do imposto.",IF($F73&gt;7,"Para o dinheiro cair na conta leva cerca de "&amp;$F73&amp;" dias.",IF($I73&gt;=0.015,"Taxa de administração alta em relação ao retorno esperado.","Confirme prazo, liquidez e tributação antes de contratar."))))))))))</f>
        <v/>
      </c>
      <c r="V73" s="148" t="str">
        <f aca="false">IF($B73="","",IFERROR(IF(Produtos!$H73="MULT",(1+INDEX(TAB_MACRO_VAL,MATCH(Produtos!$E73,TAB_MACRO_COD,0))*Produtos!$F73)*(1+Produtos!$G73)-1,INDEX(TAB_MACRO_VAL,MATCH(Produtos!$E73,TAB_MACRO_COD,0))*Produtos!$F73+Produtos!$G73),""))</f>
        <v/>
      </c>
      <c r="W73" s="74" t="str">
        <f aca="false">IF(Produtos!$B73="","",Produtos!$E73)</f>
        <v/>
      </c>
      <c r="X73" s="76" t="n">
        <f aca="false">IF(Produtos!$B73="",0,Produtos!$U73)</f>
        <v>0</v>
      </c>
    </row>
    <row r="74" customFormat="false" ht="21.75" hidden="false" customHeight="true" outlineLevel="0" collapsed="false">
      <c r="A74" s="74" t="str">
        <f aca="false">IF(Produtos!$B74="","",Produtos!$A74)</f>
        <v/>
      </c>
      <c r="B74" s="142" t="str">
        <f aca="false">IF(Produtos!$B74="","",Produtos!$B74)</f>
        <v/>
      </c>
      <c r="C74" s="74" t="str">
        <f aca="false">IF(Produtos!$B74="","",Produtos!$C74)</f>
        <v/>
      </c>
      <c r="D74" s="77" t="n">
        <f aca="false">IF(Produtos!$B74="",0,Produtos!$T74)</f>
        <v>0</v>
      </c>
      <c r="E74" s="77" t="n">
        <f aca="false">IF(Produtos!$B74="",0,Produtos!$P74)</f>
        <v>0</v>
      </c>
      <c r="F74" s="77" t="n">
        <f aca="false">IF(Produtos!$B74="",0,Produtos!$Q74)</f>
        <v>0</v>
      </c>
      <c r="G74" s="78" t="n">
        <f aca="false">IF(Produtos!$B74="",0,Produtos!$R74)</f>
        <v>0</v>
      </c>
      <c r="H74" s="74" t="str">
        <f aca="false">IF(Produtos!$B74="","",Produtos!$N74)</f>
        <v/>
      </c>
      <c r="I74" s="76" t="n">
        <f aca="false">IF(Produtos!$B74="",0,Produtos!$I74)</f>
        <v>0</v>
      </c>
      <c r="J74" s="74" t="str">
        <f aca="false">IF(Produtos!$B74="","NÃO",Produtos!$AD74)</f>
        <v>NÃO</v>
      </c>
      <c r="K74" s="143" t="n">
        <f aca="false">IF(AND($B74&lt;&gt;"",IN_CAPITAL&gt;=$G74),1,0)</f>
        <v>0</v>
      </c>
      <c r="L74" s="143" t="n">
        <f aca="false">IF(AND($B74&lt;&gt;"",$D74&lt;=IFERROR(INDEX(Premissas!$B$102:$B$104,MATCH(IN_PERFIL,Premissas!$A$102:$A$104,0)),5)),1,0)</f>
        <v>0</v>
      </c>
      <c r="M74" s="143" t="n">
        <f aca="false">IF(IN_PRAZO*30&lt;$E74,0,IF($D74&gt;=4,IF(IN_PRAZO&gt;=60,100,IF(IN_PRAZO&gt;=36,60,IF(IN_PRAZO&gt;=24,30,0))),IF($D74=3,IF(IN_PRAZO&gt;=24,100,IF(IN_PRAZO&gt;=12,70,40)),100)))</f>
        <v>100</v>
      </c>
      <c r="N74" s="143" t="n">
        <f aca="false">IF(IN_RESGATE="Sim",IF($E74+$F74&lt;=3,100,IF($E74+$F74&lt;=31,50,0)),IF(IN_RESGATE="Talvez",IF($E74+$F74&lt;=90,100,IF($E74+$F74&lt;=360,50,20)),100))</f>
        <v>100</v>
      </c>
      <c r="O74" s="143" t="n">
        <f aca="false">IF($D74=0,0,IFERROR(INDEX($B$98:$F$101,MATCH(IN_PRIORIDADE,$A$98:$A$101,0),$D74),0))</f>
        <v>0</v>
      </c>
      <c r="P74" s="143" t="n">
        <f aca="false">MAX(0,MIN(100,60+IF($H74="ISENTO",25,0)+IF($I74&lt;=0.005,15,IF($I74&gt;=0.015,-15,0))+IF(AND($H74="PREV_REGR",IN_PRAZO&gt;=120),20,0)+IF(AND($H74="FUNDO_LP",IN_PRAZO&lt;=12),-10,0)+IF(AND($H74="FUNDO_CP",IN_PRAZO&gt;=24),-15,0)))</f>
        <v>75</v>
      </c>
      <c r="Q74" s="144" t="n">
        <f aca="false">IF(OR($B74="",$J74&lt;&gt;"SIM",$K74=0,$L74=0),0,ROUND(($M74*$B$7+$N74*$C$7+$O74*$D$7+$P74*$E$7)/MAX(1,$B$7+$C$7+$D$7+$E$7),1))</f>
        <v>0</v>
      </c>
      <c r="R74" s="145" t="n">
        <f aca="false">IF($H74="IMOVEL",0,$Q74+ROW()/1000000)</f>
        <v>7.4E-005</v>
      </c>
      <c r="S74" s="146" t="str">
        <f aca="false">IF($B74="","",IF($Q74=0,"Não indicado agora",IF($Q74&gt;=75,"Pode fazer sentido",IF($Q74&gt;=50,"Talvez faça sentido","Provavelmente não é o mais indicado"))))</f>
        <v/>
      </c>
      <c r="T74" s="147" t="str">
        <f aca="false">IF($B74="","",IF($Q74=0,IF($K74=0,"O valor disponível é menor que a aplicação mínima deste produto.",IF($L74=0,"O risco deste produto está acima do perfil declarado pelo cliente.","Produto não está ativo na base.")),IF($Q74&lt;50,"Encaixa pouco no que foi pedido — veja o ponto de atenção ao lado.",IF($H74="ISENTO","Não paga Imposto de Renda para pessoa física.",IF($W74="PRE","A taxa fica travada na contratação: não cai se os juros da economia caírem.",IF($W74="IPCA","Protege o poder de compra: rende a inflação mais uma taxa fixa por cima.",IF(AND($E74=0,$F74&lt;=1),"O dinheiro pode ser retirado praticamente a qualquer momento.",IF(AND($H74="PREV_REGR",IN_PRAZO&gt;=120),"No prazo escolhido a previdência alcança a menor alíquota de imposto (10%).",IF($D74&gt;=4,"Pode render mais no prazo longo, aceitando oscilação pelo caminho.","Combina com o prazo, a liquidez e a prioridade informados.")))))))))</f>
        <v/>
      </c>
      <c r="U74" s="147" t="str">
        <f aca="false">IF($B74="","",IF($E74&gt;0,"Carência de "&amp;$E74&amp;" dias: não dá para resgatar antes.",IF($F74&gt;60,"Não é dinheiro rápido: leva meses para virar caixa.",IF(LEFT($H74,4)="PREV",IF(IN_PRAZO&lt;24,"Resgate antes de 2 anos paga 35% de imposto.","Não tem cobertura do FGC: quem responde pelo dinheiro é a seguradora."),IF($D74&gt;=4,"Pode cair no caminho e demorar a se recuperar.",IF(AND($H74="RF_REGR",$X74&gt;=0.03),"Se vender antes do vencimento, o preço pode estar abaixo do que você pagou.",IF($X74&gt;=0.03,"O valor oscila mês a mês: em prazo curto pode estar abaixo do que você aplicou.",IF($H74="FUNDO_LP","Tem come-cotas em maio e novembro, que antecipam parte do imposto.",IF($F74&gt;7,"Para o dinheiro cair na conta leva cerca de "&amp;$F74&amp;" dias.",IF($I74&gt;=0.015,"Taxa de administração alta em relação ao retorno esperado.","Confirme prazo, liquidez e tributação antes de contratar."))))))))))</f>
        <v/>
      </c>
      <c r="V74" s="148" t="str">
        <f aca="false">IF($B74="","",IFERROR(IF(Produtos!$H74="MULT",(1+INDEX(TAB_MACRO_VAL,MATCH(Produtos!$E74,TAB_MACRO_COD,0))*Produtos!$F74)*(1+Produtos!$G74)-1,INDEX(TAB_MACRO_VAL,MATCH(Produtos!$E74,TAB_MACRO_COD,0))*Produtos!$F74+Produtos!$G74),""))</f>
        <v/>
      </c>
      <c r="W74" s="74" t="str">
        <f aca="false">IF(Produtos!$B74="","",Produtos!$E74)</f>
        <v/>
      </c>
      <c r="X74" s="76" t="n">
        <f aca="false">IF(Produtos!$B74="",0,Produtos!$U74)</f>
        <v>0</v>
      </c>
    </row>
    <row r="75" customFormat="false" ht="21.75" hidden="false" customHeight="true" outlineLevel="0" collapsed="false">
      <c r="A75" s="74" t="str">
        <f aca="false">IF(Produtos!$B75="","",Produtos!$A75)</f>
        <v/>
      </c>
      <c r="B75" s="142" t="str">
        <f aca="false">IF(Produtos!$B75="","",Produtos!$B75)</f>
        <v/>
      </c>
      <c r="C75" s="74" t="str">
        <f aca="false">IF(Produtos!$B75="","",Produtos!$C75)</f>
        <v/>
      </c>
      <c r="D75" s="77" t="n">
        <f aca="false">IF(Produtos!$B75="",0,Produtos!$T75)</f>
        <v>0</v>
      </c>
      <c r="E75" s="77" t="n">
        <f aca="false">IF(Produtos!$B75="",0,Produtos!$P75)</f>
        <v>0</v>
      </c>
      <c r="F75" s="77" t="n">
        <f aca="false">IF(Produtos!$B75="",0,Produtos!$Q75)</f>
        <v>0</v>
      </c>
      <c r="G75" s="78" t="n">
        <f aca="false">IF(Produtos!$B75="",0,Produtos!$R75)</f>
        <v>0</v>
      </c>
      <c r="H75" s="74" t="str">
        <f aca="false">IF(Produtos!$B75="","",Produtos!$N75)</f>
        <v/>
      </c>
      <c r="I75" s="76" t="n">
        <f aca="false">IF(Produtos!$B75="",0,Produtos!$I75)</f>
        <v>0</v>
      </c>
      <c r="J75" s="74" t="str">
        <f aca="false">IF(Produtos!$B75="","NÃO",Produtos!$AD75)</f>
        <v>NÃO</v>
      </c>
      <c r="K75" s="143" t="n">
        <f aca="false">IF(AND($B75&lt;&gt;"",IN_CAPITAL&gt;=$G75),1,0)</f>
        <v>0</v>
      </c>
      <c r="L75" s="143" t="n">
        <f aca="false">IF(AND($B75&lt;&gt;"",$D75&lt;=IFERROR(INDEX(Premissas!$B$102:$B$104,MATCH(IN_PERFIL,Premissas!$A$102:$A$104,0)),5)),1,0)</f>
        <v>0</v>
      </c>
      <c r="M75" s="143" t="n">
        <f aca="false">IF(IN_PRAZO*30&lt;$E75,0,IF($D75&gt;=4,IF(IN_PRAZO&gt;=60,100,IF(IN_PRAZO&gt;=36,60,IF(IN_PRAZO&gt;=24,30,0))),IF($D75=3,IF(IN_PRAZO&gt;=24,100,IF(IN_PRAZO&gt;=12,70,40)),100)))</f>
        <v>100</v>
      </c>
      <c r="N75" s="143" t="n">
        <f aca="false">IF(IN_RESGATE="Sim",IF($E75+$F75&lt;=3,100,IF($E75+$F75&lt;=31,50,0)),IF(IN_RESGATE="Talvez",IF($E75+$F75&lt;=90,100,IF($E75+$F75&lt;=360,50,20)),100))</f>
        <v>100</v>
      </c>
      <c r="O75" s="143" t="n">
        <f aca="false">IF($D75=0,0,IFERROR(INDEX($B$98:$F$101,MATCH(IN_PRIORIDADE,$A$98:$A$101,0),$D75),0))</f>
        <v>0</v>
      </c>
      <c r="P75" s="143" t="n">
        <f aca="false">MAX(0,MIN(100,60+IF($H75="ISENTO",25,0)+IF($I75&lt;=0.005,15,IF($I75&gt;=0.015,-15,0))+IF(AND($H75="PREV_REGR",IN_PRAZO&gt;=120),20,0)+IF(AND($H75="FUNDO_LP",IN_PRAZO&lt;=12),-10,0)+IF(AND($H75="FUNDO_CP",IN_PRAZO&gt;=24),-15,0)))</f>
        <v>75</v>
      </c>
      <c r="Q75" s="144" t="n">
        <f aca="false">IF(OR($B75="",$J75&lt;&gt;"SIM",$K75=0,$L75=0),0,ROUND(($M75*$B$7+$N75*$C$7+$O75*$D$7+$P75*$E$7)/MAX(1,$B$7+$C$7+$D$7+$E$7),1))</f>
        <v>0</v>
      </c>
      <c r="R75" s="145" t="n">
        <f aca="false">IF($H75="IMOVEL",0,$Q75+ROW()/1000000)</f>
        <v>7.5E-005</v>
      </c>
      <c r="S75" s="146" t="str">
        <f aca="false">IF($B75="","",IF($Q75=0,"Não indicado agora",IF($Q75&gt;=75,"Pode fazer sentido",IF($Q75&gt;=50,"Talvez faça sentido","Provavelmente não é o mais indicado"))))</f>
        <v/>
      </c>
      <c r="T75" s="147" t="str">
        <f aca="false">IF($B75="","",IF($Q75=0,IF($K75=0,"O valor disponível é menor que a aplicação mínima deste produto.",IF($L75=0,"O risco deste produto está acima do perfil declarado pelo cliente.","Produto não está ativo na base.")),IF($Q75&lt;50,"Encaixa pouco no que foi pedido — veja o ponto de atenção ao lado.",IF($H75="ISENTO","Não paga Imposto de Renda para pessoa física.",IF($W75="PRE","A taxa fica travada na contratação: não cai se os juros da economia caírem.",IF($W75="IPCA","Protege o poder de compra: rende a inflação mais uma taxa fixa por cima.",IF(AND($E75=0,$F75&lt;=1),"O dinheiro pode ser retirado praticamente a qualquer momento.",IF(AND($H75="PREV_REGR",IN_PRAZO&gt;=120),"No prazo escolhido a previdência alcança a menor alíquota de imposto (10%).",IF($D75&gt;=4,"Pode render mais no prazo longo, aceitando oscilação pelo caminho.","Combina com o prazo, a liquidez e a prioridade informados.")))))))))</f>
        <v/>
      </c>
      <c r="U75" s="147" t="str">
        <f aca="false">IF($B75="","",IF($E75&gt;0,"Carência de "&amp;$E75&amp;" dias: não dá para resgatar antes.",IF($F75&gt;60,"Não é dinheiro rápido: leva meses para virar caixa.",IF(LEFT($H75,4)="PREV",IF(IN_PRAZO&lt;24,"Resgate antes de 2 anos paga 35% de imposto.","Não tem cobertura do FGC: quem responde pelo dinheiro é a seguradora."),IF($D75&gt;=4,"Pode cair no caminho e demorar a se recuperar.",IF(AND($H75="RF_REGR",$X75&gt;=0.03),"Se vender antes do vencimento, o preço pode estar abaixo do que você pagou.",IF($X75&gt;=0.03,"O valor oscila mês a mês: em prazo curto pode estar abaixo do que você aplicou.",IF($H75="FUNDO_LP","Tem come-cotas em maio e novembro, que antecipam parte do imposto.",IF($F75&gt;7,"Para o dinheiro cair na conta leva cerca de "&amp;$F75&amp;" dias.",IF($I75&gt;=0.015,"Taxa de administração alta em relação ao retorno esperado.","Confirme prazo, liquidez e tributação antes de contratar."))))))))))</f>
        <v/>
      </c>
      <c r="V75" s="148" t="str">
        <f aca="false">IF($B75="","",IFERROR(IF(Produtos!$H75="MULT",(1+INDEX(TAB_MACRO_VAL,MATCH(Produtos!$E75,TAB_MACRO_COD,0))*Produtos!$F75)*(1+Produtos!$G75)-1,INDEX(TAB_MACRO_VAL,MATCH(Produtos!$E75,TAB_MACRO_COD,0))*Produtos!$F75+Produtos!$G75),""))</f>
        <v/>
      </c>
      <c r="W75" s="74" t="str">
        <f aca="false">IF(Produtos!$B75="","",Produtos!$E75)</f>
        <v/>
      </c>
      <c r="X75" s="76" t="n">
        <f aca="false">IF(Produtos!$B75="",0,Produtos!$U75)</f>
        <v>0</v>
      </c>
    </row>
    <row r="76" customFormat="false" ht="21.75" hidden="false" customHeight="true" outlineLevel="0" collapsed="false">
      <c r="A76" s="74" t="str">
        <f aca="false">IF(Produtos!$B76="","",Produtos!$A76)</f>
        <v/>
      </c>
      <c r="B76" s="142" t="str">
        <f aca="false">IF(Produtos!$B76="","",Produtos!$B76)</f>
        <v/>
      </c>
      <c r="C76" s="74" t="str">
        <f aca="false">IF(Produtos!$B76="","",Produtos!$C76)</f>
        <v/>
      </c>
      <c r="D76" s="77" t="n">
        <f aca="false">IF(Produtos!$B76="",0,Produtos!$T76)</f>
        <v>0</v>
      </c>
      <c r="E76" s="77" t="n">
        <f aca="false">IF(Produtos!$B76="",0,Produtos!$P76)</f>
        <v>0</v>
      </c>
      <c r="F76" s="77" t="n">
        <f aca="false">IF(Produtos!$B76="",0,Produtos!$Q76)</f>
        <v>0</v>
      </c>
      <c r="G76" s="78" t="n">
        <f aca="false">IF(Produtos!$B76="",0,Produtos!$R76)</f>
        <v>0</v>
      </c>
      <c r="H76" s="74" t="str">
        <f aca="false">IF(Produtos!$B76="","",Produtos!$N76)</f>
        <v/>
      </c>
      <c r="I76" s="76" t="n">
        <f aca="false">IF(Produtos!$B76="",0,Produtos!$I76)</f>
        <v>0</v>
      </c>
      <c r="J76" s="74" t="str">
        <f aca="false">IF(Produtos!$B76="","NÃO",Produtos!$AD76)</f>
        <v>NÃO</v>
      </c>
      <c r="K76" s="143" t="n">
        <f aca="false">IF(AND($B76&lt;&gt;"",IN_CAPITAL&gt;=$G76),1,0)</f>
        <v>0</v>
      </c>
      <c r="L76" s="143" t="n">
        <f aca="false">IF(AND($B76&lt;&gt;"",$D76&lt;=IFERROR(INDEX(Premissas!$B$102:$B$104,MATCH(IN_PERFIL,Premissas!$A$102:$A$104,0)),5)),1,0)</f>
        <v>0</v>
      </c>
      <c r="M76" s="143" t="n">
        <f aca="false">IF(IN_PRAZO*30&lt;$E76,0,IF($D76&gt;=4,IF(IN_PRAZO&gt;=60,100,IF(IN_PRAZO&gt;=36,60,IF(IN_PRAZO&gt;=24,30,0))),IF($D76=3,IF(IN_PRAZO&gt;=24,100,IF(IN_PRAZO&gt;=12,70,40)),100)))</f>
        <v>100</v>
      </c>
      <c r="N76" s="143" t="n">
        <f aca="false">IF(IN_RESGATE="Sim",IF($E76+$F76&lt;=3,100,IF($E76+$F76&lt;=31,50,0)),IF(IN_RESGATE="Talvez",IF($E76+$F76&lt;=90,100,IF($E76+$F76&lt;=360,50,20)),100))</f>
        <v>100</v>
      </c>
      <c r="O76" s="143" t="n">
        <f aca="false">IF($D76=0,0,IFERROR(INDEX($B$98:$F$101,MATCH(IN_PRIORIDADE,$A$98:$A$101,0),$D76),0))</f>
        <v>0</v>
      </c>
      <c r="P76" s="143" t="n">
        <f aca="false">MAX(0,MIN(100,60+IF($H76="ISENTO",25,0)+IF($I76&lt;=0.005,15,IF($I76&gt;=0.015,-15,0))+IF(AND($H76="PREV_REGR",IN_PRAZO&gt;=120),20,0)+IF(AND($H76="FUNDO_LP",IN_PRAZO&lt;=12),-10,0)+IF(AND($H76="FUNDO_CP",IN_PRAZO&gt;=24),-15,0)))</f>
        <v>75</v>
      </c>
      <c r="Q76" s="144" t="n">
        <f aca="false">IF(OR($B76="",$J76&lt;&gt;"SIM",$K76=0,$L76=0),0,ROUND(($M76*$B$7+$N76*$C$7+$O76*$D$7+$P76*$E$7)/MAX(1,$B$7+$C$7+$D$7+$E$7),1))</f>
        <v>0</v>
      </c>
      <c r="R76" s="145" t="n">
        <f aca="false">IF($H76="IMOVEL",0,$Q76+ROW()/1000000)</f>
        <v>7.6E-005</v>
      </c>
      <c r="S76" s="146" t="str">
        <f aca="false">IF($B76="","",IF($Q76=0,"Não indicado agora",IF($Q76&gt;=75,"Pode fazer sentido",IF($Q76&gt;=50,"Talvez faça sentido","Provavelmente não é o mais indicado"))))</f>
        <v/>
      </c>
      <c r="T76" s="147" t="str">
        <f aca="false">IF($B76="","",IF($Q76=0,IF($K76=0,"O valor disponível é menor que a aplicação mínima deste produto.",IF($L76=0,"O risco deste produto está acima do perfil declarado pelo cliente.","Produto não está ativo na base.")),IF($Q76&lt;50,"Encaixa pouco no que foi pedido — veja o ponto de atenção ao lado.",IF($H76="ISENTO","Não paga Imposto de Renda para pessoa física.",IF($W76="PRE","A taxa fica travada na contratação: não cai se os juros da economia caírem.",IF($W76="IPCA","Protege o poder de compra: rende a inflação mais uma taxa fixa por cima.",IF(AND($E76=0,$F76&lt;=1),"O dinheiro pode ser retirado praticamente a qualquer momento.",IF(AND($H76="PREV_REGR",IN_PRAZO&gt;=120),"No prazo escolhido a previdência alcança a menor alíquota de imposto (10%).",IF($D76&gt;=4,"Pode render mais no prazo longo, aceitando oscilação pelo caminho.","Combina com o prazo, a liquidez e a prioridade informados.")))))))))</f>
        <v/>
      </c>
      <c r="U76" s="147" t="str">
        <f aca="false">IF($B76="","",IF($E76&gt;0,"Carência de "&amp;$E76&amp;" dias: não dá para resgatar antes.",IF($F76&gt;60,"Não é dinheiro rápido: leva meses para virar caixa.",IF(LEFT($H76,4)="PREV",IF(IN_PRAZO&lt;24,"Resgate antes de 2 anos paga 35% de imposto.","Não tem cobertura do FGC: quem responde pelo dinheiro é a seguradora."),IF($D76&gt;=4,"Pode cair no caminho e demorar a se recuperar.",IF(AND($H76="RF_REGR",$X76&gt;=0.03),"Se vender antes do vencimento, o preço pode estar abaixo do que você pagou.",IF($X76&gt;=0.03,"O valor oscila mês a mês: em prazo curto pode estar abaixo do que você aplicou.",IF($H76="FUNDO_LP","Tem come-cotas em maio e novembro, que antecipam parte do imposto.",IF($F76&gt;7,"Para o dinheiro cair na conta leva cerca de "&amp;$F76&amp;" dias.",IF($I76&gt;=0.015,"Taxa de administração alta em relação ao retorno esperado.","Confirme prazo, liquidez e tributação antes de contratar."))))))))))</f>
        <v/>
      </c>
      <c r="V76" s="148" t="str">
        <f aca="false">IF($B76="","",IFERROR(IF(Produtos!$H76="MULT",(1+INDEX(TAB_MACRO_VAL,MATCH(Produtos!$E76,TAB_MACRO_COD,0))*Produtos!$F76)*(1+Produtos!$G76)-1,INDEX(TAB_MACRO_VAL,MATCH(Produtos!$E76,TAB_MACRO_COD,0))*Produtos!$F76+Produtos!$G76),""))</f>
        <v/>
      </c>
      <c r="W76" s="74" t="str">
        <f aca="false">IF(Produtos!$B76="","",Produtos!$E76)</f>
        <v/>
      </c>
      <c r="X76" s="76" t="n">
        <f aca="false">IF(Produtos!$B76="",0,Produtos!$U76)</f>
        <v>0</v>
      </c>
    </row>
    <row r="77" customFormat="false" ht="21.75" hidden="false" customHeight="true" outlineLevel="0" collapsed="false">
      <c r="A77" s="74" t="str">
        <f aca="false">IF(Produtos!$B77="","",Produtos!$A77)</f>
        <v/>
      </c>
      <c r="B77" s="142" t="str">
        <f aca="false">IF(Produtos!$B77="","",Produtos!$B77)</f>
        <v/>
      </c>
      <c r="C77" s="74" t="str">
        <f aca="false">IF(Produtos!$B77="","",Produtos!$C77)</f>
        <v/>
      </c>
      <c r="D77" s="77" t="n">
        <f aca="false">IF(Produtos!$B77="",0,Produtos!$T77)</f>
        <v>0</v>
      </c>
      <c r="E77" s="77" t="n">
        <f aca="false">IF(Produtos!$B77="",0,Produtos!$P77)</f>
        <v>0</v>
      </c>
      <c r="F77" s="77" t="n">
        <f aca="false">IF(Produtos!$B77="",0,Produtos!$Q77)</f>
        <v>0</v>
      </c>
      <c r="G77" s="78" t="n">
        <f aca="false">IF(Produtos!$B77="",0,Produtos!$R77)</f>
        <v>0</v>
      </c>
      <c r="H77" s="74" t="str">
        <f aca="false">IF(Produtos!$B77="","",Produtos!$N77)</f>
        <v/>
      </c>
      <c r="I77" s="76" t="n">
        <f aca="false">IF(Produtos!$B77="",0,Produtos!$I77)</f>
        <v>0</v>
      </c>
      <c r="J77" s="74" t="str">
        <f aca="false">IF(Produtos!$B77="","NÃO",Produtos!$AD77)</f>
        <v>NÃO</v>
      </c>
      <c r="K77" s="143" t="n">
        <f aca="false">IF(AND($B77&lt;&gt;"",IN_CAPITAL&gt;=$G77),1,0)</f>
        <v>0</v>
      </c>
      <c r="L77" s="143" t="n">
        <f aca="false">IF(AND($B77&lt;&gt;"",$D77&lt;=IFERROR(INDEX(Premissas!$B$102:$B$104,MATCH(IN_PERFIL,Premissas!$A$102:$A$104,0)),5)),1,0)</f>
        <v>0</v>
      </c>
      <c r="M77" s="143" t="n">
        <f aca="false">IF(IN_PRAZO*30&lt;$E77,0,IF($D77&gt;=4,IF(IN_PRAZO&gt;=60,100,IF(IN_PRAZO&gt;=36,60,IF(IN_PRAZO&gt;=24,30,0))),IF($D77=3,IF(IN_PRAZO&gt;=24,100,IF(IN_PRAZO&gt;=12,70,40)),100)))</f>
        <v>100</v>
      </c>
      <c r="N77" s="143" t="n">
        <f aca="false">IF(IN_RESGATE="Sim",IF($E77+$F77&lt;=3,100,IF($E77+$F77&lt;=31,50,0)),IF(IN_RESGATE="Talvez",IF($E77+$F77&lt;=90,100,IF($E77+$F77&lt;=360,50,20)),100))</f>
        <v>100</v>
      </c>
      <c r="O77" s="143" t="n">
        <f aca="false">IF($D77=0,0,IFERROR(INDEX($B$98:$F$101,MATCH(IN_PRIORIDADE,$A$98:$A$101,0),$D77),0))</f>
        <v>0</v>
      </c>
      <c r="P77" s="143" t="n">
        <f aca="false">MAX(0,MIN(100,60+IF($H77="ISENTO",25,0)+IF($I77&lt;=0.005,15,IF($I77&gt;=0.015,-15,0))+IF(AND($H77="PREV_REGR",IN_PRAZO&gt;=120),20,0)+IF(AND($H77="FUNDO_LP",IN_PRAZO&lt;=12),-10,0)+IF(AND($H77="FUNDO_CP",IN_PRAZO&gt;=24),-15,0)))</f>
        <v>75</v>
      </c>
      <c r="Q77" s="144" t="n">
        <f aca="false">IF(OR($B77="",$J77&lt;&gt;"SIM",$K77=0,$L77=0),0,ROUND(($M77*$B$7+$N77*$C$7+$O77*$D$7+$P77*$E$7)/MAX(1,$B$7+$C$7+$D$7+$E$7),1))</f>
        <v>0</v>
      </c>
      <c r="R77" s="145" t="n">
        <f aca="false">IF($H77="IMOVEL",0,$Q77+ROW()/1000000)</f>
        <v>7.7E-005</v>
      </c>
      <c r="S77" s="146" t="str">
        <f aca="false">IF($B77="","",IF($Q77=0,"Não indicado agora",IF($Q77&gt;=75,"Pode fazer sentido",IF($Q77&gt;=50,"Talvez faça sentido","Provavelmente não é o mais indicado"))))</f>
        <v/>
      </c>
      <c r="T77" s="147" t="str">
        <f aca="false">IF($B77="","",IF($Q77=0,IF($K77=0,"O valor disponível é menor que a aplicação mínima deste produto.",IF($L77=0,"O risco deste produto está acima do perfil declarado pelo cliente.","Produto não está ativo na base.")),IF($Q77&lt;50,"Encaixa pouco no que foi pedido — veja o ponto de atenção ao lado.",IF($H77="ISENTO","Não paga Imposto de Renda para pessoa física.",IF($W77="PRE","A taxa fica travada na contratação: não cai se os juros da economia caírem.",IF($W77="IPCA","Protege o poder de compra: rende a inflação mais uma taxa fixa por cima.",IF(AND($E77=0,$F77&lt;=1),"O dinheiro pode ser retirado praticamente a qualquer momento.",IF(AND($H77="PREV_REGR",IN_PRAZO&gt;=120),"No prazo escolhido a previdência alcança a menor alíquota de imposto (10%).",IF($D77&gt;=4,"Pode render mais no prazo longo, aceitando oscilação pelo caminho.","Combina com o prazo, a liquidez e a prioridade informados.")))))))))</f>
        <v/>
      </c>
      <c r="U77" s="147" t="str">
        <f aca="false">IF($B77="","",IF($E77&gt;0,"Carência de "&amp;$E77&amp;" dias: não dá para resgatar antes.",IF($F77&gt;60,"Não é dinheiro rápido: leva meses para virar caixa.",IF(LEFT($H77,4)="PREV",IF(IN_PRAZO&lt;24,"Resgate antes de 2 anos paga 35% de imposto.","Não tem cobertura do FGC: quem responde pelo dinheiro é a seguradora."),IF($D77&gt;=4,"Pode cair no caminho e demorar a se recuperar.",IF(AND($H77="RF_REGR",$X77&gt;=0.03),"Se vender antes do vencimento, o preço pode estar abaixo do que você pagou.",IF($X77&gt;=0.03,"O valor oscila mês a mês: em prazo curto pode estar abaixo do que você aplicou.",IF($H77="FUNDO_LP","Tem come-cotas em maio e novembro, que antecipam parte do imposto.",IF($F77&gt;7,"Para o dinheiro cair na conta leva cerca de "&amp;$F77&amp;" dias.",IF($I77&gt;=0.015,"Taxa de administração alta em relação ao retorno esperado.","Confirme prazo, liquidez e tributação antes de contratar."))))))))))</f>
        <v/>
      </c>
      <c r="V77" s="148" t="str">
        <f aca="false">IF($B77="","",IFERROR(IF(Produtos!$H77="MULT",(1+INDEX(TAB_MACRO_VAL,MATCH(Produtos!$E77,TAB_MACRO_COD,0))*Produtos!$F77)*(1+Produtos!$G77)-1,INDEX(TAB_MACRO_VAL,MATCH(Produtos!$E77,TAB_MACRO_COD,0))*Produtos!$F77+Produtos!$G77),""))</f>
        <v/>
      </c>
      <c r="W77" s="74" t="str">
        <f aca="false">IF(Produtos!$B77="","",Produtos!$E77)</f>
        <v/>
      </c>
      <c r="X77" s="76" t="n">
        <f aca="false">IF(Produtos!$B77="",0,Produtos!$U77)</f>
        <v>0</v>
      </c>
    </row>
    <row r="78" customFormat="false" ht="21.75" hidden="false" customHeight="true" outlineLevel="0" collapsed="false">
      <c r="A78" s="74" t="str">
        <f aca="false">IF(Produtos!$B78="","",Produtos!$A78)</f>
        <v/>
      </c>
      <c r="B78" s="142" t="str">
        <f aca="false">IF(Produtos!$B78="","",Produtos!$B78)</f>
        <v/>
      </c>
      <c r="C78" s="74" t="str">
        <f aca="false">IF(Produtos!$B78="","",Produtos!$C78)</f>
        <v/>
      </c>
      <c r="D78" s="77" t="n">
        <f aca="false">IF(Produtos!$B78="",0,Produtos!$T78)</f>
        <v>0</v>
      </c>
      <c r="E78" s="77" t="n">
        <f aca="false">IF(Produtos!$B78="",0,Produtos!$P78)</f>
        <v>0</v>
      </c>
      <c r="F78" s="77" t="n">
        <f aca="false">IF(Produtos!$B78="",0,Produtos!$Q78)</f>
        <v>0</v>
      </c>
      <c r="G78" s="78" t="n">
        <f aca="false">IF(Produtos!$B78="",0,Produtos!$R78)</f>
        <v>0</v>
      </c>
      <c r="H78" s="74" t="str">
        <f aca="false">IF(Produtos!$B78="","",Produtos!$N78)</f>
        <v/>
      </c>
      <c r="I78" s="76" t="n">
        <f aca="false">IF(Produtos!$B78="",0,Produtos!$I78)</f>
        <v>0</v>
      </c>
      <c r="J78" s="74" t="str">
        <f aca="false">IF(Produtos!$B78="","NÃO",Produtos!$AD78)</f>
        <v>NÃO</v>
      </c>
      <c r="K78" s="143" t="n">
        <f aca="false">IF(AND($B78&lt;&gt;"",IN_CAPITAL&gt;=$G78),1,0)</f>
        <v>0</v>
      </c>
      <c r="L78" s="143" t="n">
        <f aca="false">IF(AND($B78&lt;&gt;"",$D78&lt;=IFERROR(INDEX(Premissas!$B$102:$B$104,MATCH(IN_PERFIL,Premissas!$A$102:$A$104,0)),5)),1,0)</f>
        <v>0</v>
      </c>
      <c r="M78" s="143" t="n">
        <f aca="false">IF(IN_PRAZO*30&lt;$E78,0,IF($D78&gt;=4,IF(IN_PRAZO&gt;=60,100,IF(IN_PRAZO&gt;=36,60,IF(IN_PRAZO&gt;=24,30,0))),IF($D78=3,IF(IN_PRAZO&gt;=24,100,IF(IN_PRAZO&gt;=12,70,40)),100)))</f>
        <v>100</v>
      </c>
      <c r="N78" s="143" t="n">
        <f aca="false">IF(IN_RESGATE="Sim",IF($E78+$F78&lt;=3,100,IF($E78+$F78&lt;=31,50,0)),IF(IN_RESGATE="Talvez",IF($E78+$F78&lt;=90,100,IF($E78+$F78&lt;=360,50,20)),100))</f>
        <v>100</v>
      </c>
      <c r="O78" s="143" t="n">
        <f aca="false">IF($D78=0,0,IFERROR(INDEX($B$98:$F$101,MATCH(IN_PRIORIDADE,$A$98:$A$101,0),$D78),0))</f>
        <v>0</v>
      </c>
      <c r="P78" s="143" t="n">
        <f aca="false">MAX(0,MIN(100,60+IF($H78="ISENTO",25,0)+IF($I78&lt;=0.005,15,IF($I78&gt;=0.015,-15,0))+IF(AND($H78="PREV_REGR",IN_PRAZO&gt;=120),20,0)+IF(AND($H78="FUNDO_LP",IN_PRAZO&lt;=12),-10,0)+IF(AND($H78="FUNDO_CP",IN_PRAZO&gt;=24),-15,0)))</f>
        <v>75</v>
      </c>
      <c r="Q78" s="144" t="n">
        <f aca="false">IF(OR($B78="",$J78&lt;&gt;"SIM",$K78=0,$L78=0),0,ROUND(($M78*$B$7+$N78*$C$7+$O78*$D$7+$P78*$E$7)/MAX(1,$B$7+$C$7+$D$7+$E$7),1))</f>
        <v>0</v>
      </c>
      <c r="R78" s="145" t="n">
        <f aca="false">IF($H78="IMOVEL",0,$Q78+ROW()/1000000)</f>
        <v>7.8E-005</v>
      </c>
      <c r="S78" s="146" t="str">
        <f aca="false">IF($B78="","",IF($Q78=0,"Não indicado agora",IF($Q78&gt;=75,"Pode fazer sentido",IF($Q78&gt;=50,"Talvez faça sentido","Provavelmente não é o mais indicado"))))</f>
        <v/>
      </c>
      <c r="T78" s="147" t="str">
        <f aca="false">IF($B78="","",IF($Q78=0,IF($K78=0,"O valor disponível é menor que a aplicação mínima deste produto.",IF($L78=0,"O risco deste produto está acima do perfil declarado pelo cliente.","Produto não está ativo na base.")),IF($Q78&lt;50,"Encaixa pouco no que foi pedido — veja o ponto de atenção ao lado.",IF($H78="ISENTO","Não paga Imposto de Renda para pessoa física.",IF($W78="PRE","A taxa fica travada na contratação: não cai se os juros da economia caírem.",IF($W78="IPCA","Protege o poder de compra: rende a inflação mais uma taxa fixa por cima.",IF(AND($E78=0,$F78&lt;=1),"O dinheiro pode ser retirado praticamente a qualquer momento.",IF(AND($H78="PREV_REGR",IN_PRAZO&gt;=120),"No prazo escolhido a previdência alcança a menor alíquota de imposto (10%).",IF($D78&gt;=4,"Pode render mais no prazo longo, aceitando oscilação pelo caminho.","Combina com o prazo, a liquidez e a prioridade informados.")))))))))</f>
        <v/>
      </c>
      <c r="U78" s="147" t="str">
        <f aca="false">IF($B78="","",IF($E78&gt;0,"Carência de "&amp;$E78&amp;" dias: não dá para resgatar antes.",IF($F78&gt;60,"Não é dinheiro rápido: leva meses para virar caixa.",IF(LEFT($H78,4)="PREV",IF(IN_PRAZO&lt;24,"Resgate antes de 2 anos paga 35% de imposto.","Não tem cobertura do FGC: quem responde pelo dinheiro é a seguradora."),IF($D78&gt;=4,"Pode cair no caminho e demorar a se recuperar.",IF(AND($H78="RF_REGR",$X78&gt;=0.03),"Se vender antes do vencimento, o preço pode estar abaixo do que você pagou.",IF($X78&gt;=0.03,"O valor oscila mês a mês: em prazo curto pode estar abaixo do que você aplicou.",IF($H78="FUNDO_LP","Tem come-cotas em maio e novembro, que antecipam parte do imposto.",IF($F78&gt;7,"Para o dinheiro cair na conta leva cerca de "&amp;$F78&amp;" dias.",IF($I78&gt;=0.015,"Taxa de administração alta em relação ao retorno esperado.","Confirme prazo, liquidez e tributação antes de contratar."))))))))))</f>
        <v/>
      </c>
      <c r="V78" s="148" t="str">
        <f aca="false">IF($B78="","",IFERROR(IF(Produtos!$H78="MULT",(1+INDEX(TAB_MACRO_VAL,MATCH(Produtos!$E78,TAB_MACRO_COD,0))*Produtos!$F78)*(1+Produtos!$G78)-1,INDEX(TAB_MACRO_VAL,MATCH(Produtos!$E78,TAB_MACRO_COD,0))*Produtos!$F78+Produtos!$G78),""))</f>
        <v/>
      </c>
      <c r="W78" s="74" t="str">
        <f aca="false">IF(Produtos!$B78="","",Produtos!$E78)</f>
        <v/>
      </c>
      <c r="X78" s="76" t="n">
        <f aca="false">IF(Produtos!$B78="",0,Produtos!$U78)</f>
        <v>0</v>
      </c>
    </row>
    <row r="80" customFormat="false" ht="21.75" hidden="false" customHeight="true" outlineLevel="0" collapsed="false">
      <c r="A80" s="3" t="s">
        <v>334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24" hidden="false" customHeight="true" outlineLevel="0" collapsed="false">
      <c r="A81" s="34" t="s">
        <v>335</v>
      </c>
      <c r="B81" s="34" t="s">
        <v>336</v>
      </c>
      <c r="C81" s="34" t="s">
        <v>337</v>
      </c>
      <c r="D81" s="34" t="s">
        <v>330</v>
      </c>
      <c r="E81" s="34" t="s">
        <v>338</v>
      </c>
      <c r="F81" s="34" t="s">
        <v>83</v>
      </c>
    </row>
    <row r="82" customFormat="false" ht="24" hidden="false" customHeight="true" outlineLevel="0" collapsed="false">
      <c r="A82" s="120" t="n">
        <v>1</v>
      </c>
      <c r="B82" s="149" t="str">
        <f aca="false">IFERROR(IF(LARGE($R$9:$R$78,1)&lt;1,"",INDEX($B$9:$B$78,MATCH(LARGE($R$9:$R$78,1),$R$9:$R$78,0))),"")</f>
        <v>Tesouro Prefixado 2031</v>
      </c>
      <c r="C82" s="150" t="n">
        <f aca="false">IFERROR(IF(LARGE($R$9:$R$78,1)&lt;1,"",INDEX($Q$9:$Q$78,MATCH(LARGE($R$9:$R$78,1),$R$9:$R$78,0))),"")</f>
        <v>96.3</v>
      </c>
      <c r="D82" s="151" t="str">
        <f aca="false">IFERROR(IF(LARGE($R$9:$R$78,1)&lt;1,"",INDEX($S$9:$S$78,MATCH(LARGE($R$9:$R$78,1),$R$9:$R$78,0))),"")</f>
        <v>Pode fazer sentido</v>
      </c>
      <c r="E82" s="152" t="str">
        <f aca="false">IFERROR(IF(LARGE($R$9:$R$78,1)&lt;1,"",INDEX($T$9:$T$78,MATCH(LARGE($R$9:$R$78,1),$R$9:$R$78,0))),"")</f>
        <v>A taxa fica travada na contratação: não cai se os juros da economia caírem.</v>
      </c>
      <c r="F82" s="152" t="str">
        <f aca="false">IFERROR(IF(LARGE($R$9:$R$78,1)&lt;1,"",INDEX($U$9:$U$78,MATCH(LARGE($R$9:$R$78,1),$R$9:$R$78,0))),"")</f>
        <v>Se vender antes do vencimento, o preço pode estar abaixo do que você pagou.</v>
      </c>
    </row>
    <row r="83" customFormat="false" ht="24" hidden="false" customHeight="true" outlineLevel="0" collapsed="false">
      <c r="A83" s="120" t="n">
        <v>2</v>
      </c>
      <c r="B83" s="149" t="str">
        <f aca="false">IFERROR(IF(LARGE($R$9:$R$78,2)&lt;1,"",INDEX($B$9:$B$78,MATCH(LARGE($R$9:$R$78,2),$R$9:$R$78,0))),"")</f>
        <v>Tesouro IPCA+ 2035</v>
      </c>
      <c r="C83" s="150" t="n">
        <f aca="false">IFERROR(IF(LARGE($R$9:$R$78,2)&lt;1,"",INDEX($Q$9:$Q$78,MATCH(LARGE($R$9:$R$78,2),$R$9:$R$78,0))),"")</f>
        <v>96.3</v>
      </c>
      <c r="D83" s="151" t="str">
        <f aca="false">IFERROR(IF(LARGE($R$9:$R$78,2)&lt;1,"",INDEX($S$9:$S$78,MATCH(LARGE($R$9:$R$78,2),$R$9:$R$78,0))),"")</f>
        <v>Pode fazer sentido</v>
      </c>
      <c r="E83" s="152" t="str">
        <f aca="false">IFERROR(IF(LARGE($R$9:$R$78,2)&lt;1,"",INDEX($T$9:$T$78,MATCH(LARGE($R$9:$R$78,2),$R$9:$R$78,0))),"")</f>
        <v>Protege o poder de compra: rende a inflação mais uma taxa fixa por cima.</v>
      </c>
      <c r="F83" s="152" t="str">
        <f aca="false">IFERROR(IF(LARGE($R$9:$R$78,2)&lt;1,"",INDEX($U$9:$U$78,MATCH(LARGE($R$9:$R$78,2),$R$9:$R$78,0))),"")</f>
        <v>Se vender antes do vencimento, o preço pode estar abaixo do que você pagou.</v>
      </c>
    </row>
    <row r="84" customFormat="false" ht="24" hidden="false" customHeight="true" outlineLevel="0" collapsed="false">
      <c r="A84" s="120" t="n">
        <v>3</v>
      </c>
      <c r="B84" s="149" t="str">
        <f aca="false">IFERROR(IF(LARGE($R$9:$R$78,3)&lt;1,"",INDEX($B$9:$B$78,MATCH(LARGE($R$9:$R$78,3),$R$9:$R$78,0))),"")</f>
        <v>Fundo CAIXA RF Crédito Privado LP</v>
      </c>
      <c r="C84" s="150" t="n">
        <f aca="false">IFERROR(IF(LARGE($R$9:$R$78,3)&lt;1,"",INDEX($Q$9:$Q$78,MATCH(LARGE($R$9:$R$78,3),$R$9:$R$78,0))),"")</f>
        <v>94</v>
      </c>
      <c r="D84" s="151" t="str">
        <f aca="false">IFERROR(IF(LARGE($R$9:$R$78,3)&lt;1,"",INDEX($S$9:$S$78,MATCH(LARGE($R$9:$R$78,3),$R$9:$R$78,0))),"")</f>
        <v>Pode fazer sentido</v>
      </c>
      <c r="E84" s="152" t="str">
        <f aca="false">IFERROR(IF(LARGE($R$9:$R$78,3)&lt;1,"",INDEX($T$9:$T$78,MATCH(LARGE($R$9:$R$78,3),$R$9:$R$78,0))),"")</f>
        <v>Combina com o prazo, a liquidez e a prioridade informados.</v>
      </c>
      <c r="F84" s="152" t="str">
        <f aca="false">IFERROR(IF(LARGE($R$9:$R$78,3)&lt;1,"",INDEX($U$9:$U$78,MATCH(LARGE($R$9:$R$78,3),$R$9:$R$78,0))),"")</f>
        <v>Tem come-cotas em maio e novembro, que antecipam parte do imposto.</v>
      </c>
    </row>
    <row r="85" customFormat="false" ht="24" hidden="false" customHeight="true" outlineLevel="0" collapsed="false">
      <c r="A85" s="120" t="n">
        <v>4</v>
      </c>
      <c r="B85" s="149" t="str">
        <f aca="false">IFERROR(IF(LARGE($R$9:$R$78,4)&lt;1,"",INDEX($B$9:$B$78,MATCH(LARGE($R$9:$R$78,4),$R$9:$R$78,0))),"")</f>
        <v>VGBL CAIXA Composto 30 — Regressivo</v>
      </c>
      <c r="C85" s="150" t="n">
        <f aca="false">IFERROR(IF(LARGE($R$9:$R$78,4)&lt;1,"",INDEX($Q$9:$Q$78,MATCH(LARGE($R$9:$R$78,4),$R$9:$R$78,0))),"")</f>
        <v>91.3</v>
      </c>
      <c r="D85" s="151" t="str">
        <f aca="false">IFERROR(IF(LARGE($R$9:$R$78,4)&lt;1,"",INDEX($S$9:$S$78,MATCH(LARGE($R$9:$R$78,4),$R$9:$R$78,0))),"")</f>
        <v>Pode fazer sentido</v>
      </c>
      <c r="E85" s="152" t="str">
        <f aca="false">IFERROR(IF(LARGE($R$9:$R$78,4)&lt;1,"",INDEX($T$9:$T$78,MATCH(LARGE($R$9:$R$78,4),$R$9:$R$78,0))),"")</f>
        <v>No prazo escolhido a previdência alcança a menor alíquota de imposto (10%).</v>
      </c>
      <c r="F85" s="152" t="str">
        <f aca="false">IFERROR(IF(LARGE($R$9:$R$78,4)&lt;1,"",INDEX($U$9:$U$78,MATCH(LARGE($R$9:$R$78,4),$R$9:$R$78,0))),"")</f>
        <v>Não tem cobertura do FGC: quem responde pelo dinheiro é a seguradora.</v>
      </c>
    </row>
    <row r="86" customFormat="false" ht="24" hidden="false" customHeight="true" outlineLevel="0" collapsed="false">
      <c r="A86" s="120" t="n">
        <v>5</v>
      </c>
      <c r="B86" s="149" t="str">
        <f aca="false">IFERROR(IF(LARGE($R$9:$R$78,5)&lt;1,"",INDEX($B$9:$B$78,MATCH(LARGE($R$9:$R$78,5),$R$9:$R$78,0))),"")</f>
        <v>PGBL CAIXA Composto 30 — Regressivo</v>
      </c>
      <c r="C86" s="150" t="n">
        <f aca="false">IFERROR(IF(LARGE($R$9:$R$78,5)&lt;1,"",INDEX($Q$9:$Q$78,MATCH(LARGE($R$9:$R$78,5),$R$9:$R$78,0))),"")</f>
        <v>91.3</v>
      </c>
      <c r="D86" s="151" t="str">
        <f aca="false">IFERROR(IF(LARGE($R$9:$R$78,5)&lt;1,"",INDEX($S$9:$S$78,MATCH(LARGE($R$9:$R$78,5),$R$9:$R$78,0))),"")</f>
        <v>Pode fazer sentido</v>
      </c>
      <c r="E86" s="152" t="str">
        <f aca="false">IFERROR(IF(LARGE($R$9:$R$78,5)&lt;1,"",INDEX($T$9:$T$78,MATCH(LARGE($R$9:$R$78,5),$R$9:$R$78,0))),"")</f>
        <v>No prazo escolhido a previdência alcança a menor alíquota de imposto (10%).</v>
      </c>
      <c r="F86" s="152" t="str">
        <f aca="false">IFERROR(IF(LARGE($R$9:$R$78,5)&lt;1,"",INDEX($U$9:$U$78,MATCH(LARGE($R$9:$R$78,5),$R$9:$R$78,0))),"")</f>
        <v>Não tem cobertura do FGC: quem responde pelo dinheiro é a seguradora.</v>
      </c>
    </row>
    <row r="87" customFormat="false" ht="24" hidden="false" customHeight="true" outlineLevel="0" collapsed="false">
      <c r="A87" s="120" t="n">
        <v>6</v>
      </c>
      <c r="B87" s="149" t="str">
        <f aca="false">IFERROR(IF(LARGE($R$9:$R$78,6)&lt;1,"",INDEX($B$9:$B$78,MATCH(LARGE($R$9:$R$78,6),$R$9:$R$78,0))),"")</f>
        <v>Fundo CAIXA RF IPCA Longo Prazo</v>
      </c>
      <c r="C87" s="150" t="n">
        <f aca="false">IFERROR(IF(LARGE($R$9:$R$78,6)&lt;1,"",INDEX($Q$9:$Q$78,MATCH(LARGE($R$9:$R$78,6),$R$9:$R$78,0))),"")</f>
        <v>90.5</v>
      </c>
      <c r="D87" s="151" t="str">
        <f aca="false">IFERROR(IF(LARGE($R$9:$R$78,6)&lt;1,"",INDEX($S$9:$S$78,MATCH(LARGE($R$9:$R$78,6),$R$9:$R$78,0))),"")</f>
        <v>Pode fazer sentido</v>
      </c>
      <c r="E87" s="152" t="str">
        <f aca="false">IFERROR(IF(LARGE($R$9:$R$78,6)&lt;1,"",INDEX($T$9:$T$78,MATCH(LARGE($R$9:$R$78,6),$R$9:$R$78,0))),"")</f>
        <v>Protege o poder de compra: rende a inflação mais uma taxa fixa por cima.</v>
      </c>
      <c r="F87" s="152" t="str">
        <f aca="false">IFERROR(IF(LARGE($R$9:$R$78,6)&lt;1,"",INDEX($U$9:$U$78,MATCH(LARGE($R$9:$R$78,6),$R$9:$R$78,0))),"")</f>
        <v>O valor oscila mês a mês: em prazo curto pode estar abaixo do que você aplicou.</v>
      </c>
    </row>
    <row r="89" customFormat="false" ht="21.75" hidden="false" customHeight="true" outlineLevel="0" collapsed="false">
      <c r="A89" s="3" t="s">
        <v>339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24" hidden="false" customHeight="true" outlineLevel="0" collapsed="false">
      <c r="A90" s="34" t="s">
        <v>340</v>
      </c>
      <c r="B90" s="34" t="s">
        <v>341</v>
      </c>
      <c r="C90" s="34" t="s">
        <v>342</v>
      </c>
      <c r="D90" s="34" t="s">
        <v>343</v>
      </c>
      <c r="E90" s="34" t="s">
        <v>344</v>
      </c>
    </row>
    <row r="91" customFormat="false" ht="15" hidden="false" customHeight="false" outlineLevel="0" collapsed="false">
      <c r="A91" s="118" t="s">
        <v>345</v>
      </c>
      <c r="B91" s="153" t="n">
        <v>20</v>
      </c>
      <c r="C91" s="153" t="n">
        <v>20</v>
      </c>
      <c r="D91" s="153" t="n">
        <v>50</v>
      </c>
      <c r="E91" s="153" t="n">
        <v>10</v>
      </c>
    </row>
    <row r="92" customFormat="false" ht="15" hidden="false" customHeight="false" outlineLevel="0" collapsed="false">
      <c r="A92" s="118" t="s">
        <v>56</v>
      </c>
      <c r="B92" s="153" t="n">
        <v>25</v>
      </c>
      <c r="C92" s="153" t="n">
        <v>25</v>
      </c>
      <c r="D92" s="153" t="n">
        <v>35</v>
      </c>
      <c r="E92" s="153" t="n">
        <v>15</v>
      </c>
    </row>
    <row r="93" customFormat="false" ht="15" hidden="false" customHeight="false" outlineLevel="0" collapsed="false">
      <c r="A93" s="118" t="s">
        <v>346</v>
      </c>
      <c r="B93" s="153" t="n">
        <v>30</v>
      </c>
      <c r="C93" s="153" t="n">
        <v>15</v>
      </c>
      <c r="D93" s="153" t="n">
        <v>40</v>
      </c>
      <c r="E93" s="153" t="n">
        <v>15</v>
      </c>
    </row>
    <row r="94" customFormat="false" ht="15" hidden="false" customHeight="false" outlineLevel="0" collapsed="false">
      <c r="A94" s="118" t="s">
        <v>347</v>
      </c>
      <c r="B94" s="153" t="n">
        <v>15</v>
      </c>
      <c r="C94" s="153" t="n">
        <v>55</v>
      </c>
      <c r="D94" s="153" t="n">
        <v>20</v>
      </c>
      <c r="E94" s="153" t="n">
        <v>10</v>
      </c>
    </row>
    <row r="96" customFormat="false" ht="21.75" hidden="false" customHeight="true" outlineLevel="0" collapsed="false">
      <c r="A96" s="3" t="s">
        <v>348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24" hidden="false" customHeight="true" outlineLevel="0" collapsed="false">
      <c r="A97" s="34" t="s">
        <v>340</v>
      </c>
      <c r="B97" s="34" t="s">
        <v>349</v>
      </c>
      <c r="C97" s="34" t="s">
        <v>350</v>
      </c>
      <c r="D97" s="34" t="s">
        <v>351</v>
      </c>
      <c r="E97" s="34" t="s">
        <v>352</v>
      </c>
      <c r="F97" s="34" t="s">
        <v>353</v>
      </c>
    </row>
    <row r="98" customFormat="false" ht="15" hidden="false" customHeight="false" outlineLevel="0" collapsed="false">
      <c r="A98" s="118" t="s">
        <v>345</v>
      </c>
      <c r="B98" s="153" t="n">
        <v>100</v>
      </c>
      <c r="C98" s="153" t="n">
        <v>70</v>
      </c>
      <c r="D98" s="153" t="n">
        <v>30</v>
      </c>
      <c r="E98" s="153" t="n">
        <v>5</v>
      </c>
      <c r="F98" s="153" t="n">
        <v>0</v>
      </c>
    </row>
    <row r="99" customFormat="false" ht="15" hidden="false" customHeight="false" outlineLevel="0" collapsed="false">
      <c r="A99" s="118" t="s">
        <v>56</v>
      </c>
      <c r="B99" s="153" t="n">
        <v>60</v>
      </c>
      <c r="C99" s="153" t="n">
        <v>100</v>
      </c>
      <c r="D99" s="153" t="n">
        <v>90</v>
      </c>
      <c r="E99" s="153" t="n">
        <v>45</v>
      </c>
      <c r="F99" s="153" t="n">
        <v>15</v>
      </c>
    </row>
    <row r="100" customFormat="false" ht="15" hidden="false" customHeight="false" outlineLevel="0" collapsed="false">
      <c r="A100" s="118" t="s">
        <v>346</v>
      </c>
      <c r="B100" s="153" t="n">
        <v>30</v>
      </c>
      <c r="C100" s="153" t="n">
        <v>50</v>
      </c>
      <c r="D100" s="153" t="n">
        <v>80</v>
      </c>
      <c r="E100" s="153" t="n">
        <v>100</v>
      </c>
      <c r="F100" s="153" t="n">
        <v>95</v>
      </c>
    </row>
    <row r="101" customFormat="false" ht="15" hidden="false" customHeight="false" outlineLevel="0" collapsed="false">
      <c r="A101" s="118" t="s">
        <v>347</v>
      </c>
      <c r="B101" s="153" t="n">
        <v>100</v>
      </c>
      <c r="C101" s="153" t="n">
        <v>85</v>
      </c>
      <c r="D101" s="153" t="n">
        <v>50</v>
      </c>
      <c r="E101" s="153" t="n">
        <v>20</v>
      </c>
      <c r="F101" s="153" t="n">
        <v>5</v>
      </c>
    </row>
  </sheetData>
  <mergeCells count="8">
    <mergeCell ref="A1:V1"/>
    <mergeCell ref="A2:V2"/>
    <mergeCell ref="A4:V4"/>
    <mergeCell ref="A5:V5"/>
    <mergeCell ref="A6:A7"/>
    <mergeCell ref="A80:V80"/>
    <mergeCell ref="A89:V89"/>
    <mergeCell ref="A96:V96"/>
  </mergeCells>
  <conditionalFormatting sqref="Q9:Q78">
    <cfRule type="colorScale" priority="2">
      <colorScale>
        <cfvo type="num" val="0"/>
        <cfvo type="num" val="50"/>
        <cfvo type="num" val="100"/>
        <color rgb="FFFFFFFF"/>
        <color rgb="FFFFF6DF"/>
        <color rgb="FFBFE3C8"/>
      </colorScale>
    </cfRule>
  </conditionalFormatting>
  <hyperlinks>
    <hyperlink ref="X4" location="Inicio!A1" display="◀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CP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0" topLeftCell="F61" activePane="bottomRight" state="frozen"/>
      <selection pane="topLeft" activeCell="A1" activeCellId="0" sqref="A1"/>
      <selection pane="topRight" activeCell="F1" activeCellId="0" sqref="F1"/>
      <selection pane="bottomLeft" activeCell="A61" activeCellId="0" sqref="A6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19" min="6" style="0" width="13"/>
    <col collapsed="false" customWidth="true" hidden="false" outlineLevel="0" max="20" min="20" style="0" width="2"/>
    <col collapsed="false" customWidth="true" hidden="false" outlineLevel="0" max="34" min="21" style="0" width="13"/>
    <col collapsed="false" customWidth="true" hidden="false" outlineLevel="0" max="35" min="35" style="0" width="2"/>
    <col collapsed="false" customWidth="true" hidden="false" outlineLevel="0" max="49" min="36" style="0" width="13"/>
    <col collapsed="false" customWidth="true" hidden="false" outlineLevel="0" max="50" min="50" style="0" width="2"/>
    <col collapsed="false" customWidth="true" hidden="false" outlineLevel="0" max="64" min="51" style="0" width="13"/>
    <col collapsed="false" customWidth="true" hidden="false" outlineLevel="0" max="65" min="65" style="0" width="2"/>
    <col collapsed="false" customWidth="true" hidden="false" outlineLevel="0" max="79" min="66" style="0" width="13"/>
    <col collapsed="false" customWidth="true" hidden="false" outlineLevel="0" max="80" min="80" style="0" width="2"/>
    <col collapsed="false" customWidth="true" hidden="false" outlineLevel="0" max="94" min="81" style="0" width="13"/>
    <col collapsed="false" customWidth="true" hidden="false" outlineLevel="0" max="95" min="95" style="0" width="2"/>
  </cols>
  <sheetData>
    <row r="1" customFormat="false" ht="33.75" hidden="false" customHeight="true" outlineLevel="0" collapsed="false">
      <c r="A1" s="13" t="s">
        <v>354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8" hidden="false" customHeight="true" outlineLevel="0" collapsed="false">
      <c r="A2" s="14" t="s">
        <v>355</v>
      </c>
      <c r="B2" s="14"/>
      <c r="C2" s="14"/>
      <c r="D2" s="14"/>
      <c r="E2" s="14"/>
      <c r="F2" s="14"/>
      <c r="G2" s="14"/>
      <c r="H2" s="14"/>
      <c r="I2" s="14"/>
      <c r="J2" s="14"/>
    </row>
    <row r="4" customFormat="false" ht="21.75" hidden="false" customHeight="true" outlineLevel="0" collapsed="false">
      <c r="A4" s="3" t="s">
        <v>356</v>
      </c>
      <c r="B4" s="3"/>
      <c r="C4" s="3"/>
      <c r="D4" s="3"/>
      <c r="E4" s="3"/>
      <c r="F4" s="3"/>
      <c r="G4" s="3"/>
      <c r="H4" s="3"/>
      <c r="I4" s="3"/>
      <c r="J4" s="3"/>
      <c r="L4" s="94" t="s">
        <v>84</v>
      </c>
    </row>
    <row r="5" customFormat="false" ht="15" hidden="false" customHeight="false" outlineLevel="0" collapsed="false">
      <c r="A5" s="154" t="s">
        <v>145</v>
      </c>
      <c r="B5" s="155" t="s">
        <v>357</v>
      </c>
      <c r="C5" s="155" t="s">
        <v>358</v>
      </c>
      <c r="D5" s="155" t="s">
        <v>359</v>
      </c>
      <c r="E5" s="155" t="s">
        <v>360</v>
      </c>
      <c r="F5" s="155" t="s">
        <v>361</v>
      </c>
      <c r="G5" s="155" t="s">
        <v>362</v>
      </c>
      <c r="L5" s="94" t="s">
        <v>290</v>
      </c>
    </row>
    <row r="6" customFormat="false" ht="12.75" hidden="false" customHeight="true" outlineLevel="0" collapsed="false">
      <c r="A6" s="156" t="s">
        <v>363</v>
      </c>
      <c r="B6" s="157" t="str">
        <f aca="false">SLOT_A</f>
        <v>Tesouro Prefixado 2031</v>
      </c>
      <c r="C6" s="157" t="str">
        <f aca="false">SLOT_B</f>
        <v>Tesouro IPCA+ 2035</v>
      </c>
      <c r="D6" s="157" t="str">
        <f aca="false">SLOT_C</f>
        <v>Fundo CAIXA RF Crédito Privado LP</v>
      </c>
      <c r="E6" s="157" t="str">
        <f aca="false">SLOT_D</f>
        <v>VGBL CAIXA Composto 30 — Regressivo</v>
      </c>
      <c r="F6" s="157" t="str">
        <f aca="false">SLOT_E</f>
        <v>PGBL CAIXA Composto 30 — Regressivo</v>
      </c>
      <c r="G6" s="157" t="str">
        <f aca="false">SLOT_F</f>
        <v>Fundo CAIXA RF IPCA Longo Prazo</v>
      </c>
    </row>
    <row r="7" customFormat="false" ht="12.75" hidden="false" customHeight="true" outlineLevel="0" collapsed="false">
      <c r="A7" s="158" t="s">
        <v>364</v>
      </c>
      <c r="B7" s="159" t="n">
        <f aca="false">IFERROR(MATCH(B$6,BASE_PRODUTOS,0),0)</f>
        <v>10</v>
      </c>
      <c r="C7" s="159" t="n">
        <f aca="false">IFERROR(MATCH(C$6,BASE_PRODUTOS,0),0)</f>
        <v>9</v>
      </c>
      <c r="D7" s="159" t="n">
        <f aca="false">IFERROR(MATCH(D$6,BASE_PRODUTOS,0),0)</f>
        <v>13</v>
      </c>
      <c r="E7" s="159" t="n">
        <f aca="false">IFERROR(MATCH(E$6,BASE_PRODUTOS,0),0)</f>
        <v>23</v>
      </c>
      <c r="F7" s="159" t="n">
        <f aca="false">IFERROR(MATCH(F$6,BASE_PRODUTOS,0),0)</f>
        <v>22</v>
      </c>
      <c r="G7" s="159" t="n">
        <f aca="false">IFERROR(MATCH(G$6,BASE_PRODUTOS,0),0)</f>
        <v>14</v>
      </c>
    </row>
    <row r="8" customFormat="false" ht="12.75" hidden="false" customHeight="true" outlineLevel="0" collapsed="false">
      <c r="A8" s="158" t="s">
        <v>158</v>
      </c>
      <c r="B8" s="160" t="str">
        <f aca="false">IF($B$7=0,"",INDEX(Produtos!$N$9:$N$78,$B$7))</f>
        <v>RF_REGR</v>
      </c>
      <c r="C8" s="160" t="str">
        <f aca="false">IF($C$7=0,"",INDEX(Produtos!$N$9:$N$78,$C$7))</f>
        <v>RF_REGR</v>
      </c>
      <c r="D8" s="160" t="str">
        <f aca="false">IF($D$7=0,"",INDEX(Produtos!$N$9:$N$78,$D$7))</f>
        <v>FUNDO_LP</v>
      </c>
      <c r="E8" s="160" t="str">
        <f aca="false">IF($E$7=0,"",INDEX(Produtos!$N$9:$N$78,$E$7))</f>
        <v>PREV_REGR</v>
      </c>
      <c r="F8" s="160" t="str">
        <f aca="false">IF($F$7=0,"",INDEX(Produtos!$N$9:$N$78,$F$7))</f>
        <v>PREV_REGR</v>
      </c>
      <c r="G8" s="160" t="str">
        <f aca="false">IF($G$7=0,"",INDEX(Produtos!$N$9:$N$78,$G$7))</f>
        <v>FUNDO_LP</v>
      </c>
    </row>
    <row r="9" customFormat="false" ht="12.75" hidden="false" customHeight="true" outlineLevel="0" collapsed="false">
      <c r="A9" s="158" t="s">
        <v>365</v>
      </c>
      <c r="B9" s="159" t="n">
        <f aca="false">IF(OR($B$6="",$B$7=0,$B$8="IMOVEL"),0,1)</f>
        <v>1</v>
      </c>
      <c r="C9" s="159" t="n">
        <f aca="false">IF(OR($C$6="",$C$7=0,$C$8="IMOVEL"),0,1)</f>
        <v>1</v>
      </c>
      <c r="D9" s="159" t="n">
        <f aca="false">IF(OR($D$6="",$D$7=0,$D$8="IMOVEL"),0,1)</f>
        <v>1</v>
      </c>
      <c r="E9" s="159" t="n">
        <f aca="false">IF(OR($E$6="",$E$7=0,$E$8="IMOVEL"),0,1)</f>
        <v>1</v>
      </c>
      <c r="F9" s="159" t="n">
        <f aca="false">IF(OR($F$6="",$F$7=0,$F$8="IMOVEL"),0,1)</f>
        <v>1</v>
      </c>
      <c r="G9" s="159" t="n">
        <f aca="false">IF(OR($G$6="",$G$7=0,$G$8="IMOVEL"),0,1)</f>
        <v>1</v>
      </c>
    </row>
    <row r="10" customFormat="false" ht="12.75" hidden="false" customHeight="true" outlineLevel="0" collapsed="false">
      <c r="A10" s="158" t="s">
        <v>147</v>
      </c>
      <c r="B10" s="161" t="str">
        <f aca="false">IF($B$7=0,"",INDEX(Produtos!$C$9:$C$78,$B$7))</f>
        <v>Renda Fixa</v>
      </c>
      <c r="C10" s="161" t="str">
        <f aca="false">IF($C$7=0,"",INDEX(Produtos!$C$9:$C$78,$C$7))</f>
        <v>Renda Fixa</v>
      </c>
      <c r="D10" s="161" t="str">
        <f aca="false">IF($D$7=0,"",INDEX(Produtos!$C$9:$C$78,$D$7))</f>
        <v>Fundo</v>
      </c>
      <c r="E10" s="161" t="str">
        <f aca="false">IF($E$7=0,"",INDEX(Produtos!$C$9:$C$78,$E$7))</f>
        <v>Previdência</v>
      </c>
      <c r="F10" s="161" t="str">
        <f aca="false">IF($F$7=0,"",INDEX(Produtos!$C$9:$C$78,$F$7))</f>
        <v>Previdência</v>
      </c>
      <c r="G10" s="161" t="str">
        <f aca="false">IF($G$7=0,"",INDEX(Produtos!$C$9:$C$78,$G$7))</f>
        <v>Fundo</v>
      </c>
    </row>
    <row r="11" customFormat="false" ht="12.75" hidden="false" customHeight="true" outlineLevel="0" collapsed="false">
      <c r="A11" s="158" t="s">
        <v>366</v>
      </c>
      <c r="B11" s="161" t="str">
        <f aca="false">IF($B$7=0,"",INDEX(Produtos!$D$9:$D$78,$B$7))</f>
        <v>Tesouro Nacional</v>
      </c>
      <c r="C11" s="161" t="str">
        <f aca="false">IF($C$7=0,"",INDEX(Produtos!$D$9:$D$78,$C$7))</f>
        <v>Tesouro Nacional</v>
      </c>
      <c r="D11" s="161" t="str">
        <f aca="false">IF($D$7=0,"",INDEX(Produtos!$D$9:$D$78,$D$7))</f>
        <v>CAIXA Asset</v>
      </c>
      <c r="E11" s="161" t="str">
        <f aca="false">IF($E$7=0,"",INDEX(Produtos!$D$9:$D$78,$E$7))</f>
        <v>CAIXA Vida e Previdência</v>
      </c>
      <c r="F11" s="161" t="str">
        <f aca="false">IF($F$7=0,"",INDEX(Produtos!$D$9:$D$78,$F$7))</f>
        <v>CAIXA Vida e Previdência</v>
      </c>
      <c r="G11" s="161" t="str">
        <f aca="false">IF($G$7=0,"",INDEX(Produtos!$D$9:$D$78,$G$7))</f>
        <v>CAIXA Asset</v>
      </c>
    </row>
    <row r="12" customFormat="false" ht="12.75" hidden="false" customHeight="true" outlineLevel="0" collapsed="false">
      <c r="A12" s="158" t="s">
        <v>367</v>
      </c>
      <c r="B12" s="161" t="str">
        <f aca="false">IF($B$7=0,"",INDEX(Produtos!$E$9:$E$78,$B$7))</f>
        <v>PRE</v>
      </c>
      <c r="C12" s="161" t="str">
        <f aca="false">IF($C$7=0,"",INDEX(Produtos!$E$9:$E$78,$C$7))</f>
        <v>IPCA</v>
      </c>
      <c r="D12" s="161" t="str">
        <f aca="false">IF($D$7=0,"",INDEX(Produtos!$E$9:$E$78,$D$7))</f>
        <v>CDI</v>
      </c>
      <c r="E12" s="161" t="str">
        <f aca="false">IF($E$7=0,"",INDEX(Produtos!$E$9:$E$78,$E$7))</f>
        <v>CDI</v>
      </c>
      <c r="F12" s="161" t="str">
        <f aca="false">IF($F$7=0,"",INDEX(Produtos!$E$9:$E$78,$F$7))</f>
        <v>CDI</v>
      </c>
      <c r="G12" s="161" t="str">
        <f aca="false">IF($G$7=0,"",INDEX(Produtos!$E$9:$E$78,$G$7))</f>
        <v>IPCA</v>
      </c>
    </row>
    <row r="13" customFormat="false" ht="12.75" hidden="false" customHeight="true" outlineLevel="0" collapsed="false">
      <c r="A13" s="158" t="s">
        <v>368</v>
      </c>
      <c r="B13" s="162" t="n">
        <f aca="false">IF($B$7=0,0,IFERROR(INDEX(Produtos!$F$9:$F$78,$B$7),0))</f>
        <v>1</v>
      </c>
      <c r="C13" s="162" t="n">
        <f aca="false">IF($C$7=0,0,IFERROR(INDEX(Produtos!$F$9:$F$78,$C$7),0))</f>
        <v>1</v>
      </c>
      <c r="D13" s="162" t="n">
        <f aca="false">IF($D$7=0,0,IFERROR(INDEX(Produtos!$F$9:$F$78,$D$7),0))</f>
        <v>1.04</v>
      </c>
      <c r="E13" s="162" t="n">
        <f aca="false">IF($E$7=0,0,IFERROR(INDEX(Produtos!$F$9:$F$78,$E$7),0))</f>
        <v>1</v>
      </c>
      <c r="F13" s="162" t="n">
        <f aca="false">IF($F$7=0,0,IFERROR(INDEX(Produtos!$F$9:$F$78,$F$7),0))</f>
        <v>1</v>
      </c>
      <c r="G13" s="162" t="n">
        <f aca="false">IF($G$7=0,0,IFERROR(INDEX(Produtos!$F$9:$F$78,$G$7),0))</f>
        <v>1</v>
      </c>
    </row>
    <row r="14" customFormat="false" ht="12.75" hidden="false" customHeight="true" outlineLevel="0" collapsed="false">
      <c r="A14" s="158" t="s">
        <v>369</v>
      </c>
      <c r="B14" s="163" t="n">
        <f aca="false">IF($B$7=0,0,IFERROR(INDEX(Produtos!$G$9:$G$78,$B$7),0))</f>
        <v>0.12</v>
      </c>
      <c r="C14" s="163" t="n">
        <f aca="false">IF($C$7=0,0,IFERROR(INDEX(Produtos!$G$9:$G$78,$C$7),0))</f>
        <v>0.06</v>
      </c>
      <c r="D14" s="163" t="n">
        <f aca="false">IF($D$7=0,0,IFERROR(INDEX(Produtos!$G$9:$G$78,$D$7),0))</f>
        <v>0</v>
      </c>
      <c r="E14" s="163" t="n">
        <f aca="false">IF($E$7=0,0,IFERROR(INDEX(Produtos!$G$9:$G$78,$E$7),0))</f>
        <v>0.015</v>
      </c>
      <c r="F14" s="163" t="n">
        <f aca="false">IF($F$7=0,0,IFERROR(INDEX(Produtos!$G$9:$G$78,$F$7),0))</f>
        <v>0.015</v>
      </c>
      <c r="G14" s="163" t="n">
        <f aca="false">IF($G$7=0,0,IFERROR(INDEX(Produtos!$G$9:$G$78,$G$7),0))</f>
        <v>0.06</v>
      </c>
    </row>
    <row r="15" customFormat="false" ht="12.75" hidden="false" customHeight="true" outlineLevel="0" collapsed="false">
      <c r="A15" s="158" t="s">
        <v>370</v>
      </c>
      <c r="B15" s="161" t="str">
        <f aca="false">IF($B$7=0,"",INDEX(Produtos!$H$9:$H$78,$B$7))</f>
        <v>SOMA</v>
      </c>
      <c r="C15" s="161" t="str">
        <f aca="false">IF($C$7=0,"",INDEX(Produtos!$H$9:$H$78,$C$7))</f>
        <v>MULT</v>
      </c>
      <c r="D15" s="161" t="str">
        <f aca="false">IF($D$7=0,"",INDEX(Produtos!$H$9:$H$78,$D$7))</f>
        <v>SOMA</v>
      </c>
      <c r="E15" s="161" t="str">
        <f aca="false">IF($E$7=0,"",INDEX(Produtos!$H$9:$H$78,$E$7))</f>
        <v>SOMA</v>
      </c>
      <c r="F15" s="161" t="str">
        <f aca="false">IF($F$7=0,"",INDEX(Produtos!$H$9:$H$78,$F$7))</f>
        <v>SOMA</v>
      </c>
      <c r="G15" s="161" t="str">
        <f aca="false">IF($G$7=0,"",INDEX(Produtos!$H$9:$H$78,$G$7))</f>
        <v>MULT</v>
      </c>
    </row>
    <row r="16" customFormat="false" ht="12.75" hidden="false" customHeight="true" outlineLevel="0" collapsed="false">
      <c r="A16" s="158" t="s">
        <v>371</v>
      </c>
      <c r="B16" s="164" t="n">
        <f aca="false">IFERROR(INDEX(TAB_MACRO_VAL,MATCH($B$12,TAB_MACRO_COD,0)),0)</f>
        <v>0</v>
      </c>
      <c r="C16" s="164" t="n">
        <f aca="false">IFERROR(INDEX(TAB_MACRO_VAL,MATCH($C$12,TAB_MACRO_COD,0)),0)</f>
        <v>0.04</v>
      </c>
      <c r="D16" s="164" t="n">
        <f aca="false">IFERROR(INDEX(TAB_MACRO_VAL,MATCH($D$12,TAB_MACRO_COD,0)),0)</f>
        <v>0.109</v>
      </c>
      <c r="E16" s="164" t="n">
        <f aca="false">IFERROR(INDEX(TAB_MACRO_VAL,MATCH($E$12,TAB_MACRO_COD,0)),0)</f>
        <v>0.109</v>
      </c>
      <c r="F16" s="164" t="n">
        <f aca="false">IFERROR(INDEX(TAB_MACRO_VAL,MATCH($F$12,TAB_MACRO_COD,0)),0)</f>
        <v>0.109</v>
      </c>
      <c r="G16" s="164" t="n">
        <f aca="false">IFERROR(INDEX(TAB_MACRO_VAL,MATCH($G$12,TAB_MACRO_COD,0)),0)</f>
        <v>0.04</v>
      </c>
    </row>
    <row r="17" customFormat="false" ht="12.75" hidden="false" customHeight="true" outlineLevel="0" collapsed="false">
      <c r="A17" s="156" t="s">
        <v>372</v>
      </c>
      <c r="B17" s="165" t="n">
        <f aca="false">IF($B$9=0,0,IF($B$15="MULT",(1+$B$16*$B$13)*(1+$B$14)-1,$B$16*$B$13+$B$14))</f>
        <v>0.12</v>
      </c>
      <c r="C17" s="165" t="n">
        <f aca="false">IF($C$9=0,0,IF($C$15="MULT",(1+$C$16*$C$13)*(1+$C$14)-1,$C$16*$C$13+$C$14))</f>
        <v>0.1024</v>
      </c>
      <c r="D17" s="165" t="n">
        <f aca="false">IF($D$9=0,0,IF($D$15="MULT",(1+$D$16*$D$13)*(1+$D$14)-1,$D$16*$D$13+$D$14))</f>
        <v>0.11336</v>
      </c>
      <c r="E17" s="165" t="n">
        <f aca="false">IF($E$9=0,0,IF($E$15="MULT",(1+$E$16*$E$13)*(1+$E$14)-1,$E$16*$E$13+$E$14))</f>
        <v>0.124</v>
      </c>
      <c r="F17" s="165" t="n">
        <f aca="false">IF($F$9=0,0,IF($F$15="MULT",(1+$F$16*$F$13)*(1+$F$14)-1,$F$16*$F$13+$F$14))</f>
        <v>0.124</v>
      </c>
      <c r="G17" s="165" t="n">
        <f aca="false">IF($G$9=0,0,IF($G$15="MULT",(1+$G$16*$G$13)*(1+$G$14)-1,$G$16*$G$13+$G$14))</f>
        <v>0.1024</v>
      </c>
    </row>
    <row r="18" customFormat="false" ht="12.75" hidden="false" customHeight="true" outlineLevel="0" collapsed="false">
      <c r="A18" s="158" t="s">
        <v>373</v>
      </c>
      <c r="B18" s="164" t="n">
        <f aca="false">IF($B$16&lt;=-1,0,(1+$B$16)^(1/12)-1)</f>
        <v>0</v>
      </c>
      <c r="C18" s="164" t="n">
        <f aca="false">IF($C$16&lt;=-1,0,(1+$C$16)^(1/12)-1)</f>
        <v>0.00327373978219891</v>
      </c>
      <c r="D18" s="164" t="n">
        <f aca="false">IF($D$16&lt;=-1,0,(1+$D$16)^(1/12)-1)</f>
        <v>0.00865883170994386</v>
      </c>
      <c r="E18" s="164" t="n">
        <f aca="false">IF($E$16&lt;=-1,0,(1+$E$16)^(1/12)-1)</f>
        <v>0.00865883170994386</v>
      </c>
      <c r="F18" s="164" t="n">
        <f aca="false">IF($F$16&lt;=-1,0,(1+$F$16)^(1/12)-1)</f>
        <v>0.00865883170994386</v>
      </c>
      <c r="G18" s="164" t="n">
        <f aca="false">IF($G$16&lt;=-1,0,(1+$G$16)^(1/12)-1)</f>
        <v>0.00327373978219891</v>
      </c>
    </row>
    <row r="19" customFormat="false" ht="12.75" hidden="false" customHeight="true" outlineLevel="0" collapsed="false">
      <c r="A19" s="158" t="s">
        <v>374</v>
      </c>
      <c r="B19" s="164" t="n">
        <f aca="false">IF($B$17&lt;=-1,0,(1+$B$17)^(1/12)-1)</f>
        <v>0.00948879293458305</v>
      </c>
      <c r="C19" s="164" t="n">
        <f aca="false">IF($C$17&lt;=-1,0,(1+$C$17)^(1/12)-1)</f>
        <v>0.00815722544146946</v>
      </c>
      <c r="D19" s="164" t="n">
        <f aca="false">IF($D$17&lt;=-1,0,(1+$D$17)^(1/12)-1)</f>
        <v>0.00898869704954608</v>
      </c>
      <c r="E19" s="164" t="n">
        <f aca="false">IF($E$17&lt;=-1,0,(1+$E$17)^(1/12)-1)</f>
        <v>0.00978874535022944</v>
      </c>
      <c r="F19" s="164" t="n">
        <f aca="false">IF($F$17&lt;=-1,0,(1+$F$17)^(1/12)-1)</f>
        <v>0.00978874535022944</v>
      </c>
      <c r="G19" s="164" t="n">
        <f aca="false">IF($G$17&lt;=-1,0,(1+$G$17)^(1/12)-1)</f>
        <v>0.00815722544146946</v>
      </c>
    </row>
    <row r="20" customFormat="false" ht="12.75" hidden="false" customHeight="true" outlineLevel="0" collapsed="false">
      <c r="A20" s="158" t="s">
        <v>153</v>
      </c>
      <c r="B20" s="163" t="n">
        <f aca="false">IF($B$7=0,0,IFERROR(INDEX(Produtos!$I$9:$I$78,$B$7),0))</f>
        <v>0</v>
      </c>
      <c r="C20" s="163" t="n">
        <f aca="false">IF($C$7=0,0,IFERROR(INDEX(Produtos!$I$9:$I$78,$C$7),0))</f>
        <v>0</v>
      </c>
      <c r="D20" s="163" t="n">
        <f aca="false">IF($D$7=0,0,IFERROR(INDEX(Produtos!$I$9:$I$78,$D$7),0))</f>
        <v>0.01</v>
      </c>
      <c r="E20" s="163" t="n">
        <f aca="false">IF($E$7=0,0,IFERROR(INDEX(Produtos!$I$9:$I$78,$E$7),0))</f>
        <v>0.015</v>
      </c>
      <c r="F20" s="163" t="n">
        <f aca="false">IF($F$7=0,0,IFERROR(INDEX(Produtos!$I$9:$I$78,$F$7),0))</f>
        <v>0.015</v>
      </c>
      <c r="G20" s="163" t="n">
        <f aca="false">IF($G$7=0,0,IFERROR(INDEX(Produtos!$I$9:$I$78,$G$7),0))</f>
        <v>0.01</v>
      </c>
    </row>
    <row r="21" customFormat="false" ht="12.75" hidden="false" customHeight="true" outlineLevel="0" collapsed="false">
      <c r="A21" s="158" t="s">
        <v>154</v>
      </c>
      <c r="B21" s="163" t="n">
        <f aca="false">IF($B$7=0,0,IFERROR(INDEX(Produtos!$M$9:$M$78,$B$7),0))</f>
        <v>0.002</v>
      </c>
      <c r="C21" s="163" t="n">
        <f aca="false">IF($C$7=0,0,IFERROR(INDEX(Produtos!$M$9:$M$78,$C$7),0))</f>
        <v>0.002</v>
      </c>
      <c r="D21" s="163" t="n">
        <f aca="false">IF($D$7=0,0,IFERROR(INDEX(Produtos!$M$9:$M$78,$D$7),0))</f>
        <v>0</v>
      </c>
      <c r="E21" s="163" t="n">
        <f aca="false">IF($E$7=0,0,IFERROR(INDEX(Produtos!$M$9:$M$78,$E$7),0))</f>
        <v>0</v>
      </c>
      <c r="F21" s="163" t="n">
        <f aca="false">IF($F$7=0,0,IFERROR(INDEX(Produtos!$M$9:$M$78,$F$7),0))</f>
        <v>0</v>
      </c>
      <c r="G21" s="163" t="n">
        <f aca="false">IF($G$7=0,0,IFERROR(INDEX(Produtos!$M$9:$M$78,$G$7),0))</f>
        <v>0</v>
      </c>
    </row>
    <row r="22" customFormat="false" ht="12.75" hidden="false" customHeight="true" outlineLevel="0" collapsed="false">
      <c r="A22" s="158" t="s">
        <v>375</v>
      </c>
      <c r="B22" s="164" t="n">
        <f aca="false">($B$20+$B$21)/12</f>
        <v>0.000166666666666667</v>
      </c>
      <c r="C22" s="164" t="n">
        <f aca="false">($C$20+$C$21)/12</f>
        <v>0.000166666666666667</v>
      </c>
      <c r="D22" s="164" t="n">
        <f aca="false">($D$20+$D$21)/12</f>
        <v>0.000833333333333333</v>
      </c>
      <c r="E22" s="164" t="n">
        <f aca="false">($E$20+$E$21)/12</f>
        <v>0.00125</v>
      </c>
      <c r="F22" s="164" t="n">
        <f aca="false">($F$20+$F$21)/12</f>
        <v>0.00125</v>
      </c>
      <c r="G22" s="164" t="n">
        <f aca="false">($G$20+$G$21)/12</f>
        <v>0.000833333333333333</v>
      </c>
    </row>
    <row r="23" customFormat="false" ht="12.75" hidden="false" customHeight="true" outlineLevel="0" collapsed="false">
      <c r="A23" s="158" t="s">
        <v>155</v>
      </c>
      <c r="B23" s="162" t="n">
        <f aca="false">IF($B$7=0,0,IFERROR(INDEX(Produtos!$J$9:$J$78,$B$7),0))</f>
        <v>0</v>
      </c>
      <c r="C23" s="162" t="n">
        <f aca="false">IF($C$7=0,0,IFERROR(INDEX(Produtos!$J$9:$J$78,$C$7),0))</f>
        <v>0</v>
      </c>
      <c r="D23" s="162" t="n">
        <f aca="false">IF($D$7=0,0,IFERROR(INDEX(Produtos!$J$9:$J$78,$D$7),0))</f>
        <v>0</v>
      </c>
      <c r="E23" s="162" t="n">
        <f aca="false">IF($E$7=0,0,IFERROR(INDEX(Produtos!$J$9:$J$78,$E$7),0))</f>
        <v>0</v>
      </c>
      <c r="F23" s="162" t="n">
        <f aca="false">IF($F$7=0,0,IFERROR(INDEX(Produtos!$J$9:$J$78,$F$7),0))</f>
        <v>0</v>
      </c>
      <c r="G23" s="162" t="n">
        <f aca="false">IF($G$7=0,0,IFERROR(INDEX(Produtos!$J$9:$J$78,$G$7),0))</f>
        <v>0</v>
      </c>
    </row>
    <row r="24" customFormat="false" ht="12.75" hidden="false" customHeight="true" outlineLevel="0" collapsed="false">
      <c r="A24" s="158" t="s">
        <v>376</v>
      </c>
      <c r="B24" s="163" t="n">
        <f aca="false">IF($B$7=0,0,IFERROR(INDEX(Produtos!$K$9:$K$78,$B$7),0))</f>
        <v>0</v>
      </c>
      <c r="C24" s="163" t="n">
        <f aca="false">IF($C$7=0,0,IFERROR(INDEX(Produtos!$K$9:$K$78,$C$7),0))</f>
        <v>0</v>
      </c>
      <c r="D24" s="163" t="n">
        <f aca="false">IF($D$7=0,0,IFERROR(INDEX(Produtos!$K$9:$K$78,$D$7),0))</f>
        <v>0</v>
      </c>
      <c r="E24" s="163" t="n">
        <f aca="false">IF($E$7=0,0,IFERROR(INDEX(Produtos!$K$9:$K$78,$E$7),0))</f>
        <v>0</v>
      </c>
      <c r="F24" s="163" t="n">
        <f aca="false">IF($F$7=0,0,IFERROR(INDEX(Produtos!$K$9:$K$78,$F$7),0))</f>
        <v>0</v>
      </c>
      <c r="G24" s="163" t="n">
        <f aca="false">IF($G$7=0,0,IFERROR(INDEX(Produtos!$K$9:$K$78,$G$7),0))</f>
        <v>0</v>
      </c>
    </row>
    <row r="25" customFormat="false" ht="12.75" hidden="false" customHeight="true" outlineLevel="0" collapsed="false">
      <c r="A25" s="158" t="s">
        <v>377</v>
      </c>
      <c r="B25" s="163" t="n">
        <f aca="false">IF($B$7=0,0,IFERROR(INDEX(Produtos!$L$9:$L$78,$B$7),0))</f>
        <v>0</v>
      </c>
      <c r="C25" s="163" t="n">
        <f aca="false">IF($C$7=0,0,IFERROR(INDEX(Produtos!$L$9:$L$78,$C$7),0))</f>
        <v>0</v>
      </c>
      <c r="D25" s="163" t="n">
        <f aca="false">IF($D$7=0,0,IFERROR(INDEX(Produtos!$L$9:$L$78,$D$7),0))</f>
        <v>0</v>
      </c>
      <c r="E25" s="163" t="n">
        <f aca="false">IF($E$7=0,0,IFERROR(INDEX(Produtos!$L$9:$L$78,$E$7),0))</f>
        <v>0</v>
      </c>
      <c r="F25" s="163" t="n">
        <f aca="false">IF($F$7=0,0,IFERROR(INDEX(Produtos!$L$9:$L$78,$F$7),0))</f>
        <v>0</v>
      </c>
      <c r="G25" s="163" t="n">
        <f aca="false">IF($G$7=0,0,IFERROR(INDEX(Produtos!$L$9:$L$78,$G$7),0))</f>
        <v>0</v>
      </c>
    </row>
    <row r="26" customFormat="false" ht="12.75" hidden="false" customHeight="true" outlineLevel="0" collapsed="false">
      <c r="A26" s="158" t="s">
        <v>378</v>
      </c>
      <c r="B26" s="166" t="n">
        <f aca="false">IF($B$7=0,0,IFERROR(INDEX(Produtos!$O$9:$O$78,$B$7),0))</f>
        <v>1</v>
      </c>
      <c r="C26" s="166" t="n">
        <f aca="false">IF($C$7=0,0,IFERROR(INDEX(Produtos!$O$9:$O$78,$C$7),0))</f>
        <v>1</v>
      </c>
      <c r="D26" s="166" t="n">
        <f aca="false">IF($D$7=0,0,IFERROR(INDEX(Produtos!$O$9:$O$78,$D$7),0))</f>
        <v>1</v>
      </c>
      <c r="E26" s="166" t="n">
        <f aca="false">IF($E$7=0,0,IFERROR(INDEX(Produtos!$O$9:$O$78,$E$7),0))</f>
        <v>1</v>
      </c>
      <c r="F26" s="166" t="n">
        <f aca="false">IF($F$7=0,0,IFERROR(INDEX(Produtos!$O$9:$O$78,$F$7),0))</f>
        <v>2</v>
      </c>
      <c r="G26" s="166" t="n">
        <f aca="false">IF($G$7=0,0,IFERROR(INDEX(Produtos!$O$9:$O$78,$G$7),0))</f>
        <v>1</v>
      </c>
    </row>
    <row r="27" customFormat="false" ht="12.75" hidden="false" customHeight="true" outlineLevel="0" collapsed="false">
      <c r="A27" s="158" t="s">
        <v>379</v>
      </c>
      <c r="B27" s="159" t="n">
        <f aca="false">IFERROR(INDEX(Premissas!$B$34:$B$40,MATCH($B$8,Premissas!$A$34:$A$40,0)),0)</f>
        <v>0</v>
      </c>
      <c r="C27" s="159" t="n">
        <f aca="false">IFERROR(INDEX(Premissas!$B$34:$B$40,MATCH($C$8,Premissas!$A$34:$A$40,0)),0)</f>
        <v>0</v>
      </c>
      <c r="D27" s="159" t="n">
        <f aca="false">IFERROR(INDEX(Premissas!$B$34:$B$40,MATCH($D$8,Premissas!$A$34:$A$40,0)),0)</f>
        <v>1</v>
      </c>
      <c r="E27" s="159" t="n">
        <f aca="false">IFERROR(INDEX(Premissas!$B$34:$B$40,MATCH($E$8,Premissas!$A$34:$A$40,0)),0)</f>
        <v>0</v>
      </c>
      <c r="F27" s="159" t="n">
        <f aca="false">IFERROR(INDEX(Premissas!$B$34:$B$40,MATCH($F$8,Premissas!$A$34:$A$40,0)),0)</f>
        <v>0</v>
      </c>
      <c r="G27" s="159" t="n">
        <f aca="false">IFERROR(INDEX(Premissas!$B$34:$B$40,MATCH($G$8,Premissas!$A$34:$A$40,0)),0)</f>
        <v>1</v>
      </c>
    </row>
    <row r="28" customFormat="false" ht="12.75" hidden="false" customHeight="true" outlineLevel="0" collapsed="false">
      <c r="A28" s="158" t="s">
        <v>380</v>
      </c>
      <c r="B28" s="167" t="n">
        <f aca="false">IFERROR(INDEX(Premissas!$C$34:$C$40,MATCH($B$8,Premissas!$A$34:$A$40,0)),0)</f>
        <v>0</v>
      </c>
      <c r="C28" s="167" t="n">
        <f aca="false">IFERROR(INDEX(Premissas!$C$34:$C$40,MATCH($C$8,Premissas!$A$34:$A$40,0)),0)</f>
        <v>0</v>
      </c>
      <c r="D28" s="167" t="n">
        <f aca="false">IFERROR(INDEX(Premissas!$C$34:$C$40,MATCH($D$8,Premissas!$A$34:$A$40,0)),0)</f>
        <v>0.15</v>
      </c>
      <c r="E28" s="167" t="n">
        <f aca="false">IFERROR(INDEX(Premissas!$C$34:$C$40,MATCH($E$8,Premissas!$A$34:$A$40,0)),0)</f>
        <v>0</v>
      </c>
      <c r="F28" s="167" t="n">
        <f aca="false">IFERROR(INDEX(Premissas!$C$34:$C$40,MATCH($F$8,Premissas!$A$34:$A$40,0)),0)</f>
        <v>0</v>
      </c>
      <c r="G28" s="167" t="n">
        <f aca="false">IFERROR(INDEX(Premissas!$C$34:$C$40,MATCH($G$8,Premissas!$A$34:$A$40,0)),0)</f>
        <v>0.15</v>
      </c>
    </row>
    <row r="29" customFormat="false" ht="12.75" hidden="false" customHeight="true" outlineLevel="0" collapsed="false">
      <c r="A29" s="158" t="s">
        <v>160</v>
      </c>
      <c r="B29" s="166" t="n">
        <f aca="false">IF($B$7=0,0,IFERROR(INDEX(Produtos!$P$9:$P$78,$B$7),0))</f>
        <v>0</v>
      </c>
      <c r="C29" s="166" t="n">
        <f aca="false">IF($C$7=0,0,IFERROR(INDEX(Produtos!$P$9:$P$78,$C$7),0))</f>
        <v>0</v>
      </c>
      <c r="D29" s="166" t="n">
        <f aca="false">IF($D$7=0,0,IFERROR(INDEX(Produtos!$P$9:$P$78,$D$7),0))</f>
        <v>0</v>
      </c>
      <c r="E29" s="166" t="n">
        <f aca="false">IF($E$7=0,0,IFERROR(INDEX(Produtos!$P$9:$P$78,$E$7),0))</f>
        <v>0</v>
      </c>
      <c r="F29" s="166" t="n">
        <f aca="false">IF($F$7=0,0,IFERROR(INDEX(Produtos!$P$9:$P$78,$F$7),0))</f>
        <v>0</v>
      </c>
      <c r="G29" s="166" t="n">
        <f aca="false">IF($G$7=0,0,IFERROR(INDEX(Produtos!$P$9:$P$78,$G$7),0))</f>
        <v>0</v>
      </c>
    </row>
    <row r="30" customFormat="false" ht="12.75" hidden="false" customHeight="true" outlineLevel="0" collapsed="false">
      <c r="A30" s="158" t="s">
        <v>320</v>
      </c>
      <c r="B30" s="166" t="n">
        <f aca="false">IF($B$7=0,0,IFERROR(INDEX(Produtos!$Q$9:$Q$78,$B$7),0))</f>
        <v>1</v>
      </c>
      <c r="C30" s="166" t="n">
        <f aca="false">IF($C$7=0,0,IFERROR(INDEX(Produtos!$Q$9:$Q$78,$C$7),0))</f>
        <v>1</v>
      </c>
      <c r="D30" s="166" t="n">
        <f aca="false">IF($D$7=0,0,IFERROR(INDEX(Produtos!$Q$9:$Q$78,$D$7),0))</f>
        <v>30</v>
      </c>
      <c r="E30" s="166" t="n">
        <f aca="false">IF($E$7=0,0,IFERROR(INDEX(Produtos!$Q$9:$Q$78,$E$7),0))</f>
        <v>5</v>
      </c>
      <c r="F30" s="166" t="n">
        <f aca="false">IF($F$7=0,0,IFERROR(INDEX(Produtos!$Q$9:$Q$78,$F$7),0))</f>
        <v>5</v>
      </c>
      <c r="G30" s="166" t="n">
        <f aca="false">IF($G$7=0,0,IFERROR(INDEX(Produtos!$Q$9:$Q$78,$G$7),0))</f>
        <v>5</v>
      </c>
    </row>
    <row r="31" customFormat="false" ht="12.75" hidden="false" customHeight="true" outlineLevel="0" collapsed="false">
      <c r="A31" s="158" t="s">
        <v>162</v>
      </c>
      <c r="B31" s="168" t="n">
        <f aca="false">IF($B$7=0,0,IFERROR(INDEX(Produtos!$R$9:$R$78,$B$7),0))</f>
        <v>100</v>
      </c>
      <c r="C31" s="168" t="n">
        <f aca="false">IF($C$7=0,0,IFERROR(INDEX(Produtos!$R$9:$R$78,$C$7),0))</f>
        <v>100</v>
      </c>
      <c r="D31" s="168" t="n">
        <f aca="false">IF($D$7=0,0,IFERROR(INDEX(Produtos!$R$9:$R$78,$D$7),0))</f>
        <v>5000</v>
      </c>
      <c r="E31" s="168" t="n">
        <f aca="false">IF($E$7=0,0,IFERROR(INDEX(Produtos!$R$9:$R$78,$E$7),0))</f>
        <v>5000</v>
      </c>
      <c r="F31" s="168" t="n">
        <f aca="false">IF($F$7=0,0,IFERROR(INDEX(Produtos!$R$9:$R$78,$F$7),0))</f>
        <v>5000</v>
      </c>
      <c r="G31" s="168" t="n">
        <f aca="false">IF($G$7=0,0,IFERROR(INDEX(Produtos!$R$9:$R$78,$G$7),0))</f>
        <v>5000</v>
      </c>
    </row>
    <row r="32" customFormat="false" ht="12.75" hidden="false" customHeight="true" outlineLevel="0" collapsed="false">
      <c r="A32" s="158" t="s">
        <v>163</v>
      </c>
      <c r="B32" s="166" t="n">
        <f aca="false">IF($B$7=0,0,IFERROR(INDEX(Produtos!$T$9:$T$78,$B$7),0))</f>
        <v>2</v>
      </c>
      <c r="C32" s="166" t="n">
        <f aca="false">IF($C$7=0,0,IFERROR(INDEX(Produtos!$T$9:$T$78,$C$7),0))</f>
        <v>2</v>
      </c>
      <c r="D32" s="166" t="n">
        <f aca="false">IF($D$7=0,0,IFERROR(INDEX(Produtos!$T$9:$T$78,$D$7),0))</f>
        <v>2</v>
      </c>
      <c r="E32" s="166" t="n">
        <f aca="false">IF($E$7=0,0,IFERROR(INDEX(Produtos!$T$9:$T$78,$E$7),0))</f>
        <v>3</v>
      </c>
      <c r="F32" s="166" t="n">
        <f aca="false">IF($F$7=0,0,IFERROR(INDEX(Produtos!$T$9:$T$78,$F$7),0))</f>
        <v>3</v>
      </c>
      <c r="G32" s="166" t="n">
        <f aca="false">IF($G$7=0,0,IFERROR(INDEX(Produtos!$T$9:$T$78,$G$7),0))</f>
        <v>3</v>
      </c>
    </row>
    <row r="33" customFormat="false" ht="12.75" hidden="false" customHeight="true" outlineLevel="0" collapsed="false">
      <c r="A33" s="158" t="s">
        <v>164</v>
      </c>
      <c r="B33" s="163" t="n">
        <f aca="false">IF($B$7=0,0,IFERROR(INDEX(Produtos!$U$9:$U$78,$B$7),0))</f>
        <v>0.06</v>
      </c>
      <c r="C33" s="163" t="n">
        <f aca="false">IF($C$7=0,0,IFERROR(INDEX(Produtos!$U$9:$U$78,$C$7),0))</f>
        <v>0.08</v>
      </c>
      <c r="D33" s="163" t="n">
        <f aca="false">IF($D$7=0,0,IFERROR(INDEX(Produtos!$U$9:$U$78,$D$7),0))</f>
        <v>0.01</v>
      </c>
      <c r="E33" s="163" t="n">
        <f aca="false">IF($E$7=0,0,IFERROR(INDEX(Produtos!$U$9:$U$78,$E$7),0))</f>
        <v>0.06</v>
      </c>
      <c r="F33" s="163" t="n">
        <f aca="false">IF($F$7=0,0,IFERROR(INDEX(Produtos!$U$9:$U$78,$F$7),0))</f>
        <v>0.06</v>
      </c>
      <c r="G33" s="163" t="n">
        <f aca="false">IF($G$7=0,0,IFERROR(INDEX(Produtos!$U$9:$U$78,$G$7),0))</f>
        <v>0.08</v>
      </c>
    </row>
    <row r="34" customFormat="false" ht="12.75" hidden="false" customHeight="true" outlineLevel="0" collapsed="false">
      <c r="A34" s="158" t="s">
        <v>165</v>
      </c>
      <c r="B34" s="161" t="str">
        <f aca="false">IF($B$7=0,"",INDEX(Produtos!$V$9:$V$78,$B$7))</f>
        <v>Tesouro Nacional</v>
      </c>
      <c r="C34" s="161" t="str">
        <f aca="false">IF($C$7=0,"",INDEX(Produtos!$V$9:$V$78,$C$7))</f>
        <v>Tesouro Nacional</v>
      </c>
      <c r="D34" s="161" t="str">
        <f aca="false">IF($D$7=0,"",INDEX(Produtos!$V$9:$V$78,$D$7))</f>
        <v>Sem garantia do FGC</v>
      </c>
      <c r="E34" s="161" t="str">
        <f aca="false">IF($E$7=0,"",INDEX(Produtos!$V$9:$V$78,$E$7))</f>
        <v>Seguradora (sem FGC)</v>
      </c>
      <c r="F34" s="161" t="str">
        <f aca="false">IF($F$7=0,"",INDEX(Produtos!$V$9:$V$78,$F$7))</f>
        <v>Seguradora (sem FGC)</v>
      </c>
      <c r="G34" s="161" t="str">
        <f aca="false">IF($G$7=0,"",INDEX(Produtos!$V$9:$V$78,$G$7))</f>
        <v>Sem garantia do FGC</v>
      </c>
    </row>
    <row r="35" customFormat="false" ht="12.75" hidden="false" customHeight="true" outlineLevel="0" collapsed="false">
      <c r="A35" s="158" t="s">
        <v>381</v>
      </c>
      <c r="B35" s="159" t="n">
        <f aca="false">IF($B$26=2,1,0)</f>
        <v>0</v>
      </c>
      <c r="C35" s="159" t="n">
        <f aca="false">IF($C$26=2,1,0)</f>
        <v>0</v>
      </c>
      <c r="D35" s="159" t="n">
        <f aca="false">IF($D$26=2,1,0)</f>
        <v>0</v>
      </c>
      <c r="E35" s="159" t="n">
        <f aca="false">IF($E$26=2,1,0)</f>
        <v>0</v>
      </c>
      <c r="F35" s="159" t="n">
        <f aca="false">IF($F$26=2,1,0)</f>
        <v>1</v>
      </c>
      <c r="G35" s="159" t="n">
        <f aca="false">IF($G$26=2,1,0)</f>
        <v>0</v>
      </c>
    </row>
    <row r="36" customFormat="false" ht="12.75" hidden="false" customHeight="true" outlineLevel="0" collapsed="false">
      <c r="A36" s="156" t="s">
        <v>157</v>
      </c>
      <c r="B36" s="165" t="n">
        <f aca="false">IF($B$9=0,0,(1+$B$19-$B$22)^12-1)</f>
        <v>0.117783068913864</v>
      </c>
      <c r="C36" s="165" t="n">
        <f aca="false">IF($C$9=0,0,(1+$C$19-$C$22)^12-1)</f>
        <v>0.100215026927393</v>
      </c>
      <c r="D36" s="165" t="n">
        <f aca="false">IF($D$9=0,0,(1+$D$19-$D$22)^12-1)</f>
        <v>0.102375571130857</v>
      </c>
      <c r="E36" s="165" t="n">
        <f aca="false">IF($E$9=0,0,(1+$E$19-$E$22)^12-1)</f>
        <v>0.107416646749236</v>
      </c>
      <c r="F36" s="165" t="n">
        <f aca="false">IF($F$9=0,0,(1+$F$19-$F$22)^12-1)</f>
        <v>0.107416646749236</v>
      </c>
      <c r="G36" s="165" t="n">
        <f aca="false">IF($G$9=0,0,(1+$G$19-$G$22)^12-1)</f>
        <v>0.0915147732592994</v>
      </c>
    </row>
    <row r="37" customFormat="false" ht="21.75" hidden="false" customHeight="true" outlineLevel="0" collapsed="false">
      <c r="A37" s="3" t="s">
        <v>382</v>
      </c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false" outlineLevel="0" collapsed="false">
      <c r="A38" s="169" t="s">
        <v>383</v>
      </c>
      <c r="B38" s="170" t="s">
        <v>357</v>
      </c>
      <c r="C38" s="170" t="s">
        <v>358</v>
      </c>
      <c r="D38" s="170" t="s">
        <v>359</v>
      </c>
      <c r="E38" s="170" t="s">
        <v>360</v>
      </c>
      <c r="F38" s="170" t="s">
        <v>361</v>
      </c>
      <c r="G38" s="170" t="s">
        <v>362</v>
      </c>
    </row>
    <row r="39" customFormat="false" ht="12.75" hidden="false" customHeight="true" outlineLevel="0" collapsed="false">
      <c r="A39" s="158" t="s">
        <v>384</v>
      </c>
      <c r="B39" s="128" t="n">
        <f aca="false">IF($B$9=0,0,INDEX($M$61:$M$301,IN_PRAZO+1))</f>
        <v>456737.351985381</v>
      </c>
      <c r="C39" s="128" t="n">
        <f aca="false">IF($C$9=0,0,INDEX($AB$61:$AB$301,IN_PRAZO+1))</f>
        <v>389822.571741729</v>
      </c>
      <c r="D39" s="128" t="n">
        <f aca="false">IF($D$9=0,0,INDEX($AQ$61:$AQ$301,IN_PRAZO+1))</f>
        <v>345725.634350648</v>
      </c>
      <c r="E39" s="128" t="n">
        <f aca="false">IF($E$9=0,0,INDEX($BF$61:$BF$301,IN_PRAZO+1))</f>
        <v>416103.850551526</v>
      </c>
      <c r="F39" s="128" t="n">
        <f aca="false">IF($F$9=0,0,INDEX($BU$61:$BU$301,IN_PRAZO+1))</f>
        <v>416103.850551526</v>
      </c>
      <c r="G39" s="128" t="n">
        <f aca="false">IF($G$9=0,0,INDEX($CJ$61:$CJ$301,IN_PRAZO+1))</f>
        <v>317526.855253811</v>
      </c>
    </row>
    <row r="40" customFormat="false" ht="12.75" hidden="false" customHeight="true" outlineLevel="0" collapsed="false">
      <c r="A40" s="156" t="s">
        <v>169</v>
      </c>
      <c r="B40" s="171" t="n">
        <f aca="false">IF($B$9=0,0,INDEX($R$61:$R$301,IN_PRAZO+1))</f>
        <v>410726.749187574</v>
      </c>
      <c r="C40" s="171" t="n">
        <f aca="false">IF($C$9=0,0,INDEX($AG$61:$AG$301,IN_PRAZO+1))</f>
        <v>353849.18598047</v>
      </c>
      <c r="D40" s="171" t="n">
        <f aca="false">IF($D$9=0,0,INDEX($AV$61:$AV$301,IN_PRAZO+1))</f>
        <v>344477.26800885</v>
      </c>
      <c r="E40" s="171" t="n">
        <f aca="false">IF($E$9=0,0,INDEX($BK$61:$BK$301,IN_PRAZO+1))</f>
        <v>376188.272968797</v>
      </c>
      <c r="F40" s="171" t="n">
        <f aca="false">IF($F$9=0,0,INDEX($BZ$61:$BZ$301,IN_PRAZO+1))</f>
        <v>353688.272968797</v>
      </c>
      <c r="G40" s="171" t="n">
        <f aca="false">IF($G$9=0,0,INDEX($CO$61:$CO$301,IN_PRAZO+1))</f>
        <v>316495.509338824</v>
      </c>
    </row>
    <row r="41" customFormat="false" ht="12.75" hidden="false" customHeight="true" outlineLevel="0" collapsed="false">
      <c r="A41" s="158" t="s">
        <v>385</v>
      </c>
      <c r="B41" s="128" t="n">
        <f aca="false">IF($B$9=0,0,INDEX($R$61:$R$301,INT(IN_PRAZO/2)+1))</f>
        <v>244983.506178358</v>
      </c>
      <c r="C41" s="128" t="n">
        <f aca="false">IF($C$9=0,0,INDEX($AG$61:$AG$301,INT(IN_PRAZO/2)+1))</f>
        <v>228040.801819273</v>
      </c>
      <c r="D41" s="128" t="n">
        <f aca="false">IF($D$9=0,0,INDEX($AV$61:$AV$301,INT(IN_PRAZO/2)+1))</f>
        <v>227305.400461987</v>
      </c>
      <c r="E41" s="128" t="n">
        <f aca="false">IF($E$9=0,0,INDEX($BK$61:$BK$301,INT(IN_PRAZO/2)+1))</f>
        <v>224873.323582321</v>
      </c>
      <c r="F41" s="128" t="n">
        <f aca="false">IF($F$9=0,0,INDEX($BZ$61:$BZ$301,INT(IN_PRAZO/2)+1))</f>
        <v>187373.323582321</v>
      </c>
      <c r="G41" s="128" t="n">
        <f aca="false">IF($G$9=0,0,INDEX($CO$61:$CO$301,INT(IN_PRAZO/2)+1))</f>
        <v>217879.484813681</v>
      </c>
    </row>
    <row r="42" customFormat="false" ht="12.75" hidden="false" customHeight="true" outlineLevel="0" collapsed="false">
      <c r="A42" s="158" t="s">
        <v>386</v>
      </c>
      <c r="B42" s="128" t="n">
        <f aca="false">IF($B$9=0,0,INDEX($S$61:$S$301,IN_PRAZO+1))</f>
        <v>277472.274929425</v>
      </c>
      <c r="C42" s="128" t="n">
        <f aca="false">IF($C$9=0,0,INDEX($AH$61:$AH$301,IN_PRAZO+1))</f>
        <v>239047.831216581</v>
      </c>
      <c r="D42" s="128" t="n">
        <f aca="false">IF($D$9=0,0,INDEX($AW$61:$AW$301,IN_PRAZO+1))</f>
        <v>232716.499241781</v>
      </c>
      <c r="E42" s="128" t="n">
        <f aca="false">IF($E$9=0,0,INDEX($BL$61:$BL$301,IN_PRAZO+1))</f>
        <v>254139.317950178</v>
      </c>
      <c r="F42" s="128" t="n">
        <f aca="false">IF($F$9=0,0,INDEX($CA$61:$CA$301,IN_PRAZO+1))</f>
        <v>238939.124151598</v>
      </c>
      <c r="G42" s="128" t="n">
        <f aca="false">IF($G$9=0,0,INDEX($CP$61:$CP$301,IN_PRAZO+1))</f>
        <v>213813.02570358</v>
      </c>
    </row>
    <row r="43" customFormat="false" ht="12.75" hidden="false" customHeight="true" outlineLevel="0" collapsed="false">
      <c r="A43" s="158" t="s">
        <v>387</v>
      </c>
      <c r="B43" s="128" t="n">
        <f aca="false">IF($B$9=0,0,SUMIF($A$61:$A$301,"&lt;="&amp;IN_PRAZO,$G$61:$G$301))</f>
        <v>150000</v>
      </c>
      <c r="C43" s="128" t="n">
        <f aca="false">IF($C$9=0,0,SUMIF($A$61:$A$301,"&lt;="&amp;IN_PRAZO,$V$61:$V$301))</f>
        <v>150000</v>
      </c>
      <c r="D43" s="128" t="n">
        <f aca="false">IF($D$9=0,0,SUMIF($A$61:$A$301,"&lt;="&amp;IN_PRAZO,$AK$61:$AK$301))</f>
        <v>150000</v>
      </c>
      <c r="E43" s="128" t="n">
        <f aca="false">IF($E$9=0,0,SUMIF($A$61:$A$301,"&lt;="&amp;IN_PRAZO,$AZ$61:$AZ$301))</f>
        <v>150000</v>
      </c>
      <c r="F43" s="128" t="n">
        <f aca="false">IF($F$9=0,0,SUMIF($A$61:$A$301,"&lt;="&amp;IN_PRAZO,$BO$61:$BO$301))</f>
        <v>150000</v>
      </c>
      <c r="G43" s="128" t="n">
        <f aca="false">IF($G$9=0,0,SUMIF($A$61:$A$301,"&lt;="&amp;IN_PRAZO,$CD$61:$CD$301))</f>
        <v>150000</v>
      </c>
    </row>
    <row r="44" customFormat="false" ht="12.75" hidden="false" customHeight="true" outlineLevel="0" collapsed="false">
      <c r="A44" s="158" t="s">
        <v>95</v>
      </c>
      <c r="B44" s="128" t="n">
        <f aca="false">$B$40-$B$43</f>
        <v>260726.749187574</v>
      </c>
      <c r="C44" s="128" t="n">
        <f aca="false">$C$40-$C$43</f>
        <v>203849.18598047</v>
      </c>
      <c r="D44" s="128" t="n">
        <f aca="false">$D$40-$D$43</f>
        <v>194477.26800885</v>
      </c>
      <c r="E44" s="128" t="n">
        <f aca="false">$E$40-$E$43</f>
        <v>226188.272968797</v>
      </c>
      <c r="F44" s="128" t="n">
        <f aca="false">$F$40-$F$43</f>
        <v>203688.272968797</v>
      </c>
      <c r="G44" s="128" t="n">
        <f aca="false">$G$40-$G$43</f>
        <v>166495.509338824</v>
      </c>
    </row>
    <row r="45" customFormat="false" ht="12.75" hidden="false" customHeight="true" outlineLevel="0" collapsed="false">
      <c r="A45" s="158" t="s">
        <v>388</v>
      </c>
      <c r="B45" s="128" t="n">
        <f aca="false">IF($B$9=0,0,SUMIF($A$61:$A$301,"&lt;="&amp;IN_PRAZO,$L$61:$L$301)+INDEX($Q$61:$Q$301,IN_PRAZO+1))</f>
        <v>46010.6027978071</v>
      </c>
      <c r="C45" s="128" t="n">
        <f aca="false">IF($C$9=0,0,SUMIF($A$61:$A$301,"&lt;="&amp;IN_PRAZO,$AA$61:$AA$301)+INDEX($AF$61:$AF$301,IN_PRAZO+1))</f>
        <v>35973.3857612593</v>
      </c>
      <c r="D45" s="128" t="n">
        <f aca="false">IF($D$9=0,0,SUMIF($A$61:$A$301,"&lt;="&amp;IN_PRAZO,$AP$61:$AP$301)+INDEX($AU$61:$AU$301,IN_PRAZO+1))</f>
        <v>34319.5178839147</v>
      </c>
      <c r="E45" s="128" t="n">
        <f aca="false">IF($E$9=0,0,SUMIF($A$61:$A$301,"&lt;="&amp;IN_PRAZO,$BE$61:$BE$301)+INDEX($BJ$61:$BJ$301,IN_PRAZO+1))</f>
        <v>39915.577582729</v>
      </c>
      <c r="F45" s="128" t="n">
        <f aca="false">IF($F$9=0,0,SUMIF($A$61:$A$301,"&lt;="&amp;IN_PRAZO,$BT$61:$BT$301)+INDEX($BY$61:$BY$301,IN_PRAZO+1))</f>
        <v>62415.577582729</v>
      </c>
      <c r="G45" s="128" t="n">
        <f aca="false">IF($G$9=0,0,SUMIF($A$61:$A$301,"&lt;="&amp;IN_PRAZO,$CI$61:$CI$301)+INDEX($CN$61:$CN$301,IN_PRAZO+1))</f>
        <v>29381.5604715571</v>
      </c>
    </row>
    <row r="46" customFormat="false" ht="12.75" hidden="false" customHeight="true" outlineLevel="0" collapsed="false">
      <c r="A46" s="158" t="s">
        <v>389</v>
      </c>
      <c r="B46" s="128" t="n">
        <f aca="false">IF($B$9=0,0,SUMIF($A$61:$A$301,"&lt;="&amp;IN_PRAZO,$H$61:$H$301)+SUMIF($A$61:$A$301,"&lt;="&amp;IN_PRAZO,$J$61:$J$301)+SUMIF($A$61:$A$301,"&lt;="&amp;IN_PRAZO,$K$61:$K$301)+INDEX($M$61:$M$301,IN_PRAZO+1)*$B$25)</f>
        <v>5484.03771074322</v>
      </c>
      <c r="C46" s="128" t="n">
        <f aca="false">IF($C$9=0,0,SUMIF($A$61:$A$301,"&lt;="&amp;IN_PRAZO,$W$61:$W$301)+SUMIF($A$61:$A$301,"&lt;="&amp;IN_PRAZO,$Y$61:$Y$301)+SUMIF($A$61:$A$301,"&lt;="&amp;IN_PRAZO,$Z$61:$Z$301)+INDEX($AB$61:$AB$301,IN_PRAZO+1)*$C$25)</f>
        <v>5002.20694823784</v>
      </c>
      <c r="D46" s="128" t="n">
        <f aca="false">IF($D$9=0,0,SUMIF($A$61:$A$301,"&lt;="&amp;IN_PRAZO,$AL$61:$AL$301)+SUMIF($A$61:$A$301,"&lt;="&amp;IN_PRAZO,$AN$61:$AN$301)+SUMIF($A$61:$A$301,"&lt;="&amp;IN_PRAZO,$AO$61:$AO$301)+INDEX($AQ$61:$AQ$301,IN_PRAZO+1)*$D$25)</f>
        <v>23378.9681096544</v>
      </c>
      <c r="E46" s="128" t="n">
        <f aca="false">IF($E$9=0,0,SUMIF($A$61:$A$301,"&lt;="&amp;IN_PRAZO,$BA$61:$BA$301)+SUMIF($A$61:$A$301,"&lt;="&amp;IN_PRAZO,$BC$61:$BC$301)+SUMIF($A$61:$A$301,"&lt;="&amp;IN_PRAZO,$BD$61:$BD$301)+INDEX($BF$61:$BF$301,IN_PRAZO+1)*$E$25)</f>
        <v>38955.3499426552</v>
      </c>
      <c r="F46" s="128" t="n">
        <f aca="false">IF($F$9=0,0,SUMIF($A$61:$A$301,"&lt;="&amp;IN_PRAZO,$BP$61:$BP$301)+SUMIF($A$61:$A$301,"&lt;="&amp;IN_PRAZO,$BR$61:$BR$301)+SUMIF($A$61:$A$301,"&lt;="&amp;IN_PRAZO,$BS$61:$BS$301)+INDEX($BU$61:$BU$301,IN_PRAZO+1)*$F$25)</f>
        <v>38955.3499426552</v>
      </c>
      <c r="G46" s="128" t="n">
        <f aca="false">IF($G$9=0,0,SUMIF($A$61:$A$301,"&lt;="&amp;IN_PRAZO,$CE$61:$CE$301)+SUMIF($A$61:$A$301,"&lt;="&amp;IN_PRAZO,$CG$61:$CG$301)+SUMIF($A$61:$A$301,"&lt;="&amp;IN_PRAZO,$CH$61:$CH$301)+INDEX($CJ$61:$CJ$301,IN_PRAZO+1)*$G$25)</f>
        <v>22287.4516853296</v>
      </c>
    </row>
    <row r="47" customFormat="false" ht="12.75" hidden="false" customHeight="true" outlineLevel="0" collapsed="false">
      <c r="A47" s="158" t="s">
        <v>241</v>
      </c>
      <c r="B47" s="172" t="n">
        <f aca="false">IF($B$43=0,0,$B$40/$B$43-1)</f>
        <v>1.73817832791716</v>
      </c>
      <c r="C47" s="172" t="n">
        <f aca="false">IF($C$43=0,0,$C$40/$C$43-1)</f>
        <v>1.35899457320313</v>
      </c>
      <c r="D47" s="172" t="n">
        <f aca="false">IF($D$43=0,0,$D$40/$D$43-1)</f>
        <v>1.296515120059</v>
      </c>
      <c r="E47" s="172" t="n">
        <f aca="false">IF($E$43=0,0,$E$40/$E$43-1)</f>
        <v>1.50792181979198</v>
      </c>
      <c r="F47" s="172" t="n">
        <f aca="false">IF($F$43=0,0,$F$40/$F$43-1)</f>
        <v>1.35792181979198</v>
      </c>
      <c r="G47" s="172" t="n">
        <f aca="false">IF($G$43=0,0,$G$40/$G$43-1)</f>
        <v>1.10997006225882</v>
      </c>
    </row>
    <row r="48" customFormat="false" ht="12.75" hidden="false" customHeight="true" outlineLevel="0" collapsed="false">
      <c r="A48" s="158" t="s">
        <v>242</v>
      </c>
      <c r="B48" s="172" t="n">
        <f aca="false">IF(OR($B$9=0,IN_PRAZO=0),0,IFERROR((1+RATE(IN_PRAZO,-($B$43-IN_CAPITAL)/IN_PRAZO,-IN_CAPITAL,$B$40))^12-1,(1+$B$47)^(12/IN_PRAZO)-1))</f>
        <v>0.105977197221012</v>
      </c>
      <c r="C48" s="172" t="n">
        <f aca="false">IF(OR($C$9=0,IN_PRAZO=0),0,IFERROR((1+RATE(IN_PRAZO,-($C$43-IN_CAPITAL)/IN_PRAZO,-IN_CAPITAL,$C$40))^12-1,(1+$C$47)^(12/IN_PRAZO)-1))</f>
        <v>0.0896140489382591</v>
      </c>
      <c r="D48" s="172" t="n">
        <f aca="false">IF(OR($D$9=0,IN_PRAZO=0),0,IFERROR((1+RATE(IN_PRAZO,-($D$43-IN_CAPITAL)/IN_PRAZO,-IN_CAPITAL,$D$40))^12-1,(1+$D$47)^(12/IN_PRAZO)-1))</f>
        <v>0.0866931535782689</v>
      </c>
      <c r="E48" s="172" t="n">
        <f aca="false">IF(OR($E$9=0,IN_PRAZO=0),0,IFERROR((1+RATE(IN_PRAZO,-($E$43-IN_CAPITAL)/IN_PRAZO,-IN_CAPITAL,$E$40))^12-1,(1+$E$47)^(12/IN_PRAZO)-1))</f>
        <v>0.0963050115243007</v>
      </c>
      <c r="F48" s="172" t="n">
        <f aca="false">IF(OR($F$9=0,IN_PRAZO=0),0,IFERROR((1+RATE(IN_PRAZO,-($F$43-IN_CAPITAL)/IN_PRAZO,-IN_CAPITAL,$F$40))^12-1,(1+$F$47)^(12/IN_PRAZO)-1))</f>
        <v>0.0895644885675699</v>
      </c>
      <c r="G48" s="172" t="n">
        <f aca="false">IF(OR($G$9=0,IN_PRAZO=0),0,IFERROR((1+RATE(IN_PRAZO,-($G$43-IN_CAPITAL)/IN_PRAZO,-IN_CAPITAL,$G$40))^12-1,(1+$G$47)^(12/IN_PRAZO)-1))</f>
        <v>0.0775256802478885</v>
      </c>
    </row>
    <row r="49" customFormat="false" ht="12.75" hidden="false" customHeight="true" outlineLevel="0" collapsed="false">
      <c r="A49" s="158" t="s">
        <v>243</v>
      </c>
      <c r="B49" s="172" t="n">
        <f aca="false">IF($B$9=0,0,(1+$B$48)/(1+IPCA_CENARIO)-1)</f>
        <v>0.0634396127125114</v>
      </c>
      <c r="C49" s="172" t="n">
        <f aca="false">IF($C$9=0,0,(1+$C$48)/(1+IPCA_CENARIO)-1)</f>
        <v>0.0477058162867876</v>
      </c>
      <c r="D49" s="172" t="n">
        <f aca="false">IF($D$9=0,0,(1+$D$48)/(1+IPCA_CENARIO)-1)</f>
        <v>0.0448972630560278</v>
      </c>
      <c r="E49" s="172" t="n">
        <f aca="false">IF($E$9=0,0,(1+$E$48)/(1+IPCA_CENARIO)-1)</f>
        <v>0.0541394341579815</v>
      </c>
      <c r="F49" s="172" t="n">
        <f aca="false">IF($F$9=0,0,(1+$F$48)/(1+IPCA_CENARIO)-1)</f>
        <v>0.0476581620842018</v>
      </c>
      <c r="G49" s="172" t="n">
        <f aca="false">IF($G$9=0,0,(1+$G$48)/(1+IPCA_CENARIO)-1)</f>
        <v>0.0360823848537388</v>
      </c>
    </row>
    <row r="50" customFormat="false" ht="12.75" hidden="false" customHeight="true" outlineLevel="0" collapsed="false">
      <c r="A50" s="158" t="s">
        <v>166</v>
      </c>
      <c r="B50" s="172" t="n">
        <f aca="false">IF($B$9=0,0,IFERROR(INDEX(TAB_IR,MATCH(IN_PRAZO*30,TAB_IR_DIAS,1),MATCH($B$8,TAB_IR_REGIMES,0)),0))</f>
        <v>0.15</v>
      </c>
      <c r="C50" s="172" t="n">
        <f aca="false">IF($C$9=0,0,IFERROR(INDEX(TAB_IR,MATCH(IN_PRAZO*30,TAB_IR_DIAS,1),MATCH($C$8,TAB_IR_REGIMES,0)),0))</f>
        <v>0.15</v>
      </c>
      <c r="D50" s="172" t="n">
        <f aca="false">IF($D$9=0,0,IFERROR(INDEX(TAB_IR,MATCH(IN_PRAZO*30,TAB_IR_DIAS,1),MATCH($D$8,TAB_IR_REGIMES,0)),0))</f>
        <v>0.15</v>
      </c>
      <c r="E50" s="172" t="n">
        <f aca="false">IF($E$9=0,0,IFERROR(INDEX(TAB_IR,MATCH(IN_PRAZO*30,TAB_IR_DIAS,1),MATCH($E$8,TAB_IR_REGIMES,0)),0))</f>
        <v>0.15</v>
      </c>
      <c r="F50" s="172" t="n">
        <f aca="false">IF($F$9=0,0,IFERROR(INDEX(TAB_IR,MATCH(IN_PRAZO*30,TAB_IR_DIAS,1),MATCH($F$8,TAB_IR_REGIMES,0)),0))</f>
        <v>0.15</v>
      </c>
      <c r="G50" s="172" t="n">
        <f aca="false">IF($G$9=0,0,IFERROR(INDEX(TAB_IR,MATCH(IN_PRAZO*30,TAB_IR_DIAS,1),MATCH($G$8,TAB_IR_REGIMES,0)),0))</f>
        <v>0.15</v>
      </c>
    </row>
    <row r="51" customFormat="false" ht="12.75" hidden="false" customHeight="true" outlineLevel="0" collapsed="false">
      <c r="A51" s="158" t="s">
        <v>390</v>
      </c>
      <c r="B51" s="128" t="n">
        <f aca="false">IF($B$9=0,0,MAX(0,$B$40*($B$19-$B$22)*(1-$B$50)))</f>
        <v>3254.51962490677</v>
      </c>
      <c r="C51" s="128" t="n">
        <f aca="false">IF($C$9=0,0,MAX(0,$C$40*($C$19-$C$22)*(1-$C$50)))</f>
        <v>2403.33481029411</v>
      </c>
      <c r="D51" s="128" t="n">
        <f aca="false">IF($D$9=0,0,MAX(0,$D$40*($D$19-$D$22)*(1-$D$50)))</f>
        <v>2387.93680069255</v>
      </c>
      <c r="E51" s="128" t="n">
        <f aca="false">IF($E$9=0,0,MAX(0,$E$40*($E$19-$E$22)*(1-$E$50)))</f>
        <v>2730.34948662969</v>
      </c>
      <c r="F51" s="128" t="n">
        <f aca="false">IF($F$9=0,0,MAX(0,$F$40*($F$19-$F$22)*(1-$F$50)))</f>
        <v>2567.04598180655</v>
      </c>
      <c r="G51" s="128" t="n">
        <f aca="false">IF($G$9=0,0,MAX(0,$G$40*($G$19-$G$22)*(1-$G$50)))</f>
        <v>1970.28211864106</v>
      </c>
    </row>
    <row r="52" customFormat="false" ht="12.75" hidden="false" customHeight="true" outlineLevel="0" collapsed="false">
      <c r="A52" s="158" t="s">
        <v>391</v>
      </c>
      <c r="B52" s="128" t="n">
        <f aca="false">IF($B$9=0,0,MAX(0,$B$40*((1+($B$19-$B$22)*(1-$B$50))/((1+IPCA_CENARIO)^(1/12))-1)))</f>
        <v>1903.67498993128</v>
      </c>
      <c r="C52" s="128" t="n">
        <f aca="false">IF($C$9=0,0,MAX(0,$C$40*((1+($C$19-$C$22)*(1-$C$50))/((1+IPCA_CENARIO)^(1/12))-1)))</f>
        <v>1240.86239267196</v>
      </c>
      <c r="D52" s="128" t="n">
        <f aca="false">IF($D$9=0,0,MAX(0,$D$40*((1+($D$19-$D$22)*(1-$D$50))/((1+IPCA_CENARIO)^(1/12))-1)))</f>
        <v>1256.09573377489</v>
      </c>
      <c r="E52" s="128" t="n">
        <f aca="false">IF($E$9=0,0,MAX(0,$E$40*((1+($E$19-$E$22)*(1-$E$50))/((1+IPCA_CENARIO)^(1/12))-1)))</f>
        <v>1493.91627866229</v>
      </c>
      <c r="F52" s="128" t="n">
        <f aca="false">IF($F$9=0,0,MAX(0,$F$40*((1+($F$19-$F$22)*(1-$F$50))/((1+IPCA_CENARIO)^(1/12))-1)))</f>
        <v>1404.56443362833</v>
      </c>
      <c r="G52" s="128" t="n">
        <f aca="false">IF($G$9=0,0,MAX(0,$G$40*((1+($G$19-$G$22)*(1-$G$50))/((1+IPCA_CENARIO)^(1/12))-1)))</f>
        <v>931.109967090371</v>
      </c>
    </row>
    <row r="53" customFormat="false" ht="12.75" hidden="false" customHeight="true" outlineLevel="0" collapsed="false">
      <c r="A53" s="158" t="s">
        <v>392</v>
      </c>
      <c r="B53" s="173" t="n">
        <f aca="false">IF($B$9=0,"",DATA_INICIO+$B$29+$B$30)</f>
        <v>46258</v>
      </c>
      <c r="C53" s="173" t="n">
        <f aca="false">IF($C$9=0,"",DATA_INICIO+$C$29+$C$30)</f>
        <v>46258</v>
      </c>
      <c r="D53" s="173" t="n">
        <f aca="false">IF($D$9=0,"",DATA_INICIO+$D$29+$D$30)</f>
        <v>46287</v>
      </c>
      <c r="E53" s="173" t="n">
        <f aca="false">IF($E$9=0,"",DATA_INICIO+$E$29+$E$30)</f>
        <v>46262</v>
      </c>
      <c r="F53" s="173" t="n">
        <f aca="false">IF($F$9=0,"",DATA_INICIO+$F$29+$F$30)</f>
        <v>46262</v>
      </c>
      <c r="G53" s="173" t="n">
        <f aca="false">IF($G$9=0,"",DATA_INICIO+$G$29+$G$30)</f>
        <v>46262</v>
      </c>
    </row>
    <row r="54" customFormat="false" ht="12.75" hidden="false" customHeight="true" outlineLevel="0" collapsed="false">
      <c r="A54" s="158" t="s">
        <v>393</v>
      </c>
      <c r="B54" s="174" t="n">
        <f aca="false">IF($B$9=0,0,IF(IN_CAPITAL&gt;=$B$31,1,0))</f>
        <v>1</v>
      </c>
      <c r="C54" s="174" t="n">
        <f aca="false">IF($C$9=0,0,IF(IN_CAPITAL&gt;=$C$31,1,0))</f>
        <v>1</v>
      </c>
      <c r="D54" s="174" t="n">
        <f aca="false">IF($D$9=0,0,IF(IN_CAPITAL&gt;=$D$31,1,0))</f>
        <v>1</v>
      </c>
      <c r="E54" s="174" t="n">
        <f aca="false">IF($E$9=0,0,IF(IN_CAPITAL&gt;=$E$31,1,0))</f>
        <v>1</v>
      </c>
      <c r="F54" s="174" t="n">
        <f aca="false">IF($F$9=0,0,IF(IN_CAPITAL&gt;=$F$31,1,0))</f>
        <v>1</v>
      </c>
      <c r="G54" s="174" t="n">
        <f aca="false">IF($G$9=0,0,IF(IN_CAPITAL&gt;=$G$31,1,0))</f>
        <v>1</v>
      </c>
    </row>
    <row r="55" customFormat="false" ht="12.75" hidden="false" customHeight="true" outlineLevel="0" collapsed="false">
      <c r="A55" s="158" t="s">
        <v>394</v>
      </c>
      <c r="B55" s="174" t="n">
        <f aca="false">IF($B$9=0,0,IF($B$32&lt;=IFERROR(INDEX(Premissas!$B$102:$B$104,MATCH(IN_PERFIL,Premissas!$A$102:$A$104,0)),5),1,0))</f>
        <v>1</v>
      </c>
      <c r="C55" s="174" t="n">
        <f aca="false">IF($C$9=0,0,IF($C$32&lt;=IFERROR(INDEX(Premissas!$B$102:$B$104,MATCH(IN_PERFIL,Premissas!$A$102:$A$104,0)),5),1,0))</f>
        <v>1</v>
      </c>
      <c r="D55" s="174" t="n">
        <f aca="false">IF($D$9=0,0,IF($D$32&lt;=IFERROR(INDEX(Premissas!$B$102:$B$104,MATCH(IN_PERFIL,Premissas!$A$102:$A$104,0)),5),1,0))</f>
        <v>1</v>
      </c>
      <c r="E55" s="174" t="n">
        <f aca="false">IF($E$9=0,0,IF($E$32&lt;=IFERROR(INDEX(Premissas!$B$102:$B$104,MATCH(IN_PERFIL,Premissas!$A$102:$A$104,0)),5),1,0))</f>
        <v>1</v>
      </c>
      <c r="F55" s="174" t="n">
        <f aca="false">IF($F$9=0,0,IF($F$32&lt;=IFERROR(INDEX(Premissas!$B$102:$B$104,MATCH(IN_PERFIL,Premissas!$A$102:$A$104,0)),5),1,0))</f>
        <v>1</v>
      </c>
      <c r="G55" s="174" t="n">
        <f aca="false">IF($G$9=0,0,IF($G$32&lt;=IFERROR(INDEX(Premissas!$B$102:$B$104,MATCH(IN_PERFIL,Premissas!$A$102:$A$104,0)),5),1,0))</f>
        <v>1</v>
      </c>
    </row>
    <row r="56" customFormat="false" ht="12.75" hidden="false" customHeight="true" outlineLevel="0" collapsed="false">
      <c r="A56" s="158" t="s">
        <v>395</v>
      </c>
      <c r="B56" s="125" t="str">
        <f aca="false">IF($B$9=0,"",IF($B$29&gt;0,"A partir de "&amp;TEXT(DATA_INICIO+$B$29,"dd/mm/yyyy"),IF($B$30&lt;=0,"No mesmo dia",IF($B$30=1,"Em 1 dia útil","Em até "&amp;$B$30&amp;" dias"))))</f>
        <v>Em 1 dia útil</v>
      </c>
      <c r="C56" s="125" t="str">
        <f aca="false">IF($C$9=0,"",IF($C$29&gt;0,"A partir de "&amp;TEXT(DATA_INICIO+$C$29,"dd/mm/yyyy"),IF($C$30&lt;=0,"No mesmo dia",IF($C$30=1,"Em 1 dia útil","Em até "&amp;$C$30&amp;" dias"))))</f>
        <v>Em 1 dia útil</v>
      </c>
      <c r="D56" s="125" t="str">
        <f aca="false">IF($D$9=0,"",IF($D$29&gt;0,"A partir de "&amp;TEXT(DATA_INICIO+$D$29,"dd/mm/yyyy"),IF($D$30&lt;=0,"No mesmo dia",IF($D$30=1,"Em 1 dia útil","Em até "&amp;$D$30&amp;" dias"))))</f>
        <v>Em até 30 dias</v>
      </c>
      <c r="E56" s="125" t="str">
        <f aca="false">IF($E$9=0,"",IF($E$29&gt;0,"A partir de "&amp;TEXT(DATA_INICIO+$E$29,"dd/mm/yyyy"),IF($E$30&lt;=0,"No mesmo dia",IF($E$30=1,"Em 1 dia útil","Em até "&amp;$E$30&amp;" dias"))))</f>
        <v>Em até 5 dias</v>
      </c>
      <c r="F56" s="125" t="str">
        <f aca="false">IF($F$9=0,"",IF($F$29&gt;0,"A partir de "&amp;TEXT(DATA_INICIO+$F$29,"dd/mm/yyyy"),IF($F$30&lt;=0,"No mesmo dia",IF($F$30=1,"Em 1 dia útil","Em até "&amp;$F$30&amp;" dias"))))</f>
        <v>Em até 5 dias</v>
      </c>
      <c r="G56" s="125" t="str">
        <f aca="false">IF($G$9=0,"",IF($G$29&gt;0,"A partir de "&amp;TEXT(DATA_INICIO+$G$29,"dd/mm/yyyy"),IF($G$30&lt;=0,"No mesmo dia",IF($G$30=1,"Em 1 dia útil","Em até "&amp;$G$30&amp;" dias"))))</f>
        <v>Em até 5 dias</v>
      </c>
    </row>
    <row r="57" customFormat="false" ht="12.75" hidden="false" customHeight="true" outlineLevel="0" collapsed="false">
      <c r="A57" s="158" t="s">
        <v>396</v>
      </c>
      <c r="B57" s="125" t="str">
        <f aca="false">IF($B$9=0,"",IFERROR(INDEX(Premissas!$B$94:$B$98,$B$32),""))</f>
        <v>Baixa</v>
      </c>
      <c r="C57" s="125" t="str">
        <f aca="false">IF($C$9=0,"",IFERROR(INDEX(Premissas!$B$94:$B$98,$C$32),""))</f>
        <v>Baixa</v>
      </c>
      <c r="D57" s="125" t="str">
        <f aca="false">IF($D$9=0,"",IFERROR(INDEX(Premissas!$B$94:$B$98,$D$32),""))</f>
        <v>Baixa</v>
      </c>
      <c r="E57" s="125" t="str">
        <f aca="false">IF($E$9=0,"",IFERROR(INDEX(Premissas!$B$94:$B$98,$E$32),""))</f>
        <v>Média</v>
      </c>
      <c r="F57" s="125" t="str">
        <f aca="false">IF($F$9=0,"",IFERROR(INDEX(Premissas!$B$94:$B$98,$F$32),""))</f>
        <v>Média</v>
      </c>
      <c r="G57" s="125" t="str">
        <f aca="false">IF($G$9=0,"",IFERROR(INDEX(Premissas!$B$94:$B$98,$G$32),""))</f>
        <v>Média</v>
      </c>
    </row>
    <row r="58" customFormat="false" ht="21.75" hidden="false" customHeight="true" outlineLevel="0" collapsed="false">
      <c r="A58" s="3" t="s">
        <v>397</v>
      </c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false" outlineLevel="0" collapsed="false">
      <c r="F59" s="27" t="str">
        <f aca="false">IF($B$9=0,"ALTERNATIVA A — não utilizada","ALTERNATIVA A — "&amp;$B$6)</f>
        <v>ALTERNATIVA A — Tesouro Prefixado 2031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U59" s="175" t="str">
        <f aca="false">IF($C$9=0,"ALTERNATIVA B — não utilizada","ALTERNATIVA B — "&amp;$C$6)</f>
        <v>ALTERNATIVA B — Tesouro IPCA+ 2035</v>
      </c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J59" s="27" t="str">
        <f aca="false">IF($D$9=0,"ALTERNATIVA C — não utilizada","ALTERNATIVA C — "&amp;$D$6)</f>
        <v>ALTERNATIVA C — Fundo CAIXA RF Crédito Privado LP</v>
      </c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Y59" s="175" t="str">
        <f aca="false">IF($E$9=0,"ALTERNATIVA D — não utilizada","ALTERNATIVA D — "&amp;$E$6)</f>
        <v>ALTERNATIVA D — VGBL CAIXA Composto 30 — Regressivo</v>
      </c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N59" s="27" t="str">
        <f aca="false">IF($F$9=0,"ALTERNATIVA E — não utilizada","ALTERNATIVA E — "&amp;$F$6)</f>
        <v>ALTERNATIVA E — PGBL CAIXA Composto 30 — Regressivo</v>
      </c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C59" s="175" t="str">
        <f aca="false">IF($G$9=0,"ALTERNATIVA F — não utilizada","ALTERNATIVA F — "&amp;$G$6)</f>
        <v>ALTERNATIVA F — Fundo CAIXA RF IPCA Longo Prazo</v>
      </c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</row>
    <row r="60" customFormat="false" ht="39.75" hidden="false" customHeight="true" outlineLevel="0" collapsed="false">
      <c r="A60" s="72" t="s">
        <v>191</v>
      </c>
      <c r="B60" s="72" t="s">
        <v>192</v>
      </c>
      <c r="C60" s="72" t="s">
        <v>398</v>
      </c>
      <c r="D60" s="72" t="s">
        <v>399</v>
      </c>
      <c r="F60" s="176" t="s">
        <v>193</v>
      </c>
      <c r="G60" s="176" t="s">
        <v>400</v>
      </c>
      <c r="H60" s="176" t="s">
        <v>401</v>
      </c>
      <c r="I60" s="176" t="s">
        <v>194</v>
      </c>
      <c r="J60" s="176" t="s">
        <v>402</v>
      </c>
      <c r="K60" s="176" t="s">
        <v>155</v>
      </c>
      <c r="L60" s="176" t="s">
        <v>403</v>
      </c>
      <c r="M60" s="176" t="s">
        <v>197</v>
      </c>
      <c r="N60" s="176" t="s">
        <v>404</v>
      </c>
      <c r="O60" s="176" t="s">
        <v>405</v>
      </c>
      <c r="P60" s="176" t="s">
        <v>406</v>
      </c>
      <c r="Q60" s="176" t="s">
        <v>284</v>
      </c>
      <c r="R60" s="176" t="s">
        <v>407</v>
      </c>
      <c r="S60" s="176" t="s">
        <v>200</v>
      </c>
      <c r="U60" s="176" t="s">
        <v>193</v>
      </c>
      <c r="V60" s="176" t="s">
        <v>400</v>
      </c>
      <c r="W60" s="176" t="s">
        <v>401</v>
      </c>
      <c r="X60" s="176" t="s">
        <v>194</v>
      </c>
      <c r="Y60" s="176" t="s">
        <v>402</v>
      </c>
      <c r="Z60" s="176" t="s">
        <v>155</v>
      </c>
      <c r="AA60" s="176" t="s">
        <v>403</v>
      </c>
      <c r="AB60" s="176" t="s">
        <v>197</v>
      </c>
      <c r="AC60" s="176" t="s">
        <v>404</v>
      </c>
      <c r="AD60" s="176" t="s">
        <v>405</v>
      </c>
      <c r="AE60" s="176" t="s">
        <v>406</v>
      </c>
      <c r="AF60" s="176" t="s">
        <v>284</v>
      </c>
      <c r="AG60" s="176" t="s">
        <v>407</v>
      </c>
      <c r="AH60" s="176" t="s">
        <v>200</v>
      </c>
      <c r="AJ60" s="176" t="s">
        <v>193</v>
      </c>
      <c r="AK60" s="176" t="s">
        <v>400</v>
      </c>
      <c r="AL60" s="176" t="s">
        <v>401</v>
      </c>
      <c r="AM60" s="176" t="s">
        <v>194</v>
      </c>
      <c r="AN60" s="176" t="s">
        <v>402</v>
      </c>
      <c r="AO60" s="176" t="s">
        <v>155</v>
      </c>
      <c r="AP60" s="176" t="s">
        <v>403</v>
      </c>
      <c r="AQ60" s="176" t="s">
        <v>197</v>
      </c>
      <c r="AR60" s="176" t="s">
        <v>404</v>
      </c>
      <c r="AS60" s="176" t="s">
        <v>405</v>
      </c>
      <c r="AT60" s="176" t="s">
        <v>406</v>
      </c>
      <c r="AU60" s="176" t="s">
        <v>284</v>
      </c>
      <c r="AV60" s="176" t="s">
        <v>407</v>
      </c>
      <c r="AW60" s="176" t="s">
        <v>200</v>
      </c>
      <c r="AY60" s="176" t="s">
        <v>193</v>
      </c>
      <c r="AZ60" s="176" t="s">
        <v>400</v>
      </c>
      <c r="BA60" s="176" t="s">
        <v>401</v>
      </c>
      <c r="BB60" s="176" t="s">
        <v>194</v>
      </c>
      <c r="BC60" s="176" t="s">
        <v>402</v>
      </c>
      <c r="BD60" s="176" t="s">
        <v>155</v>
      </c>
      <c r="BE60" s="176" t="s">
        <v>403</v>
      </c>
      <c r="BF60" s="176" t="s">
        <v>197</v>
      </c>
      <c r="BG60" s="176" t="s">
        <v>404</v>
      </c>
      <c r="BH60" s="176" t="s">
        <v>405</v>
      </c>
      <c r="BI60" s="176" t="s">
        <v>406</v>
      </c>
      <c r="BJ60" s="176" t="s">
        <v>284</v>
      </c>
      <c r="BK60" s="176" t="s">
        <v>407</v>
      </c>
      <c r="BL60" s="176" t="s">
        <v>200</v>
      </c>
      <c r="BN60" s="176" t="s">
        <v>193</v>
      </c>
      <c r="BO60" s="176" t="s">
        <v>400</v>
      </c>
      <c r="BP60" s="176" t="s">
        <v>401</v>
      </c>
      <c r="BQ60" s="176" t="s">
        <v>194</v>
      </c>
      <c r="BR60" s="176" t="s">
        <v>402</v>
      </c>
      <c r="BS60" s="176" t="s">
        <v>155</v>
      </c>
      <c r="BT60" s="176" t="s">
        <v>403</v>
      </c>
      <c r="BU60" s="176" t="s">
        <v>197</v>
      </c>
      <c r="BV60" s="176" t="s">
        <v>404</v>
      </c>
      <c r="BW60" s="176" t="s">
        <v>405</v>
      </c>
      <c r="BX60" s="176" t="s">
        <v>406</v>
      </c>
      <c r="BY60" s="176" t="s">
        <v>284</v>
      </c>
      <c r="BZ60" s="176" t="s">
        <v>407</v>
      </c>
      <c r="CA60" s="176" t="s">
        <v>200</v>
      </c>
      <c r="CC60" s="176" t="s">
        <v>193</v>
      </c>
      <c r="CD60" s="176" t="s">
        <v>400</v>
      </c>
      <c r="CE60" s="176" t="s">
        <v>401</v>
      </c>
      <c r="CF60" s="176" t="s">
        <v>194</v>
      </c>
      <c r="CG60" s="176" t="s">
        <v>402</v>
      </c>
      <c r="CH60" s="176" t="s">
        <v>155</v>
      </c>
      <c r="CI60" s="176" t="s">
        <v>403</v>
      </c>
      <c r="CJ60" s="176" t="s">
        <v>197</v>
      </c>
      <c r="CK60" s="176" t="s">
        <v>404</v>
      </c>
      <c r="CL60" s="176" t="s">
        <v>405</v>
      </c>
      <c r="CM60" s="176" t="s">
        <v>406</v>
      </c>
      <c r="CN60" s="176" t="s">
        <v>284</v>
      </c>
      <c r="CO60" s="176" t="s">
        <v>407</v>
      </c>
      <c r="CP60" s="176" t="s">
        <v>200</v>
      </c>
    </row>
    <row r="61" customFormat="false" ht="12" hidden="false" customHeight="true" outlineLevel="0" collapsed="false">
      <c r="A61" s="177" t="n">
        <v>0</v>
      </c>
      <c r="B61" s="178" t="n">
        <f aca="false">EDATE(DATA_INICIO,$A61)</f>
        <v>46257</v>
      </c>
      <c r="C61" s="177" t="n">
        <f aca="false">$A61*30</f>
        <v>0</v>
      </c>
      <c r="D61" s="179" t="n">
        <f aca="false">(1+IPCA_CENARIO)^($A61/12)</f>
        <v>1</v>
      </c>
      <c r="F61" s="180" t="n">
        <f aca="false">0</f>
        <v>0</v>
      </c>
      <c r="G61" s="180" t="n">
        <f aca="false">IF($B$9=0,0,IN_CAPITAL)</f>
        <v>150000</v>
      </c>
      <c r="H61" s="180" t="n">
        <f aca="false">G61*$B$24</f>
        <v>0</v>
      </c>
      <c r="I61" s="180" t="n">
        <f aca="false">0</f>
        <v>0</v>
      </c>
      <c r="J61" s="180" t="n">
        <f aca="false">0</f>
        <v>0</v>
      </c>
      <c r="K61" s="180" t="n">
        <f aca="false">0</f>
        <v>0</v>
      </c>
      <c r="L61" s="180" t="n">
        <f aca="false">0</f>
        <v>0</v>
      </c>
      <c r="M61" s="181" t="n">
        <f aca="false">F61+I61-J61-K61+G61-H61-L61</f>
        <v>150000</v>
      </c>
      <c r="N61" s="180" t="n">
        <f aca="false">G61-H61</f>
        <v>150000</v>
      </c>
      <c r="O61" s="180" t="n">
        <f aca="false">L61</f>
        <v>0</v>
      </c>
      <c r="P61" s="180" t="n">
        <f aca="false">M61+O61-N61</f>
        <v>0</v>
      </c>
      <c r="Q61" s="180" t="n">
        <f aca="false">MAX(0,IFERROR(INDEX(TAB_IR,MATCH($C61,TAB_IR_DIAS,1),MATCH($B$8,TAB_IR_REGIMES,0)),0)*IF($B$26=2,M61,MAX(0,P61))-O61)</f>
        <v>0</v>
      </c>
      <c r="R61" s="181" t="n">
        <f aca="false">MAX(0,M61-Q61-M61*$B$25)</f>
        <v>150000</v>
      </c>
      <c r="S61" s="180" t="n">
        <f aca="false">R61/$D61</f>
        <v>150000</v>
      </c>
      <c r="U61" s="180" t="n">
        <f aca="false">0</f>
        <v>0</v>
      </c>
      <c r="V61" s="180" t="n">
        <f aca="false">IF($C$9=0,0,IN_CAPITAL)</f>
        <v>150000</v>
      </c>
      <c r="W61" s="180" t="n">
        <f aca="false">V61*$C$24</f>
        <v>0</v>
      </c>
      <c r="X61" s="180" t="n">
        <f aca="false">0</f>
        <v>0</v>
      </c>
      <c r="Y61" s="180" t="n">
        <f aca="false">0</f>
        <v>0</v>
      </c>
      <c r="Z61" s="180" t="n">
        <f aca="false">0</f>
        <v>0</v>
      </c>
      <c r="AA61" s="180" t="n">
        <f aca="false">0</f>
        <v>0</v>
      </c>
      <c r="AB61" s="181" t="n">
        <f aca="false">U61+X61-Y61-Z61+V61-W61-AA61</f>
        <v>150000</v>
      </c>
      <c r="AC61" s="180" t="n">
        <f aca="false">V61-W61</f>
        <v>150000</v>
      </c>
      <c r="AD61" s="180" t="n">
        <f aca="false">AA61</f>
        <v>0</v>
      </c>
      <c r="AE61" s="180" t="n">
        <f aca="false">AB61+AD61-AC61</f>
        <v>0</v>
      </c>
      <c r="AF61" s="180" t="n">
        <f aca="false">MAX(0,IFERROR(INDEX(TAB_IR,MATCH($C61,TAB_IR_DIAS,1),MATCH($C$8,TAB_IR_REGIMES,0)),0)*IF($C$26=2,AB61,MAX(0,AE61))-AD61)</f>
        <v>0</v>
      </c>
      <c r="AG61" s="181" t="n">
        <f aca="false">MAX(0,AB61-AF61-AB61*$C$25)</f>
        <v>150000</v>
      </c>
      <c r="AH61" s="180" t="n">
        <f aca="false">AG61/$D61</f>
        <v>150000</v>
      </c>
      <c r="AJ61" s="180" t="n">
        <f aca="false">0</f>
        <v>0</v>
      </c>
      <c r="AK61" s="180" t="n">
        <f aca="false">IF($D$9=0,0,IN_CAPITAL)</f>
        <v>150000</v>
      </c>
      <c r="AL61" s="180" t="n">
        <f aca="false">AK61*$D$24</f>
        <v>0</v>
      </c>
      <c r="AM61" s="180" t="n">
        <f aca="false">0</f>
        <v>0</v>
      </c>
      <c r="AN61" s="180" t="n">
        <f aca="false">0</f>
        <v>0</v>
      </c>
      <c r="AO61" s="180" t="n">
        <f aca="false">0</f>
        <v>0</v>
      </c>
      <c r="AP61" s="180" t="n">
        <f aca="false">0</f>
        <v>0</v>
      </c>
      <c r="AQ61" s="181" t="n">
        <f aca="false">AJ61+AM61-AN61-AO61+AK61-AL61-AP61</f>
        <v>150000</v>
      </c>
      <c r="AR61" s="180" t="n">
        <f aca="false">AK61-AL61</f>
        <v>150000</v>
      </c>
      <c r="AS61" s="180" t="n">
        <f aca="false">AP61</f>
        <v>0</v>
      </c>
      <c r="AT61" s="180" t="n">
        <f aca="false">AQ61+AS61-AR61</f>
        <v>0</v>
      </c>
      <c r="AU61" s="180" t="n">
        <f aca="false">MAX(0,IFERROR(INDEX(TAB_IR,MATCH($C61,TAB_IR_DIAS,1),MATCH($D$8,TAB_IR_REGIMES,0)),0)*IF($D$26=2,AQ61,MAX(0,AT61))-AS61)</f>
        <v>0</v>
      </c>
      <c r="AV61" s="181" t="n">
        <f aca="false">MAX(0,AQ61-AU61-AQ61*$D$25)</f>
        <v>150000</v>
      </c>
      <c r="AW61" s="180" t="n">
        <f aca="false">AV61/$D61</f>
        <v>150000</v>
      </c>
      <c r="AY61" s="180" t="n">
        <f aca="false">0</f>
        <v>0</v>
      </c>
      <c r="AZ61" s="180" t="n">
        <f aca="false">IF($E$9=0,0,IN_CAPITAL)</f>
        <v>150000</v>
      </c>
      <c r="BA61" s="180" t="n">
        <f aca="false">AZ61*$E$24</f>
        <v>0</v>
      </c>
      <c r="BB61" s="180" t="n">
        <f aca="false">0</f>
        <v>0</v>
      </c>
      <c r="BC61" s="180" t="n">
        <f aca="false">0</f>
        <v>0</v>
      </c>
      <c r="BD61" s="180" t="n">
        <f aca="false">0</f>
        <v>0</v>
      </c>
      <c r="BE61" s="180" t="n">
        <f aca="false">0</f>
        <v>0</v>
      </c>
      <c r="BF61" s="181" t="n">
        <f aca="false">AY61+BB61-BC61-BD61+AZ61-BA61-BE61</f>
        <v>150000</v>
      </c>
      <c r="BG61" s="180" t="n">
        <f aca="false">AZ61-BA61</f>
        <v>150000</v>
      </c>
      <c r="BH61" s="180" t="n">
        <f aca="false">BE61</f>
        <v>0</v>
      </c>
      <c r="BI61" s="180" t="n">
        <f aca="false">BF61+BH61-BG61</f>
        <v>0</v>
      </c>
      <c r="BJ61" s="180" t="n">
        <f aca="false">MAX(0,IFERROR(INDEX(TAB_IR,MATCH($C61,TAB_IR_DIAS,1),MATCH($E$8,TAB_IR_REGIMES,0)),0)*IF($E$26=2,BF61,MAX(0,BI61))-BH61)</f>
        <v>0</v>
      </c>
      <c r="BK61" s="181" t="n">
        <f aca="false">MAX(0,BF61-BJ61-BF61*$E$25)</f>
        <v>150000</v>
      </c>
      <c r="BL61" s="180" t="n">
        <f aca="false">BK61/$D61</f>
        <v>150000</v>
      </c>
      <c r="BN61" s="180" t="n">
        <f aca="false">0</f>
        <v>0</v>
      </c>
      <c r="BO61" s="180" t="n">
        <f aca="false">IF($F$9=0,0,IN_CAPITAL)</f>
        <v>150000</v>
      </c>
      <c r="BP61" s="180" t="n">
        <f aca="false">BO61*$F$24</f>
        <v>0</v>
      </c>
      <c r="BQ61" s="180" t="n">
        <f aca="false">0</f>
        <v>0</v>
      </c>
      <c r="BR61" s="180" t="n">
        <f aca="false">0</f>
        <v>0</v>
      </c>
      <c r="BS61" s="180" t="n">
        <f aca="false">0</f>
        <v>0</v>
      </c>
      <c r="BT61" s="180" t="n">
        <f aca="false">0</f>
        <v>0</v>
      </c>
      <c r="BU61" s="181" t="n">
        <f aca="false">BN61+BQ61-BR61-BS61+BO61-BP61-BT61</f>
        <v>150000</v>
      </c>
      <c r="BV61" s="180" t="n">
        <f aca="false">BO61-BP61</f>
        <v>150000</v>
      </c>
      <c r="BW61" s="180" t="n">
        <f aca="false">BT61</f>
        <v>0</v>
      </c>
      <c r="BX61" s="180" t="n">
        <f aca="false">BU61+BW61-BV61</f>
        <v>0</v>
      </c>
      <c r="BY61" s="180" t="n">
        <f aca="false">MAX(0,IFERROR(INDEX(TAB_IR,MATCH($C61,TAB_IR_DIAS,1),MATCH($F$8,TAB_IR_REGIMES,0)),0)*IF($F$26=2,BU61,MAX(0,BX61))-BW61)</f>
        <v>52500</v>
      </c>
      <c r="BZ61" s="181" t="n">
        <f aca="false">MAX(0,BU61-BY61-BU61*$F$25)</f>
        <v>97500</v>
      </c>
      <c r="CA61" s="180" t="n">
        <f aca="false">BZ61/$D61</f>
        <v>97500</v>
      </c>
      <c r="CC61" s="180" t="n">
        <f aca="false">0</f>
        <v>0</v>
      </c>
      <c r="CD61" s="180" t="n">
        <f aca="false">IF($G$9=0,0,IN_CAPITAL)</f>
        <v>150000</v>
      </c>
      <c r="CE61" s="180" t="n">
        <f aca="false">CD61*$G$24</f>
        <v>0</v>
      </c>
      <c r="CF61" s="180" t="n">
        <f aca="false">0</f>
        <v>0</v>
      </c>
      <c r="CG61" s="180" t="n">
        <f aca="false">0</f>
        <v>0</v>
      </c>
      <c r="CH61" s="180" t="n">
        <f aca="false">0</f>
        <v>0</v>
      </c>
      <c r="CI61" s="180" t="n">
        <f aca="false">0</f>
        <v>0</v>
      </c>
      <c r="CJ61" s="181" t="n">
        <f aca="false">CC61+CF61-CG61-CH61+CD61-CE61-CI61</f>
        <v>150000</v>
      </c>
      <c r="CK61" s="180" t="n">
        <f aca="false">CD61-CE61</f>
        <v>150000</v>
      </c>
      <c r="CL61" s="180" t="n">
        <f aca="false">CI61</f>
        <v>0</v>
      </c>
      <c r="CM61" s="180" t="n">
        <f aca="false">CJ61+CL61-CK61</f>
        <v>0</v>
      </c>
      <c r="CN61" s="180" t="n">
        <f aca="false">MAX(0,IFERROR(INDEX(TAB_IR,MATCH($C61,TAB_IR_DIAS,1),MATCH($G$8,TAB_IR_REGIMES,0)),0)*IF($G$26=2,CJ61,MAX(0,CM61))-CL61)</f>
        <v>0</v>
      </c>
      <c r="CO61" s="181" t="n">
        <f aca="false">MAX(0,CJ61-CN61-CJ61*$G$25)</f>
        <v>150000</v>
      </c>
      <c r="CP61" s="180" t="n">
        <f aca="false">CO61/$D61</f>
        <v>150000</v>
      </c>
    </row>
    <row r="62" customFormat="false" ht="12" hidden="false" customHeight="true" outlineLevel="0" collapsed="false">
      <c r="A62" s="177" t="n">
        <v>1</v>
      </c>
      <c r="B62" s="178" t="n">
        <f aca="false">EDATE(DATA_INICIO,$A62)</f>
        <v>46288</v>
      </c>
      <c r="C62" s="177" t="n">
        <f aca="false">$A62*30</f>
        <v>30</v>
      </c>
      <c r="D62" s="179" t="n">
        <f aca="false">(1+IPCA_CENARIO)^($A62/12)</f>
        <v>1.0032737397822</v>
      </c>
      <c r="F62" s="180" t="n">
        <f aca="false">M61</f>
        <v>150000</v>
      </c>
      <c r="G62" s="180" t="n">
        <f aca="false">IF($B$9=0,0,IF($A62&gt;IN_PRAZO,0,IF(APORTE_CORRIGIDO="Sim",IN_APORTE*$D62,IN_APORTE))+IF(AND($B$35=1,PGBL_REINVESTE="Sim",$A62&gt;=13,$A62&lt;=IN_PRAZO,MONTH($B62)=5),PGBL_BENEFICIO,0))</f>
        <v>0</v>
      </c>
      <c r="H62" s="180" t="n">
        <f aca="false">G62*$B$24</f>
        <v>0</v>
      </c>
      <c r="I62" s="180" t="n">
        <f aca="false">F62*$B$19</f>
        <v>1423.31894018746</v>
      </c>
      <c r="J62" s="180" t="n">
        <f aca="false">F62*$B$22</f>
        <v>25</v>
      </c>
      <c r="K62" s="180" t="n">
        <f aca="false">$B$23*MAX(0,I62-F62*$B$18)</f>
        <v>0</v>
      </c>
      <c r="L62" s="180" t="n">
        <f aca="false">IF(AND($B$27=1,OR(MONTH($B62)=5,MONTH($B62)=11)),MAX(0,$B$28*MAX(0,(F62+I62-J62-K62+G62-H62)+O61-N62)-O61),0)</f>
        <v>0</v>
      </c>
      <c r="M62" s="181" t="n">
        <f aca="false">F62+I62-J62-K62+G62-H62-L62</f>
        <v>151398.318940187</v>
      </c>
      <c r="N62" s="180" t="n">
        <f aca="false">N61+G62-H62</f>
        <v>150000</v>
      </c>
      <c r="O62" s="180" t="n">
        <f aca="false">O61+L62</f>
        <v>0</v>
      </c>
      <c r="P62" s="180" t="n">
        <f aca="false">M62+O62-N62</f>
        <v>1398.31894018746</v>
      </c>
      <c r="Q62" s="180" t="n">
        <f aca="false">MAX(0,IFERROR(INDEX(TAB_IR,MATCH($C62,TAB_IR_DIAS,1),MATCH($B$8,TAB_IR_REGIMES,0)),0)*IF($B$26=2,M62,MAX(0,P62))-O62)</f>
        <v>314.621761542177</v>
      </c>
      <c r="R62" s="181" t="n">
        <f aca="false">MAX(0,M62-Q62-M62*$B$25)</f>
        <v>151083.697178645</v>
      </c>
      <c r="S62" s="180" t="n">
        <f aca="false">R62/$D62</f>
        <v>150590.702405352</v>
      </c>
      <c r="U62" s="180" t="n">
        <f aca="false">AB61</f>
        <v>150000</v>
      </c>
      <c r="V62" s="180" t="n">
        <f aca="false">IF($C$9=0,0,IF($A62&gt;IN_PRAZO,0,IF(APORTE_CORRIGIDO="Sim",IN_APORTE*$D62,IN_APORTE))+IF(AND($C$35=1,PGBL_REINVESTE="Sim",$A62&gt;=13,$A62&lt;=IN_PRAZO,MONTH($B62)=5),PGBL_BENEFICIO,0))</f>
        <v>0</v>
      </c>
      <c r="W62" s="180" t="n">
        <f aca="false">V62*$C$24</f>
        <v>0</v>
      </c>
      <c r="X62" s="180" t="n">
        <f aca="false">U62*$C$19</f>
        <v>1223.58381622042</v>
      </c>
      <c r="Y62" s="180" t="n">
        <f aca="false">U62*$C$22</f>
        <v>25</v>
      </c>
      <c r="Z62" s="180" t="n">
        <f aca="false">$C$23*MAX(0,X62-U62*$C$18)</f>
        <v>0</v>
      </c>
      <c r="AA62" s="180" t="n">
        <f aca="false">IF(AND($C$27=1,OR(MONTH($B62)=5,MONTH($B62)=11)),MAX(0,$C$28*MAX(0,(U62+X62-Y62-Z62+V62-W62)+AD61-AC62)-AD61),0)</f>
        <v>0</v>
      </c>
      <c r="AB62" s="181" t="n">
        <f aca="false">U62+X62-Y62-Z62+V62-W62-AA62</f>
        <v>151198.58381622</v>
      </c>
      <c r="AC62" s="180" t="n">
        <f aca="false">AC61+V62-W62</f>
        <v>150000</v>
      </c>
      <c r="AD62" s="180" t="n">
        <f aca="false">AD61+AA62</f>
        <v>0</v>
      </c>
      <c r="AE62" s="180" t="n">
        <f aca="false">AB62+AD62-AC62</f>
        <v>1198.58381622043</v>
      </c>
      <c r="AF62" s="180" t="n">
        <f aca="false">MAX(0,IFERROR(INDEX(TAB_IR,MATCH($C62,TAB_IR_DIAS,1),MATCH($C$8,TAB_IR_REGIMES,0)),0)*IF($C$26=2,AB62,MAX(0,AE62))-AD62)</f>
        <v>269.681358649597</v>
      </c>
      <c r="AG62" s="181" t="n">
        <f aca="false">MAX(0,AB62-AF62-AB62*$C$25)</f>
        <v>150928.902457571</v>
      </c>
      <c r="AH62" s="180" t="n">
        <f aca="false">AG62/$D62</f>
        <v>150436.412788334</v>
      </c>
      <c r="AJ62" s="180" t="n">
        <f aca="false">AQ61</f>
        <v>150000</v>
      </c>
      <c r="AK62" s="180" t="n">
        <f aca="false">IF($D$9=0,0,IF($A62&gt;IN_PRAZO,0,IF(APORTE_CORRIGIDO="Sim",IN_APORTE*$D62,IN_APORTE))+IF(AND($D$35=1,PGBL_REINVESTE="Sim",$A62&gt;=13,$A62&lt;=IN_PRAZO,MONTH($B62)=5),PGBL_BENEFICIO,0))</f>
        <v>0</v>
      </c>
      <c r="AL62" s="180" t="n">
        <f aca="false">AK62*$D$24</f>
        <v>0</v>
      </c>
      <c r="AM62" s="180" t="n">
        <f aca="false">AJ62*$D$19</f>
        <v>1348.30455743191</v>
      </c>
      <c r="AN62" s="180" t="n">
        <f aca="false">AJ62*$D$22</f>
        <v>125</v>
      </c>
      <c r="AO62" s="180" t="n">
        <f aca="false">$D$23*MAX(0,AM62-AJ62*$D$18)</f>
        <v>0</v>
      </c>
      <c r="AP62" s="180" t="n">
        <f aca="false">IF(AND($D$27=1,OR(MONTH($B62)=5,MONTH($B62)=11)),MAX(0,$D$28*MAX(0,(AJ62+AM62-AN62-AO62+AK62-AL62)+AS61-AR62)-AS61),0)</f>
        <v>0</v>
      </c>
      <c r="AQ62" s="181" t="n">
        <f aca="false">AJ62+AM62-AN62-AO62+AK62-AL62-AP62</f>
        <v>151223.304557432</v>
      </c>
      <c r="AR62" s="180" t="n">
        <f aca="false">AR61+AK62-AL62</f>
        <v>150000</v>
      </c>
      <c r="AS62" s="180" t="n">
        <f aca="false">AS61+AP62</f>
        <v>0</v>
      </c>
      <c r="AT62" s="180" t="n">
        <f aca="false">AQ62+AS62-AR62</f>
        <v>1223.30455743193</v>
      </c>
      <c r="AU62" s="180" t="n">
        <f aca="false">MAX(0,IFERROR(INDEX(TAB_IR,MATCH($C62,TAB_IR_DIAS,1),MATCH($D$8,TAB_IR_REGIMES,0)),0)*IF($D$26=2,AQ62,MAX(0,AT62))-AS62)</f>
        <v>275.243525422183</v>
      </c>
      <c r="AV62" s="181" t="n">
        <f aca="false">MAX(0,AQ62-AU62-AQ62*$D$25)</f>
        <v>150948.06103201</v>
      </c>
      <c r="AW62" s="180" t="n">
        <f aca="false">AV62/$D62</f>
        <v>150455.508847246</v>
      </c>
      <c r="AY62" s="180" t="n">
        <f aca="false">BF61</f>
        <v>150000</v>
      </c>
      <c r="AZ62" s="180" t="n">
        <f aca="false">IF($E$9=0,0,IF($A62&gt;IN_PRAZO,0,IF(APORTE_CORRIGIDO="Sim",IN_APORTE*$D62,IN_APORTE))+IF(AND($E$35=1,PGBL_REINVESTE="Sim",$A62&gt;=13,$A62&lt;=IN_PRAZO,MONTH($B62)=5),PGBL_BENEFICIO,0))</f>
        <v>0</v>
      </c>
      <c r="BA62" s="180" t="n">
        <f aca="false">AZ62*$E$24</f>
        <v>0</v>
      </c>
      <c r="BB62" s="180" t="n">
        <f aca="false">AY62*$E$19</f>
        <v>1468.31180253442</v>
      </c>
      <c r="BC62" s="180" t="n">
        <f aca="false">AY62*$E$22</f>
        <v>187.5</v>
      </c>
      <c r="BD62" s="180" t="n">
        <f aca="false">$E$23*MAX(0,BB62-AY62*$E$18)</f>
        <v>0</v>
      </c>
      <c r="BE62" s="180" t="n">
        <f aca="false">IF(AND($E$27=1,OR(MONTH($B62)=5,MONTH($B62)=11)),MAX(0,$E$28*MAX(0,(AY62+BB62-BC62-BD62+AZ62-BA62)+BH61-BG62)-BH61),0)</f>
        <v>0</v>
      </c>
      <c r="BF62" s="181" t="n">
        <f aca="false">AY62+BB62-BC62-BD62+AZ62-BA62-BE62</f>
        <v>151280.811802534</v>
      </c>
      <c r="BG62" s="180" t="n">
        <f aca="false">BG61+AZ62-BA62</f>
        <v>150000</v>
      </c>
      <c r="BH62" s="180" t="n">
        <f aca="false">BH61+BE62</f>
        <v>0</v>
      </c>
      <c r="BI62" s="180" t="n">
        <f aca="false">BF62+BH62-BG62</f>
        <v>1280.81180253442</v>
      </c>
      <c r="BJ62" s="180" t="n">
        <f aca="false">MAX(0,IFERROR(INDEX(TAB_IR,MATCH($C62,TAB_IR_DIAS,1),MATCH($E$8,TAB_IR_REGIMES,0)),0)*IF($E$26=2,BF62,MAX(0,BI62))-BH62)</f>
        <v>448.284130887045</v>
      </c>
      <c r="BK62" s="181" t="n">
        <f aca="false">MAX(0,BF62-BJ62-BF62*$E$25)</f>
        <v>150832.527671647</v>
      </c>
      <c r="BL62" s="180" t="n">
        <f aca="false">BK62/$D62</f>
        <v>150340.352478868</v>
      </c>
      <c r="BN62" s="180" t="n">
        <f aca="false">BU61</f>
        <v>150000</v>
      </c>
      <c r="BO62" s="180" t="n">
        <f aca="false">IF($F$9=0,0,IF($A62&gt;IN_PRAZO,0,IF(APORTE_CORRIGIDO="Sim",IN_APORTE*$D62,IN_APORTE))+IF(AND($F$35=1,PGBL_REINVESTE="Sim",$A62&gt;=13,$A62&lt;=IN_PRAZO,MONTH($B62)=5),PGBL_BENEFICIO,0))</f>
        <v>0</v>
      </c>
      <c r="BP62" s="180" t="n">
        <f aca="false">BO62*$F$24</f>
        <v>0</v>
      </c>
      <c r="BQ62" s="180" t="n">
        <f aca="false">BN62*$F$19</f>
        <v>1468.31180253442</v>
      </c>
      <c r="BR62" s="180" t="n">
        <f aca="false">BN62*$F$22</f>
        <v>187.5</v>
      </c>
      <c r="BS62" s="180" t="n">
        <f aca="false">$F$23*MAX(0,BQ62-BN62*$F$18)</f>
        <v>0</v>
      </c>
      <c r="BT62" s="180" t="n">
        <f aca="false">IF(AND($F$27=1,OR(MONTH($B62)=5,MONTH($B62)=11)),MAX(0,$F$28*MAX(0,(BN62+BQ62-BR62-BS62+BO62-BP62)+BW61-BV62)-BW61),0)</f>
        <v>0</v>
      </c>
      <c r="BU62" s="181" t="n">
        <f aca="false">BN62+BQ62-BR62-BS62+BO62-BP62-BT62</f>
        <v>151280.811802534</v>
      </c>
      <c r="BV62" s="180" t="n">
        <f aca="false">BV61+BO62-BP62</f>
        <v>150000</v>
      </c>
      <c r="BW62" s="180" t="n">
        <f aca="false">BW61+BT62</f>
        <v>0</v>
      </c>
      <c r="BX62" s="180" t="n">
        <f aca="false">BU62+BW62-BV62</f>
        <v>1280.81180253442</v>
      </c>
      <c r="BY62" s="180" t="n">
        <f aca="false">MAX(0,IFERROR(INDEX(TAB_IR,MATCH($C62,TAB_IR_DIAS,1),MATCH($F$8,TAB_IR_REGIMES,0)),0)*IF($F$26=2,BU62,MAX(0,BX62))-BW62)</f>
        <v>52948.284130887</v>
      </c>
      <c r="BZ62" s="181" t="n">
        <f aca="false">MAX(0,BU62-BY62-BU62*$F$25)</f>
        <v>98332.5276716474</v>
      </c>
      <c r="CA62" s="180" t="n">
        <f aca="false">BZ62/$D62</f>
        <v>98011.662991393</v>
      </c>
      <c r="CC62" s="180" t="n">
        <f aca="false">CJ61</f>
        <v>150000</v>
      </c>
      <c r="CD62" s="180" t="n">
        <f aca="false">IF($G$9=0,0,IF($A62&gt;IN_PRAZO,0,IF(APORTE_CORRIGIDO="Sim",IN_APORTE*$D62,IN_APORTE))+IF(AND($G$35=1,PGBL_REINVESTE="Sim",$A62&gt;=13,$A62&lt;=IN_PRAZO,MONTH($B62)=5),PGBL_BENEFICIO,0))</f>
        <v>0</v>
      </c>
      <c r="CE62" s="180" t="n">
        <f aca="false">CD62*$G$24</f>
        <v>0</v>
      </c>
      <c r="CF62" s="180" t="n">
        <f aca="false">CC62*$G$19</f>
        <v>1223.58381622042</v>
      </c>
      <c r="CG62" s="180" t="n">
        <f aca="false">CC62*$G$22</f>
        <v>125</v>
      </c>
      <c r="CH62" s="180" t="n">
        <f aca="false">$G$23*MAX(0,CF62-CC62*$G$18)</f>
        <v>0</v>
      </c>
      <c r="CI62" s="180" t="n">
        <f aca="false">IF(AND($G$27=1,OR(MONTH($B62)=5,MONTH($B62)=11)),MAX(0,$G$28*MAX(0,(CC62+CF62-CG62-CH62+CD62-CE62)+CL61-CK62)-CL61),0)</f>
        <v>0</v>
      </c>
      <c r="CJ62" s="181" t="n">
        <f aca="false">CC62+CF62-CG62-CH62+CD62-CE62-CI62</f>
        <v>151098.58381622</v>
      </c>
      <c r="CK62" s="180" t="n">
        <f aca="false">CK61+CD62-CE62</f>
        <v>150000</v>
      </c>
      <c r="CL62" s="180" t="n">
        <f aca="false">CL61+CI62</f>
        <v>0</v>
      </c>
      <c r="CM62" s="180" t="n">
        <f aca="false">CJ62+CL62-CK62</f>
        <v>1098.58381622043</v>
      </c>
      <c r="CN62" s="180" t="n">
        <f aca="false">MAX(0,IFERROR(INDEX(TAB_IR,MATCH($C62,TAB_IR_DIAS,1),MATCH($G$8,TAB_IR_REGIMES,0)),0)*IF($G$26=2,CJ62,MAX(0,CM62))-CL62)</f>
        <v>247.181358649597</v>
      </c>
      <c r="CO62" s="181" t="n">
        <f aca="false">MAX(0,CJ62-CN62-CJ62*$G$25)</f>
        <v>150851.402457571</v>
      </c>
      <c r="CP62" s="180" t="n">
        <f aca="false">CO62/$D62</f>
        <v>150359.165675281</v>
      </c>
    </row>
    <row r="63" customFormat="false" ht="12" hidden="false" customHeight="true" outlineLevel="0" collapsed="false">
      <c r="A63" s="177" t="n">
        <v>2</v>
      </c>
      <c r="B63" s="178" t="n">
        <f aca="false">EDATE(DATA_INICIO,$A63)</f>
        <v>46318</v>
      </c>
      <c r="C63" s="177" t="n">
        <f aca="false">$A63*30</f>
        <v>60</v>
      </c>
      <c r="D63" s="179" t="n">
        <f aca="false">(1+IPCA_CENARIO)^($A63/12)</f>
        <v>1.00655819693656</v>
      </c>
      <c r="F63" s="180" t="n">
        <f aca="false">M62</f>
        <v>151398.318940187</v>
      </c>
      <c r="G63" s="180" t="n">
        <f aca="false">IF($B$9=0,0,IF($A63&gt;IN_PRAZO,0,IF(APORTE_CORRIGIDO="Sim",IN_APORTE*$D63,IN_APORTE))+IF(AND($B$35=1,PGBL_REINVESTE="Sim",$A63&gt;=13,$A63&lt;=IN_PRAZO,MONTH($B63)=5),PGBL_BENEFICIO,0))</f>
        <v>0</v>
      </c>
      <c r="H63" s="180" t="n">
        <f aca="false">G63*$B$24</f>
        <v>0</v>
      </c>
      <c r="I63" s="180" t="n">
        <f aca="false">F63*$B$19</f>
        <v>1436.5872990674</v>
      </c>
      <c r="J63" s="180" t="n">
        <f aca="false">F63*$B$22</f>
        <v>25.2330531566979</v>
      </c>
      <c r="K63" s="180" t="n">
        <f aca="false">$B$23*MAX(0,I63-F63*$B$18)</f>
        <v>0</v>
      </c>
      <c r="L63" s="180" t="n">
        <f aca="false">IF(AND($B$27=1,OR(MONTH($B63)=5,MONTH($B63)=11)),MAX(0,$B$28*MAX(0,(F63+I63-J63-K63+G63-H63)+O62-N63)-O62),0)</f>
        <v>0</v>
      </c>
      <c r="M63" s="181" t="n">
        <f aca="false">F63+I63-J63-K63+G63-H63-L63</f>
        <v>152809.673186098</v>
      </c>
      <c r="N63" s="180" t="n">
        <f aca="false">N62+G63-H63</f>
        <v>150000</v>
      </c>
      <c r="O63" s="180" t="n">
        <f aca="false">O62+L63</f>
        <v>0</v>
      </c>
      <c r="P63" s="180" t="n">
        <f aca="false">M63+O63-N63</f>
        <v>2809.67318609817</v>
      </c>
      <c r="Q63" s="180" t="n">
        <f aca="false">MAX(0,IFERROR(INDEX(TAB_IR,MATCH($C63,TAB_IR_DIAS,1),MATCH($B$8,TAB_IR_REGIMES,0)),0)*IF($B$26=2,M63,MAX(0,P63))-O63)</f>
        <v>632.176466872088</v>
      </c>
      <c r="R63" s="181" t="n">
        <f aca="false">MAX(0,M63-Q63-M63*$B$25)</f>
        <v>152177.496719226</v>
      </c>
      <c r="S63" s="180" t="n">
        <f aca="false">R63/$D63</f>
        <v>151185.989227821</v>
      </c>
      <c r="U63" s="180" t="n">
        <f aca="false">AB62</f>
        <v>151198.58381622</v>
      </c>
      <c r="V63" s="180" t="n">
        <f aca="false">IF($C$9=0,0,IF($A63&gt;IN_PRAZO,0,IF(APORTE_CORRIGIDO="Sim",IN_APORTE*$D63,IN_APORTE))+IF(AND($C$35=1,PGBL_REINVESTE="Sim",$A63&gt;=13,$A63&lt;=IN_PRAZO,MONTH($B63)=5),PGBL_BENEFICIO,0))</f>
        <v>0</v>
      </c>
      <c r="W63" s="180" t="n">
        <f aca="false">V63*$C$24</f>
        <v>0</v>
      </c>
      <c r="X63" s="180" t="n">
        <f aca="false">U63*$C$19</f>
        <v>1233.36093461983</v>
      </c>
      <c r="Y63" s="180" t="n">
        <f aca="false">U63*$C$22</f>
        <v>25.1997639693701</v>
      </c>
      <c r="Z63" s="180" t="n">
        <f aca="false">$C$23*MAX(0,X63-U63*$C$18)</f>
        <v>0</v>
      </c>
      <c r="AA63" s="180" t="n">
        <f aca="false">IF(AND($C$27=1,OR(MONTH($B63)=5,MONTH($B63)=11)),MAX(0,$C$28*MAX(0,(U63+X63-Y63-Z63+V63-W63)+AD62-AC63)-AD62),0)</f>
        <v>0</v>
      </c>
      <c r="AB63" s="181" t="n">
        <f aca="false">U63+X63-Y63-Z63+V63-W63-AA63</f>
        <v>152406.744986871</v>
      </c>
      <c r="AC63" s="180" t="n">
        <f aca="false">AC62+V63-W63</f>
        <v>150000</v>
      </c>
      <c r="AD63" s="180" t="n">
        <f aca="false">AD62+AA63</f>
        <v>0</v>
      </c>
      <c r="AE63" s="180" t="n">
        <f aca="false">AB63+AD63-AC63</f>
        <v>2406.74498687088</v>
      </c>
      <c r="AF63" s="180" t="n">
        <f aca="false">MAX(0,IFERROR(INDEX(TAB_IR,MATCH($C63,TAB_IR_DIAS,1),MATCH($C$8,TAB_IR_REGIMES,0)),0)*IF($C$26=2,AB63,MAX(0,AE63))-AD63)</f>
        <v>541.517622045948</v>
      </c>
      <c r="AG63" s="181" t="n">
        <f aca="false">MAX(0,AB63-AF63-AB63*$C$25)</f>
        <v>151865.227364825</v>
      </c>
      <c r="AH63" s="180" t="n">
        <f aca="false">AG63/$D63</f>
        <v>150875.754454163</v>
      </c>
      <c r="AJ63" s="180" t="n">
        <f aca="false">AQ62</f>
        <v>151223.304557432</v>
      </c>
      <c r="AK63" s="180" t="n">
        <f aca="false">IF($D$9=0,0,IF($A63&gt;IN_PRAZO,0,IF(APORTE_CORRIGIDO="Sim",IN_APORTE*$D63,IN_APORTE))+IF(AND($D$35=1,PGBL_REINVESTE="Sim",$A63&gt;=13,$A63&lt;=IN_PRAZO,MONTH($B63)=5),PGBL_BENEFICIO,0))</f>
        <v>0</v>
      </c>
      <c r="AL63" s="180" t="n">
        <f aca="false">AK63*$D$24</f>
        <v>0</v>
      </c>
      <c r="AM63" s="180" t="n">
        <f aca="false">AJ63*$D$19</f>
        <v>1359.300471498</v>
      </c>
      <c r="AN63" s="180" t="n">
        <f aca="false">AJ63*$D$22</f>
        <v>126.019420464527</v>
      </c>
      <c r="AO63" s="180" t="n">
        <f aca="false">$D$23*MAX(0,AM63-AJ63*$D$18)</f>
        <v>0</v>
      </c>
      <c r="AP63" s="180" t="n">
        <f aca="false">IF(AND($D$27=1,OR(MONTH($B63)=5,MONTH($B63)=11)),MAX(0,$D$28*MAX(0,(AJ63+AM63-AN63-AO63+AK63-AL63)+AS62-AR63)-AS62),0)</f>
        <v>0</v>
      </c>
      <c r="AQ63" s="181" t="n">
        <f aca="false">AJ63+AM63-AN63-AO63+AK63-AL63-AP63</f>
        <v>152456.585608465</v>
      </c>
      <c r="AR63" s="180" t="n">
        <f aca="false">AR62+AK63-AL63</f>
        <v>150000</v>
      </c>
      <c r="AS63" s="180" t="n">
        <f aca="false">AS62+AP63</f>
        <v>0</v>
      </c>
      <c r="AT63" s="180" t="n">
        <f aca="false">AQ63+AS63-AR63</f>
        <v>2456.58560846539</v>
      </c>
      <c r="AU63" s="180" t="n">
        <f aca="false">MAX(0,IFERROR(INDEX(TAB_IR,MATCH($C63,TAB_IR_DIAS,1),MATCH($D$8,TAB_IR_REGIMES,0)),0)*IF($D$26=2,AQ63,MAX(0,AT63))-AS63)</f>
        <v>552.731761904714</v>
      </c>
      <c r="AV63" s="181" t="n">
        <f aca="false">MAX(0,AQ63-AU63-AQ63*$D$25)</f>
        <v>151903.853846561</v>
      </c>
      <c r="AW63" s="180" t="n">
        <f aca="false">AV63/$D63</f>
        <v>150914.129266323</v>
      </c>
      <c r="AY63" s="180" t="n">
        <f aca="false">BF62</f>
        <v>151280.811802534</v>
      </c>
      <c r="AZ63" s="180" t="n">
        <f aca="false">IF($E$9=0,0,IF($A63&gt;IN_PRAZO,0,IF(APORTE_CORRIGIDO="Sim",IN_APORTE*$D63,IN_APORTE))+IF(AND($E$35=1,PGBL_REINVESTE="Sim",$A63&gt;=13,$A63&lt;=IN_PRAZO,MONTH($B63)=5),PGBL_BENEFICIO,0))</f>
        <v>0</v>
      </c>
      <c r="BA63" s="180" t="n">
        <f aca="false">AZ63*$E$24</f>
        <v>0</v>
      </c>
      <c r="BB63" s="180" t="n">
        <f aca="false">AY63*$E$19</f>
        <v>1480.84934311099</v>
      </c>
      <c r="BC63" s="180" t="n">
        <f aca="false">AY63*$E$22</f>
        <v>189.101014753168</v>
      </c>
      <c r="BD63" s="180" t="n">
        <f aca="false">$E$23*MAX(0,BB63-AY63*$E$18)</f>
        <v>0</v>
      </c>
      <c r="BE63" s="180" t="n">
        <f aca="false">IF(AND($E$27=1,OR(MONTH($B63)=5,MONTH($B63)=11)),MAX(0,$E$28*MAX(0,(AY63+BB63-BC63-BD63+AZ63-BA63)+BH62-BG63)-BH62),0)</f>
        <v>0</v>
      </c>
      <c r="BF63" s="181" t="n">
        <f aca="false">AY63+BB63-BC63-BD63+AZ63-BA63-BE63</f>
        <v>152572.560130892</v>
      </c>
      <c r="BG63" s="180" t="n">
        <f aca="false">BG62+AZ63-BA63</f>
        <v>150000</v>
      </c>
      <c r="BH63" s="180" t="n">
        <f aca="false">BH62+BE63</f>
        <v>0</v>
      </c>
      <c r="BI63" s="180" t="n">
        <f aca="false">BF63+BH63-BG63</f>
        <v>2572.56013089223</v>
      </c>
      <c r="BJ63" s="180" t="n">
        <f aca="false">MAX(0,IFERROR(INDEX(TAB_IR,MATCH($C63,TAB_IR_DIAS,1),MATCH($E$8,TAB_IR_REGIMES,0)),0)*IF($E$26=2,BF63,MAX(0,BI63))-BH63)</f>
        <v>900.396045812282</v>
      </c>
      <c r="BK63" s="181" t="n">
        <f aca="false">MAX(0,BF63-BJ63-BF63*$E$25)</f>
        <v>151672.16408508</v>
      </c>
      <c r="BL63" s="180" t="n">
        <f aca="false">BK63/$D63</f>
        <v>150683.949071888</v>
      </c>
      <c r="BN63" s="180" t="n">
        <f aca="false">BU62</f>
        <v>151280.811802534</v>
      </c>
      <c r="BO63" s="180" t="n">
        <f aca="false">IF($F$9=0,0,IF($A63&gt;IN_PRAZO,0,IF(APORTE_CORRIGIDO="Sim",IN_APORTE*$D63,IN_APORTE))+IF(AND($F$35=1,PGBL_REINVESTE="Sim",$A63&gt;=13,$A63&lt;=IN_PRAZO,MONTH($B63)=5),PGBL_BENEFICIO,0))</f>
        <v>0</v>
      </c>
      <c r="BP63" s="180" t="n">
        <f aca="false">BO63*$F$24</f>
        <v>0</v>
      </c>
      <c r="BQ63" s="180" t="n">
        <f aca="false">BN63*$F$19</f>
        <v>1480.84934311099</v>
      </c>
      <c r="BR63" s="180" t="n">
        <f aca="false">BN63*$F$22</f>
        <v>189.101014753168</v>
      </c>
      <c r="BS63" s="180" t="n">
        <f aca="false">$F$23*MAX(0,BQ63-BN63*$F$18)</f>
        <v>0</v>
      </c>
      <c r="BT63" s="180" t="n">
        <f aca="false">IF(AND($F$27=1,OR(MONTH($B63)=5,MONTH($B63)=11)),MAX(0,$F$28*MAX(0,(BN63+BQ63-BR63-BS63+BO63-BP63)+BW62-BV63)-BW62),0)</f>
        <v>0</v>
      </c>
      <c r="BU63" s="181" t="n">
        <f aca="false">BN63+BQ63-BR63-BS63+BO63-BP63-BT63</f>
        <v>152572.560130892</v>
      </c>
      <c r="BV63" s="180" t="n">
        <f aca="false">BV62+BO63-BP63</f>
        <v>150000</v>
      </c>
      <c r="BW63" s="180" t="n">
        <f aca="false">BW62+BT63</f>
        <v>0</v>
      </c>
      <c r="BX63" s="180" t="n">
        <f aca="false">BU63+BW63-BV63</f>
        <v>2572.56013089223</v>
      </c>
      <c r="BY63" s="180" t="n">
        <f aca="false">MAX(0,IFERROR(INDEX(TAB_IR,MATCH($C63,TAB_IR_DIAS,1),MATCH($F$8,TAB_IR_REGIMES,0)),0)*IF($F$26=2,BU63,MAX(0,BX63))-BW63)</f>
        <v>53400.3960458123</v>
      </c>
      <c r="BZ63" s="181" t="n">
        <f aca="false">MAX(0,BU63-BY63-BU63*$F$25)</f>
        <v>99172.1640850799</v>
      </c>
      <c r="CA63" s="180" t="n">
        <f aca="false">BZ63/$D63</f>
        <v>98526.0111009066</v>
      </c>
      <c r="CC63" s="180" t="n">
        <f aca="false">CJ62</f>
        <v>151098.58381622</v>
      </c>
      <c r="CD63" s="180" t="n">
        <f aca="false">IF($G$9=0,0,IF($A63&gt;IN_PRAZO,0,IF(APORTE_CORRIGIDO="Sim",IN_APORTE*$D63,IN_APORTE))+IF(AND($G$35=1,PGBL_REINVESTE="Sim",$A63&gt;=13,$A63&lt;=IN_PRAZO,MONTH($B63)=5),PGBL_BENEFICIO,0))</f>
        <v>0</v>
      </c>
      <c r="CE63" s="180" t="n">
        <f aca="false">CD63*$G$24</f>
        <v>0</v>
      </c>
      <c r="CF63" s="180" t="n">
        <f aca="false">CC63*$G$19</f>
        <v>1232.54521207568</v>
      </c>
      <c r="CG63" s="180" t="n">
        <f aca="false">CC63*$G$22</f>
        <v>125.915486513517</v>
      </c>
      <c r="CH63" s="180" t="n">
        <f aca="false">$G$23*MAX(0,CF63-CC63*$G$18)</f>
        <v>0</v>
      </c>
      <c r="CI63" s="180" t="n">
        <f aca="false">IF(AND($G$27=1,OR(MONTH($B63)=5,MONTH($B63)=11)),MAX(0,$G$28*MAX(0,(CC63+CF63-CG63-CH63+CD63-CE63)+CL62-CK63)-CL62),0)</f>
        <v>0</v>
      </c>
      <c r="CJ63" s="181" t="n">
        <f aca="false">CC63+CF63-CG63-CH63+CD63-CE63-CI63</f>
        <v>152205.213541783</v>
      </c>
      <c r="CK63" s="180" t="n">
        <f aca="false">CK62+CD63-CE63</f>
        <v>150000</v>
      </c>
      <c r="CL63" s="180" t="n">
        <f aca="false">CL62+CI63</f>
        <v>0</v>
      </c>
      <c r="CM63" s="180" t="n">
        <f aca="false">CJ63+CL63-CK63</f>
        <v>2205.21354178258</v>
      </c>
      <c r="CN63" s="180" t="n">
        <f aca="false">MAX(0,IFERROR(INDEX(TAB_IR,MATCH($C63,TAB_IR_DIAS,1),MATCH($G$8,TAB_IR_REGIMES,0)),0)*IF($G$26=2,CJ63,MAX(0,CM63))-CL63)</f>
        <v>496.17304690108</v>
      </c>
      <c r="CO63" s="181" t="n">
        <f aca="false">MAX(0,CJ63-CN63-CJ63*$G$25)</f>
        <v>151709.040494882</v>
      </c>
      <c r="CP63" s="180" t="n">
        <f aca="false">CO63/$D63</f>
        <v>150720.58521465</v>
      </c>
    </row>
    <row r="64" customFormat="false" ht="12" hidden="false" customHeight="true" outlineLevel="0" collapsed="false">
      <c r="A64" s="177" t="n">
        <v>3</v>
      </c>
      <c r="B64" s="178" t="n">
        <f aca="false">EDATE(DATA_INICIO,$A64)</f>
        <v>46349</v>
      </c>
      <c r="C64" s="177" t="n">
        <f aca="false">$A64*30</f>
        <v>90</v>
      </c>
      <c r="D64" s="179" t="n">
        <f aca="false">(1+IPCA_CENARIO)^($A64/12)</f>
        <v>1.00985340654897</v>
      </c>
      <c r="F64" s="180" t="n">
        <f aca="false">M63</f>
        <v>152809.673186098</v>
      </c>
      <c r="G64" s="180" t="n">
        <f aca="false">IF($B$9=0,0,IF($A64&gt;IN_PRAZO,0,IF(APORTE_CORRIGIDO="Sim",IN_APORTE*$D64,IN_APORTE))+IF(AND($B$35=1,PGBL_REINVESTE="Sim",$A64&gt;=13,$A64&lt;=IN_PRAZO,MONTH($B64)=5),PGBL_BENEFICIO,0))</f>
        <v>0</v>
      </c>
      <c r="H64" s="180" t="n">
        <f aca="false">G64*$B$24</f>
        <v>0</v>
      </c>
      <c r="I64" s="180" t="n">
        <f aca="false">F64*$B$19</f>
        <v>1449.97934726419</v>
      </c>
      <c r="J64" s="180" t="n">
        <f aca="false">F64*$B$22</f>
        <v>25.4682788643497</v>
      </c>
      <c r="K64" s="180" t="n">
        <f aca="false">$B$23*MAX(0,I64-F64*$B$18)</f>
        <v>0</v>
      </c>
      <c r="L64" s="180" t="n">
        <f aca="false">IF(AND($B$27=1,OR(MONTH($B64)=5,MONTH($B64)=11)),MAX(0,$B$28*MAX(0,(F64+I64-J64-K64+G64-H64)+O63-N64)-O63),0)</f>
        <v>0</v>
      </c>
      <c r="M64" s="181" t="n">
        <f aca="false">F64+I64-J64-K64+G64-H64-L64</f>
        <v>154234.184254498</v>
      </c>
      <c r="N64" s="180" t="n">
        <f aca="false">N63+G64-H64</f>
        <v>150000</v>
      </c>
      <c r="O64" s="180" t="n">
        <f aca="false">O63+L64</f>
        <v>0</v>
      </c>
      <c r="P64" s="180" t="n">
        <f aca="false">M64+O64-N64</f>
        <v>4234.18425449802</v>
      </c>
      <c r="Q64" s="180" t="n">
        <f aca="false">MAX(0,IFERROR(INDEX(TAB_IR,MATCH($C64,TAB_IR_DIAS,1),MATCH($B$8,TAB_IR_REGIMES,0)),0)*IF($B$26=2,M64,MAX(0,P64))-O64)</f>
        <v>952.691457262054</v>
      </c>
      <c r="R64" s="181" t="n">
        <f aca="false">MAX(0,M64-Q64-M64*$B$25)</f>
        <v>153281.492797236</v>
      </c>
      <c r="S64" s="180" t="n">
        <f aca="false">R64/$D64</f>
        <v>151785.884766239</v>
      </c>
      <c r="U64" s="180" t="n">
        <f aca="false">AB63</f>
        <v>152406.744986871</v>
      </c>
      <c r="V64" s="180" t="n">
        <f aca="false">IF($C$9=0,0,IF($A64&gt;IN_PRAZO,0,IF(APORTE_CORRIGIDO="Sim",IN_APORTE*$D64,IN_APORTE))+IF(AND($C$35=1,PGBL_REINVESTE="Sim",$A64&gt;=13,$A64&lt;=IN_PRAZO,MONTH($B64)=5),PGBL_BENEFICIO,0))</f>
        <v>0</v>
      </c>
      <c r="W64" s="180" t="n">
        <f aca="false">V64*$C$24</f>
        <v>0</v>
      </c>
      <c r="X64" s="180" t="n">
        <f aca="false">U64*$C$19</f>
        <v>1243.21617765845</v>
      </c>
      <c r="Y64" s="180" t="n">
        <f aca="false">U64*$C$22</f>
        <v>25.4011241644785</v>
      </c>
      <c r="Z64" s="180" t="n">
        <f aca="false">$C$23*MAX(0,X64-U64*$C$18)</f>
        <v>0</v>
      </c>
      <c r="AA64" s="180" t="n">
        <f aca="false">IF(AND($C$27=1,OR(MONTH($B64)=5,MONTH($B64)=11)),MAX(0,$C$28*MAX(0,(U64+X64-Y64-Z64+V64-W64)+AD63-AC64)-AD63),0)</f>
        <v>0</v>
      </c>
      <c r="AB64" s="181" t="n">
        <f aca="false">U64+X64-Y64-Z64+V64-W64-AA64</f>
        <v>153624.560040365</v>
      </c>
      <c r="AC64" s="180" t="n">
        <f aca="false">AC63+V64-W64</f>
        <v>150000</v>
      </c>
      <c r="AD64" s="180" t="n">
        <f aca="false">AD63+AA64</f>
        <v>0</v>
      </c>
      <c r="AE64" s="180" t="n">
        <f aca="false">AB64+AD64-AC64</f>
        <v>3624.56004036483</v>
      </c>
      <c r="AF64" s="180" t="n">
        <f aca="false">MAX(0,IFERROR(INDEX(TAB_IR,MATCH($C64,TAB_IR_DIAS,1),MATCH($C$8,TAB_IR_REGIMES,0)),0)*IF($C$26=2,AB64,MAX(0,AE64))-AD64)</f>
        <v>815.526009082086</v>
      </c>
      <c r="AG64" s="181" t="n">
        <f aca="false">MAX(0,AB64-AF64-AB64*$C$25)</f>
        <v>152809.034031283</v>
      </c>
      <c r="AH64" s="180" t="n">
        <f aca="false">AG64/$D64</f>
        <v>151318.035905316</v>
      </c>
      <c r="AJ64" s="180" t="n">
        <f aca="false">AQ63</f>
        <v>152456.585608465</v>
      </c>
      <c r="AK64" s="180" t="n">
        <f aca="false">IF($D$9=0,0,IF($A64&gt;IN_PRAZO,0,IF(APORTE_CORRIGIDO="Sim",IN_APORTE*$D64,IN_APORTE))+IF(AND($D$35=1,PGBL_REINVESTE="Sim",$A64&gt;=13,$A64&lt;=IN_PRAZO,MONTH($B64)=5),PGBL_BENEFICIO,0))</f>
        <v>0</v>
      </c>
      <c r="AL64" s="180" t="n">
        <f aca="false">AK64*$D$24</f>
        <v>0</v>
      </c>
      <c r="AM64" s="180" t="n">
        <f aca="false">AJ64*$D$19</f>
        <v>1370.38606124268</v>
      </c>
      <c r="AN64" s="180" t="n">
        <f aca="false">AJ64*$D$22</f>
        <v>127.047154673721</v>
      </c>
      <c r="AO64" s="180" t="n">
        <f aca="false">$D$23*MAX(0,AM64-AJ64*$D$18)</f>
        <v>0</v>
      </c>
      <c r="AP64" s="180" t="n">
        <f aca="false">IF(AND($D$27=1,OR(MONTH($B64)=5,MONTH($B64)=11)),MAX(0,$D$28*MAX(0,(AJ64+AM64-AN64-AO64+AK64-AL64)+AS63-AR64)-AS63),0)</f>
        <v>554.988677255155</v>
      </c>
      <c r="AQ64" s="181" t="n">
        <f aca="false">AJ64+AM64-AN64-AO64+AK64-AL64-AP64</f>
        <v>153144.935837779</v>
      </c>
      <c r="AR64" s="180" t="n">
        <f aca="false">AR63+AK64-AL64</f>
        <v>150000</v>
      </c>
      <c r="AS64" s="180" t="n">
        <f aca="false">AS63+AP64</f>
        <v>554.988677255155</v>
      </c>
      <c r="AT64" s="180" t="n">
        <f aca="false">AQ64+AS64-AR64</f>
        <v>3699.92451503436</v>
      </c>
      <c r="AU64" s="180" t="n">
        <f aca="false">MAX(0,IFERROR(INDEX(TAB_IR,MATCH($C64,TAB_IR_DIAS,1),MATCH($D$8,TAB_IR_REGIMES,0)),0)*IF($D$26=2,AQ64,MAX(0,AT64))-AS64)</f>
        <v>277.494338627577</v>
      </c>
      <c r="AV64" s="181" t="n">
        <f aca="false">MAX(0,AQ64-AU64-AQ64*$D$25)</f>
        <v>152867.441499152</v>
      </c>
      <c r="AW64" s="180" t="n">
        <f aca="false">AV64/$D64</f>
        <v>151375.873476086</v>
      </c>
      <c r="AY64" s="180" t="n">
        <f aca="false">BF63</f>
        <v>152572.560130892</v>
      </c>
      <c r="AZ64" s="180" t="n">
        <f aca="false">IF($E$9=0,0,IF($A64&gt;IN_PRAZO,0,IF(APORTE_CORRIGIDO="Sim",IN_APORTE*$D64,IN_APORTE))+IF(AND($E$35=1,PGBL_REINVESTE="Sim",$A64&gt;=13,$A64&lt;=IN_PRAZO,MONTH($B64)=5),PGBL_BENEFICIO,0))</f>
        <v>0</v>
      </c>
      <c r="BA64" s="180" t="n">
        <f aca="false">AZ64*$E$24</f>
        <v>0</v>
      </c>
      <c r="BB64" s="180" t="n">
        <f aca="false">AY64*$E$19</f>
        <v>1493.49393855387</v>
      </c>
      <c r="BC64" s="180" t="n">
        <f aca="false">AY64*$E$22</f>
        <v>190.715700163615</v>
      </c>
      <c r="BD64" s="180" t="n">
        <f aca="false">$E$23*MAX(0,BB64-AY64*$E$18)</f>
        <v>0</v>
      </c>
      <c r="BE64" s="180" t="n">
        <f aca="false">IF(AND($E$27=1,OR(MONTH($B64)=5,MONTH($B64)=11)),MAX(0,$E$28*MAX(0,(AY64+BB64-BC64-BD64+AZ64-BA64)+BH63-BG64)-BH63),0)</f>
        <v>0</v>
      </c>
      <c r="BF64" s="181" t="n">
        <f aca="false">AY64+BB64-BC64-BD64+AZ64-BA64-BE64</f>
        <v>153875.338369283</v>
      </c>
      <c r="BG64" s="180" t="n">
        <f aca="false">BG63+AZ64-BA64</f>
        <v>150000</v>
      </c>
      <c r="BH64" s="180" t="n">
        <f aca="false">BH63+BE64</f>
        <v>0</v>
      </c>
      <c r="BI64" s="180" t="n">
        <f aca="false">BF64+BH64-BG64</f>
        <v>3875.33836928249</v>
      </c>
      <c r="BJ64" s="180" t="n">
        <f aca="false">MAX(0,IFERROR(INDEX(TAB_IR,MATCH($C64,TAB_IR_DIAS,1),MATCH($E$8,TAB_IR_REGIMES,0)),0)*IF($E$26=2,BF64,MAX(0,BI64))-BH64)</f>
        <v>1356.36842924887</v>
      </c>
      <c r="BK64" s="181" t="n">
        <f aca="false">MAX(0,BF64-BJ64-BF64*$E$25)</f>
        <v>152518.969940034</v>
      </c>
      <c r="BL64" s="180" t="n">
        <f aca="false">BK64/$D64</f>
        <v>151030.802046057</v>
      </c>
      <c r="BN64" s="180" t="n">
        <f aca="false">BU63</f>
        <v>152572.560130892</v>
      </c>
      <c r="BO64" s="180" t="n">
        <f aca="false">IF($F$9=0,0,IF($A64&gt;IN_PRAZO,0,IF(APORTE_CORRIGIDO="Sim",IN_APORTE*$D64,IN_APORTE))+IF(AND($F$35=1,PGBL_REINVESTE="Sim",$A64&gt;=13,$A64&lt;=IN_PRAZO,MONTH($B64)=5),PGBL_BENEFICIO,0))</f>
        <v>0</v>
      </c>
      <c r="BP64" s="180" t="n">
        <f aca="false">BO64*$F$24</f>
        <v>0</v>
      </c>
      <c r="BQ64" s="180" t="n">
        <f aca="false">BN64*$F$19</f>
        <v>1493.49393855387</v>
      </c>
      <c r="BR64" s="180" t="n">
        <f aca="false">BN64*$F$22</f>
        <v>190.715700163615</v>
      </c>
      <c r="BS64" s="180" t="n">
        <f aca="false">$F$23*MAX(0,BQ64-BN64*$F$18)</f>
        <v>0</v>
      </c>
      <c r="BT64" s="180" t="n">
        <f aca="false">IF(AND($F$27=1,OR(MONTH($B64)=5,MONTH($B64)=11)),MAX(0,$F$28*MAX(0,(BN64+BQ64-BR64-BS64+BO64-BP64)+BW63-BV64)-BW63),0)</f>
        <v>0</v>
      </c>
      <c r="BU64" s="181" t="n">
        <f aca="false">BN64+BQ64-BR64-BS64+BO64-BP64-BT64</f>
        <v>153875.338369283</v>
      </c>
      <c r="BV64" s="180" t="n">
        <f aca="false">BV63+BO64-BP64</f>
        <v>150000</v>
      </c>
      <c r="BW64" s="180" t="n">
        <f aca="false">BW63+BT64</f>
        <v>0</v>
      </c>
      <c r="BX64" s="180" t="n">
        <f aca="false">BU64+BW64-BV64</f>
        <v>3875.33836928249</v>
      </c>
      <c r="BY64" s="180" t="n">
        <f aca="false">MAX(0,IFERROR(INDEX(TAB_IR,MATCH($C64,TAB_IR_DIAS,1),MATCH($F$8,TAB_IR_REGIMES,0)),0)*IF($F$26=2,BU64,MAX(0,BX64))-BW64)</f>
        <v>53856.3684292489</v>
      </c>
      <c r="BZ64" s="181" t="n">
        <f aca="false">MAX(0,BU64-BY64-BU64*$F$25)</f>
        <v>100018.969940034</v>
      </c>
      <c r="CA64" s="180" t="n">
        <f aca="false">BZ64/$D64</f>
        <v>99043.0584195723</v>
      </c>
      <c r="CC64" s="180" t="n">
        <f aca="false">CJ63</f>
        <v>152205.213541783</v>
      </c>
      <c r="CD64" s="180" t="n">
        <f aca="false">IF($G$9=0,0,IF($A64&gt;IN_PRAZO,0,IF(APORTE_CORRIGIDO="Sim",IN_APORTE*$D64,IN_APORTE))+IF(AND($G$35=1,PGBL_REINVESTE="Sim",$A64&gt;=13,$A64&lt;=IN_PRAZO,MONTH($B64)=5),PGBL_BENEFICIO,0))</f>
        <v>0</v>
      </c>
      <c r="CE64" s="180" t="n">
        <f aca="false">CD64*$G$24</f>
        <v>0</v>
      </c>
      <c r="CF64" s="180" t="n">
        <f aca="false">CC64*$G$19</f>
        <v>1241.57224022732</v>
      </c>
      <c r="CG64" s="180" t="n">
        <f aca="false">CC64*$G$22</f>
        <v>126.837677951485</v>
      </c>
      <c r="CH64" s="180" t="n">
        <f aca="false">$G$23*MAX(0,CF64-CC64*$G$18)</f>
        <v>0</v>
      </c>
      <c r="CI64" s="180" t="n">
        <f aca="false">IF(AND($G$27=1,OR(MONTH($B64)=5,MONTH($B64)=11)),MAX(0,$G$28*MAX(0,(CC64+CF64-CG64-CH64+CD64-CE64)+CL63-CK64)-CL63),0)</f>
        <v>497.992215608759</v>
      </c>
      <c r="CJ64" s="181" t="n">
        <f aca="false">CC64+CF64-CG64-CH64+CD64-CE64-CI64</f>
        <v>152821.95588845</v>
      </c>
      <c r="CK64" s="180" t="n">
        <f aca="false">CK63+CD64-CE64</f>
        <v>150000</v>
      </c>
      <c r="CL64" s="180" t="n">
        <f aca="false">CL63+CI64</f>
        <v>497.992215608759</v>
      </c>
      <c r="CM64" s="180" t="n">
        <f aca="false">CJ64+CL64-CK64</f>
        <v>3319.94810405839</v>
      </c>
      <c r="CN64" s="180" t="n">
        <f aca="false">MAX(0,IFERROR(INDEX(TAB_IR,MATCH($C64,TAB_IR_DIAS,1),MATCH($G$8,TAB_IR_REGIMES,0)),0)*IF($G$26=2,CJ64,MAX(0,CM64))-CL64)</f>
        <v>248.99610780438</v>
      </c>
      <c r="CO64" s="181" t="n">
        <f aca="false">MAX(0,CJ64-CN64-CJ64*$G$25)</f>
        <v>152572.959780645</v>
      </c>
      <c r="CP64" s="180" t="n">
        <f aca="false">CO64/$D64</f>
        <v>151084.265093527</v>
      </c>
    </row>
    <row r="65" customFormat="false" ht="12" hidden="false" customHeight="true" outlineLevel="0" collapsed="false">
      <c r="A65" s="177" t="n">
        <v>4</v>
      </c>
      <c r="B65" s="178" t="n">
        <f aca="false">EDATE(DATA_INICIO,$A65)</f>
        <v>46379</v>
      </c>
      <c r="C65" s="177" t="n">
        <f aca="false">$A65*30</f>
        <v>120</v>
      </c>
      <c r="D65" s="179" t="n">
        <f aca="false">(1+IPCA_CENARIO)^($A65/12)</f>
        <v>1.01315940382018</v>
      </c>
      <c r="F65" s="180" t="n">
        <f aca="false">M64</f>
        <v>154234.184254498</v>
      </c>
      <c r="G65" s="180" t="n">
        <f aca="false">IF($B$9=0,0,IF($A65&gt;IN_PRAZO,0,IF(APORTE_CORRIGIDO="Sim",IN_APORTE*$D65,IN_APORTE))+IF(AND($B$35=1,PGBL_REINVESTE="Sim",$A65&gt;=13,$A65&lt;=IN_PRAZO,MONTH($B65)=5),PGBL_BENEFICIO,0))</f>
        <v>0</v>
      </c>
      <c r="H65" s="180" t="n">
        <f aca="false">G65*$B$24</f>
        <v>0</v>
      </c>
      <c r="I65" s="180" t="n">
        <f aca="false">F65*$B$19</f>
        <v>1463.49623782526</v>
      </c>
      <c r="J65" s="180" t="n">
        <f aca="false">F65*$B$22</f>
        <v>25.7056973757497</v>
      </c>
      <c r="K65" s="180" t="n">
        <f aca="false">$B$23*MAX(0,I65-F65*$B$18)</f>
        <v>0</v>
      </c>
      <c r="L65" s="180" t="n">
        <f aca="false">IF(AND($B$27=1,OR(MONTH($B65)=5,MONTH($B65)=11)),MAX(0,$B$28*MAX(0,(F65+I65-J65-K65+G65-H65)+O64-N65)-O64),0)</f>
        <v>0</v>
      </c>
      <c r="M65" s="181" t="n">
        <f aca="false">F65+I65-J65-K65+G65-H65-L65</f>
        <v>155671.974794948</v>
      </c>
      <c r="N65" s="180" t="n">
        <f aca="false">N64+G65-H65</f>
        <v>150000</v>
      </c>
      <c r="O65" s="180" t="n">
        <f aca="false">O64+L65</f>
        <v>0</v>
      </c>
      <c r="P65" s="180" t="n">
        <f aca="false">M65+O65-N65</f>
        <v>5671.97479494751</v>
      </c>
      <c r="Q65" s="180" t="n">
        <f aca="false">MAX(0,IFERROR(INDEX(TAB_IR,MATCH($C65,TAB_IR_DIAS,1),MATCH($B$8,TAB_IR_REGIMES,0)),0)*IF($B$26=2,M65,MAX(0,P65))-O65)</f>
        <v>1276.19432886319</v>
      </c>
      <c r="R65" s="181" t="n">
        <f aca="false">MAX(0,M65-Q65-M65*$B$25)</f>
        <v>154395.780466084</v>
      </c>
      <c r="S65" s="180" t="n">
        <f aca="false">R65/$D65</f>
        <v>152390.413476819</v>
      </c>
      <c r="U65" s="180" t="n">
        <f aca="false">AB64</f>
        <v>153624.560040365</v>
      </c>
      <c r="V65" s="180" t="n">
        <f aca="false">IF($C$9=0,0,IF($A65&gt;IN_PRAZO,0,IF(APORTE_CORRIGIDO="Sim",IN_APORTE*$D65,IN_APORTE))+IF(AND($C$35=1,PGBL_REINVESTE="Sim",$A65&gt;=13,$A65&lt;=IN_PRAZO,MONTH($B65)=5),PGBL_BENEFICIO,0))</f>
        <v>0</v>
      </c>
      <c r="W65" s="180" t="n">
        <f aca="false">V65*$C$24</f>
        <v>0</v>
      </c>
      <c r="X65" s="180" t="n">
        <f aca="false">U65*$C$19</f>
        <v>1253.15016959582</v>
      </c>
      <c r="Y65" s="180" t="n">
        <f aca="false">U65*$C$22</f>
        <v>25.6040933400608</v>
      </c>
      <c r="Z65" s="180" t="n">
        <f aca="false">$C$23*MAX(0,X65-U65*$C$18)</f>
        <v>0</v>
      </c>
      <c r="AA65" s="180" t="n">
        <f aca="false">IF(AND($C$27=1,OR(MONTH($B65)=5,MONTH($B65)=11)),MAX(0,$C$28*MAX(0,(U65+X65-Y65-Z65+V65-W65)+AD64-AC65)-AD64),0)</f>
        <v>0</v>
      </c>
      <c r="AB65" s="181" t="n">
        <f aca="false">U65+X65-Y65-Z65+V65-W65-AA65</f>
        <v>154852.106116621</v>
      </c>
      <c r="AC65" s="180" t="n">
        <f aca="false">AC64+V65-W65</f>
        <v>150000</v>
      </c>
      <c r="AD65" s="180" t="n">
        <f aca="false">AD64+AA65</f>
        <v>0</v>
      </c>
      <c r="AE65" s="180" t="n">
        <f aca="false">AB65+AD65-AC65</f>
        <v>4852.10611662059</v>
      </c>
      <c r="AF65" s="180" t="n">
        <f aca="false">MAX(0,IFERROR(INDEX(TAB_IR,MATCH($C65,TAB_IR_DIAS,1),MATCH($C$8,TAB_IR_REGIMES,0)),0)*IF($C$26=2,AB65,MAX(0,AE65))-AD65)</f>
        <v>1091.72387623963</v>
      </c>
      <c r="AG65" s="181" t="n">
        <f aca="false">MAX(0,AB65-AF65-AB65*$C$25)</f>
        <v>153760.382240381</v>
      </c>
      <c r="AH65" s="180" t="n">
        <f aca="false">AG65/$D65</f>
        <v>151763.268110248</v>
      </c>
      <c r="AJ65" s="180" t="n">
        <f aca="false">AQ64</f>
        <v>153144.935837779</v>
      </c>
      <c r="AK65" s="180" t="n">
        <f aca="false">IF($D$9=0,0,IF($A65&gt;IN_PRAZO,0,IF(APORTE_CORRIGIDO="Sim",IN_APORTE*$D65,IN_APORTE))+IF(AND($D$35=1,PGBL_REINVESTE="Sim",$A65&gt;=13,$A65&lt;=IN_PRAZO,MONTH($B65)=5),PGBL_BENEFICIO,0))</f>
        <v>0</v>
      </c>
      <c r="AL65" s="180" t="n">
        <f aca="false">AK65*$D$24</f>
        <v>0</v>
      </c>
      <c r="AM65" s="180" t="n">
        <f aca="false">AJ65*$D$19</f>
        <v>1376.57343291797</v>
      </c>
      <c r="AN65" s="180" t="n">
        <f aca="false">AJ65*$D$22</f>
        <v>127.620779864816</v>
      </c>
      <c r="AO65" s="180" t="n">
        <f aca="false">$D$23*MAX(0,AM65-AJ65*$D$18)</f>
        <v>0</v>
      </c>
      <c r="AP65" s="180" t="n">
        <f aca="false">IF(AND($D$27=1,OR(MONTH($B65)=5,MONTH($B65)=11)),MAX(0,$D$28*MAX(0,(AJ65+AM65-AN65-AO65+AK65-AL65)+AS64-AR65)-AS64),0)</f>
        <v>0</v>
      </c>
      <c r="AQ65" s="181" t="n">
        <f aca="false">AJ65+AM65-AN65-AO65+AK65-AL65-AP65</f>
        <v>154393.888490832</v>
      </c>
      <c r="AR65" s="180" t="n">
        <f aca="false">AR64+AK65-AL65</f>
        <v>150000</v>
      </c>
      <c r="AS65" s="180" t="n">
        <f aca="false">AS64+AP65</f>
        <v>554.988677255155</v>
      </c>
      <c r="AT65" s="180" t="n">
        <f aca="false">AQ65+AS65-AR65</f>
        <v>4948.87716808752</v>
      </c>
      <c r="AU65" s="180" t="n">
        <f aca="false">MAX(0,IFERROR(INDEX(TAB_IR,MATCH($C65,TAB_IR_DIAS,1),MATCH($D$8,TAB_IR_REGIMES,0)),0)*IF($D$26=2,AQ65,MAX(0,AT65))-AS65)</f>
        <v>558.508685564538</v>
      </c>
      <c r="AV65" s="181" t="n">
        <f aca="false">MAX(0,AQ65-AU65-AQ65*$D$25)</f>
        <v>153835.379805268</v>
      </c>
      <c r="AW65" s="180" t="n">
        <f aca="false">AV65/$D65</f>
        <v>151837.291570529</v>
      </c>
      <c r="AY65" s="180" t="n">
        <f aca="false">BF64</f>
        <v>153875.338369283</v>
      </c>
      <c r="AZ65" s="180" t="n">
        <f aca="false">IF($E$9=0,0,IF($A65&gt;IN_PRAZO,0,IF(APORTE_CORRIGIDO="Sim",IN_APORTE*$D65,IN_APORTE))+IF(AND($E$35=1,PGBL_REINVESTE="Sim",$A65&gt;=13,$A65&lt;=IN_PRAZO,MONTH($B65)=5),PGBL_BENEFICIO,0))</f>
        <v>0</v>
      </c>
      <c r="BA65" s="180" t="n">
        <f aca="false">AZ65*$E$24</f>
        <v>0</v>
      </c>
      <c r="BB65" s="180" t="n">
        <f aca="false">AY65*$E$19</f>
        <v>1506.2465029773</v>
      </c>
      <c r="BC65" s="180" t="n">
        <f aca="false">AY65*$E$22</f>
        <v>192.344172961603</v>
      </c>
      <c r="BD65" s="180" t="n">
        <f aca="false">$E$23*MAX(0,BB65-AY65*$E$18)</f>
        <v>0</v>
      </c>
      <c r="BE65" s="180" t="n">
        <f aca="false">IF(AND($E$27=1,OR(MONTH($B65)=5,MONTH($B65)=11)),MAX(0,$E$28*MAX(0,(AY65+BB65-BC65-BD65+AZ65-BA65)+BH64-BG65)-BH64),0)</f>
        <v>0</v>
      </c>
      <c r="BF65" s="181" t="n">
        <f aca="false">AY65+BB65-BC65-BD65+AZ65-BA65-BE65</f>
        <v>155189.240699298</v>
      </c>
      <c r="BG65" s="180" t="n">
        <f aca="false">BG64+AZ65-BA65</f>
        <v>150000</v>
      </c>
      <c r="BH65" s="180" t="n">
        <f aca="false">BH64+BE65</f>
        <v>0</v>
      </c>
      <c r="BI65" s="180" t="n">
        <f aca="false">BF65+BH65-BG65</f>
        <v>5189.24069929819</v>
      </c>
      <c r="BJ65" s="180" t="n">
        <f aca="false">MAX(0,IFERROR(INDEX(TAB_IR,MATCH($C65,TAB_IR_DIAS,1),MATCH($E$8,TAB_IR_REGIMES,0)),0)*IF($E$26=2,BF65,MAX(0,BI65))-BH65)</f>
        <v>1816.23424475436</v>
      </c>
      <c r="BK65" s="181" t="n">
        <f aca="false">MAX(0,BF65-BJ65-BF65*$E$25)</f>
        <v>153373.006454544</v>
      </c>
      <c r="BL65" s="180" t="n">
        <f aca="false">BK65/$D65</f>
        <v>151380.923748269</v>
      </c>
      <c r="BN65" s="180" t="n">
        <f aca="false">BU64</f>
        <v>153875.338369283</v>
      </c>
      <c r="BO65" s="180" t="n">
        <f aca="false">IF($F$9=0,0,IF($A65&gt;IN_PRAZO,0,IF(APORTE_CORRIGIDO="Sim",IN_APORTE*$D65,IN_APORTE))+IF(AND($F$35=1,PGBL_REINVESTE="Sim",$A65&gt;=13,$A65&lt;=IN_PRAZO,MONTH($B65)=5),PGBL_BENEFICIO,0))</f>
        <v>0</v>
      </c>
      <c r="BP65" s="180" t="n">
        <f aca="false">BO65*$F$24</f>
        <v>0</v>
      </c>
      <c r="BQ65" s="180" t="n">
        <f aca="false">BN65*$F$19</f>
        <v>1506.2465029773</v>
      </c>
      <c r="BR65" s="180" t="n">
        <f aca="false">BN65*$F$22</f>
        <v>192.344172961603</v>
      </c>
      <c r="BS65" s="180" t="n">
        <f aca="false">$F$23*MAX(0,BQ65-BN65*$F$18)</f>
        <v>0</v>
      </c>
      <c r="BT65" s="180" t="n">
        <f aca="false">IF(AND($F$27=1,OR(MONTH($B65)=5,MONTH($B65)=11)),MAX(0,$F$28*MAX(0,(BN65+BQ65-BR65-BS65+BO65-BP65)+BW64-BV65)-BW64),0)</f>
        <v>0</v>
      </c>
      <c r="BU65" s="181" t="n">
        <f aca="false">BN65+BQ65-BR65-BS65+BO65-BP65-BT65</f>
        <v>155189.240699298</v>
      </c>
      <c r="BV65" s="180" t="n">
        <f aca="false">BV64+BO65-BP65</f>
        <v>150000</v>
      </c>
      <c r="BW65" s="180" t="n">
        <f aca="false">BW64+BT65</f>
        <v>0</v>
      </c>
      <c r="BX65" s="180" t="n">
        <f aca="false">BU65+BW65-BV65</f>
        <v>5189.24069929819</v>
      </c>
      <c r="BY65" s="180" t="n">
        <f aca="false">MAX(0,IFERROR(INDEX(TAB_IR,MATCH($C65,TAB_IR_DIAS,1),MATCH($F$8,TAB_IR_REGIMES,0)),0)*IF($F$26=2,BU65,MAX(0,BX65))-BW65)</f>
        <v>54316.2342447544</v>
      </c>
      <c r="BZ65" s="181" t="n">
        <f aca="false">MAX(0,BU65-BY65-BU65*$F$25)</f>
        <v>100873.006454544</v>
      </c>
      <c r="CA65" s="180" t="n">
        <f aca="false">BZ65/$D65</f>
        <v>99562.8191123689</v>
      </c>
      <c r="CC65" s="180" t="n">
        <f aca="false">CJ64</f>
        <v>152821.95588845</v>
      </c>
      <c r="CD65" s="180" t="n">
        <f aca="false">IF($G$9=0,0,IF($A65&gt;IN_PRAZO,0,IF(APORTE_CORRIGIDO="Sim",IN_APORTE*$D65,IN_APORTE))+IF(AND($G$35=1,PGBL_REINVESTE="Sim",$A65&gt;=13,$A65&lt;=IN_PRAZO,MONTH($B65)=5),PGBL_BENEFICIO,0))</f>
        <v>0</v>
      </c>
      <c r="CE65" s="180" t="n">
        <f aca="false">CD65*$G$24</f>
        <v>0</v>
      </c>
      <c r="CF65" s="180" t="n">
        <f aca="false">CC65*$G$19</f>
        <v>1246.60314658839</v>
      </c>
      <c r="CG65" s="180" t="n">
        <f aca="false">CC65*$G$22</f>
        <v>127.351629907041</v>
      </c>
      <c r="CH65" s="180" t="n">
        <f aca="false">$G$23*MAX(0,CF65-CC65*$G$18)</f>
        <v>0</v>
      </c>
      <c r="CI65" s="180" t="n">
        <f aca="false">IF(AND($G$27=1,OR(MONTH($B65)=5,MONTH($B65)=11)),MAX(0,$G$28*MAX(0,(CC65+CF65-CG65-CH65+CD65-CE65)+CL64-CK65)-CL64),0)</f>
        <v>0</v>
      </c>
      <c r="CJ65" s="181" t="n">
        <f aca="false">CC65+CF65-CG65-CH65+CD65-CE65-CI65</f>
        <v>153941.207405131</v>
      </c>
      <c r="CK65" s="180" t="n">
        <f aca="false">CK64+CD65-CE65</f>
        <v>150000</v>
      </c>
      <c r="CL65" s="180" t="n">
        <f aca="false">CL64+CI65</f>
        <v>497.992215608759</v>
      </c>
      <c r="CM65" s="180" t="n">
        <f aca="false">CJ65+CL65-CK65</f>
        <v>4439.19962073973</v>
      </c>
      <c r="CN65" s="180" t="n">
        <f aca="false">MAX(0,IFERROR(INDEX(TAB_IR,MATCH($C65,TAB_IR_DIAS,1),MATCH($G$8,TAB_IR_REGIMES,0)),0)*IF($G$26=2,CJ65,MAX(0,CM65))-CL65)</f>
        <v>500.827699057681</v>
      </c>
      <c r="CO65" s="181" t="n">
        <f aca="false">MAX(0,CJ65-CN65-CJ65*$G$25)</f>
        <v>153440.379706073</v>
      </c>
      <c r="CP65" s="180" t="n">
        <f aca="false">CO65/$D65</f>
        <v>151447.421923458</v>
      </c>
    </row>
    <row r="66" customFormat="false" ht="12" hidden="false" customHeight="true" outlineLevel="0" collapsed="false">
      <c r="A66" s="177" t="n">
        <v>5</v>
      </c>
      <c r="B66" s="178" t="n">
        <f aca="false">EDATE(DATA_INICIO,$A66)</f>
        <v>46410</v>
      </c>
      <c r="C66" s="177" t="n">
        <f aca="false">$A66*30</f>
        <v>150</v>
      </c>
      <c r="D66" s="179" t="n">
        <f aca="false">(1+IPCA_CENARIO)^($A66/12)</f>
        <v>1.01647622406617</v>
      </c>
      <c r="F66" s="180" t="n">
        <f aca="false">M65</f>
        <v>155671.974794948</v>
      </c>
      <c r="G66" s="180" t="n">
        <f aca="false">IF($B$9=0,0,IF($A66&gt;IN_PRAZO,0,IF(APORTE_CORRIGIDO="Sim",IN_APORTE*$D66,IN_APORTE))+IF(AND($B$35=1,PGBL_REINVESTE="Sim",$A66&gt;=13,$A66&lt;=IN_PRAZO,MONTH($B66)=5),PGBL_BENEFICIO,0))</f>
        <v>0</v>
      </c>
      <c r="H66" s="180" t="n">
        <f aca="false">G66*$B$24</f>
        <v>0</v>
      </c>
      <c r="I66" s="180" t="n">
        <f aca="false">F66*$B$19</f>
        <v>1477.13913454689</v>
      </c>
      <c r="J66" s="180" t="n">
        <f aca="false">F66*$B$22</f>
        <v>25.9453291324913</v>
      </c>
      <c r="K66" s="180" t="n">
        <f aca="false">$B$23*MAX(0,I66-F66*$B$18)</f>
        <v>0</v>
      </c>
      <c r="L66" s="180" t="n">
        <f aca="false">IF(AND($B$27=1,OR(MONTH($B66)=5,MONTH($B66)=11)),MAX(0,$B$28*MAX(0,(F66+I66-J66-K66+G66-H66)+O65-N66)-O65),0)</f>
        <v>0</v>
      </c>
      <c r="M66" s="181" t="n">
        <f aca="false">F66+I66-J66-K66+G66-H66-L66</f>
        <v>157123.168600362</v>
      </c>
      <c r="N66" s="180" t="n">
        <f aca="false">N65+G66-H66</f>
        <v>150000</v>
      </c>
      <c r="O66" s="180" t="n">
        <f aca="false">O65+L66</f>
        <v>0</v>
      </c>
      <c r="P66" s="180" t="n">
        <f aca="false">M66+O66-N66</f>
        <v>7123.16860036191</v>
      </c>
      <c r="Q66" s="180" t="n">
        <f aca="false">MAX(0,IFERROR(INDEX(TAB_IR,MATCH($C66,TAB_IR_DIAS,1),MATCH($B$8,TAB_IR_REGIMES,0)),0)*IF($B$26=2,M66,MAX(0,P66))-O66)</f>
        <v>1602.71293508143</v>
      </c>
      <c r="R66" s="181" t="n">
        <f aca="false">MAX(0,M66-Q66-M66*$B$25)</f>
        <v>155520.455665281</v>
      </c>
      <c r="S66" s="180" t="n">
        <f aca="false">R66/$D66</f>
        <v>152999.599974073</v>
      </c>
      <c r="U66" s="180" t="n">
        <f aca="false">AB65</f>
        <v>154852.106116621</v>
      </c>
      <c r="V66" s="180" t="n">
        <f aca="false">IF($C$9=0,0,IF($A66&gt;IN_PRAZO,0,IF(APORTE_CORRIGIDO="Sim",IN_APORTE*$D66,IN_APORTE))+IF(AND($C$35=1,PGBL_REINVESTE="Sim",$A66&gt;=13,$A66&lt;=IN_PRAZO,MONTH($B66)=5),PGBL_BENEFICIO,0))</f>
        <v>0</v>
      </c>
      <c r="W66" s="180" t="n">
        <f aca="false">V66*$C$24</f>
        <v>0</v>
      </c>
      <c r="X66" s="180" t="n">
        <f aca="false">U66*$C$19</f>
        <v>1263.16353967963</v>
      </c>
      <c r="Y66" s="180" t="n">
        <f aca="false">U66*$C$22</f>
        <v>25.8086843527701</v>
      </c>
      <c r="Z66" s="180" t="n">
        <f aca="false">$C$23*MAX(0,X66-U66*$C$18)</f>
        <v>0</v>
      </c>
      <c r="AA66" s="180" t="n">
        <f aca="false">IF(AND($C$27=1,OR(MONTH($B66)=5,MONTH($B66)=11)),MAX(0,$C$28*MAX(0,(U66+X66-Y66-Z66+V66-W66)+AD65-AC66)-AD65),0)</f>
        <v>0</v>
      </c>
      <c r="AB66" s="181" t="n">
        <f aca="false">U66+X66-Y66-Z66+V66-W66-AA66</f>
        <v>156089.460971947</v>
      </c>
      <c r="AC66" s="180" t="n">
        <f aca="false">AC65+V66-W66</f>
        <v>150000</v>
      </c>
      <c r="AD66" s="180" t="n">
        <f aca="false">AD65+AA66</f>
        <v>0</v>
      </c>
      <c r="AE66" s="180" t="n">
        <f aca="false">AB66+AD66-AC66</f>
        <v>6089.46097194747</v>
      </c>
      <c r="AF66" s="180" t="n">
        <f aca="false">MAX(0,IFERROR(INDEX(TAB_IR,MATCH($C66,TAB_IR_DIAS,1),MATCH($C$8,TAB_IR_REGIMES,0)),0)*IF($C$26=2,AB66,MAX(0,AE66))-AD66)</f>
        <v>1370.12871868818</v>
      </c>
      <c r="AG66" s="181" t="n">
        <f aca="false">MAX(0,AB66-AF66-AB66*$C$25)</f>
        <v>154719.332253259</v>
      </c>
      <c r="AH66" s="180" t="n">
        <f aca="false">AG66/$D66</f>
        <v>152211.462098288</v>
      </c>
      <c r="AJ66" s="180" t="n">
        <f aca="false">AQ65</f>
        <v>154393.888490832</v>
      </c>
      <c r="AK66" s="180" t="n">
        <f aca="false">IF($D$9=0,0,IF($A66&gt;IN_PRAZO,0,IF(APORTE_CORRIGIDO="Sim",IN_APORTE*$D66,IN_APORTE))+IF(AND($D$35=1,PGBL_REINVESTE="Sim",$A66&gt;=13,$A66&lt;=IN_PRAZO,MONTH($B66)=5),PGBL_BENEFICIO,0))</f>
        <v>0</v>
      </c>
      <c r="AL66" s="180" t="n">
        <f aca="false">AK66*$D$24</f>
        <v>0</v>
      </c>
      <c r="AM66" s="180" t="n">
        <f aca="false">AJ66*$D$19</f>
        <v>1387.79988994549</v>
      </c>
      <c r="AN66" s="180" t="n">
        <f aca="false">AJ66*$D$22</f>
        <v>128.66157374236</v>
      </c>
      <c r="AO66" s="180" t="n">
        <f aca="false">$D$23*MAX(0,AM66-AJ66*$D$18)</f>
        <v>0</v>
      </c>
      <c r="AP66" s="180" t="n">
        <f aca="false">IF(AND($D$27=1,OR(MONTH($B66)=5,MONTH($B66)=11)),MAX(0,$D$28*MAX(0,(AJ66+AM66-AN66-AO66+AK66-AL66)+AS65-AR66)-AS65),0)</f>
        <v>0</v>
      </c>
      <c r="AQ66" s="181" t="n">
        <f aca="false">AJ66+AM66-AN66-AO66+AK66-AL66-AP66</f>
        <v>155653.026807035</v>
      </c>
      <c r="AR66" s="180" t="n">
        <f aca="false">AR65+AK66-AL66</f>
        <v>150000</v>
      </c>
      <c r="AS66" s="180" t="n">
        <f aca="false">AS65+AP66</f>
        <v>554.988677255155</v>
      </c>
      <c r="AT66" s="180" t="n">
        <f aca="false">AQ66+AS66-AR66</f>
        <v>6208.01548429061</v>
      </c>
      <c r="AU66" s="180" t="n">
        <f aca="false">MAX(0,IFERROR(INDEX(TAB_IR,MATCH($C66,TAB_IR_DIAS,1),MATCH($D$8,TAB_IR_REGIMES,0)),0)*IF($D$26=2,AQ66,MAX(0,AT66))-AS66)</f>
        <v>841.814806710232</v>
      </c>
      <c r="AV66" s="181" t="n">
        <f aca="false">MAX(0,AQ66-AU66-AQ66*$D$25)</f>
        <v>154811.212000325</v>
      </c>
      <c r="AW66" s="180" t="n">
        <f aca="false">AV66/$D66</f>
        <v>152301.852551986</v>
      </c>
      <c r="AY66" s="180" t="n">
        <f aca="false">BF65</f>
        <v>155189.240699298</v>
      </c>
      <c r="AZ66" s="180" t="n">
        <f aca="false">IF($E$9=0,0,IF($A66&gt;IN_PRAZO,0,IF(APORTE_CORRIGIDO="Sim",IN_APORTE*$D66,IN_APORTE))+IF(AND($E$35=1,PGBL_REINVESTE="Sim",$A66&gt;=13,$A66&lt;=IN_PRAZO,MONTH($B66)=5),PGBL_BENEFICIO,0))</f>
        <v>0</v>
      </c>
      <c r="BA66" s="180" t="n">
        <f aca="false">AZ66*$E$24</f>
        <v>0</v>
      </c>
      <c r="BB66" s="180" t="n">
        <f aca="false">AY66*$E$19</f>
        <v>1519.10795830089</v>
      </c>
      <c r="BC66" s="180" t="n">
        <f aca="false">AY66*$E$22</f>
        <v>193.986550874123</v>
      </c>
      <c r="BD66" s="180" t="n">
        <f aca="false">$E$23*MAX(0,BB66-AY66*$E$18)</f>
        <v>0</v>
      </c>
      <c r="BE66" s="180" t="n">
        <f aca="false">IF(AND($E$27=1,OR(MONTH($B66)=5,MONTH($B66)=11)),MAX(0,$E$28*MAX(0,(AY66+BB66-BC66-BD66+AZ66-BA66)+BH65-BG66)-BH65),0)</f>
        <v>0</v>
      </c>
      <c r="BF66" s="181" t="n">
        <f aca="false">AY66+BB66-BC66-BD66+AZ66-BA66-BE66</f>
        <v>156514.362106725</v>
      </c>
      <c r="BG66" s="180" t="n">
        <f aca="false">BG65+AZ66-BA66</f>
        <v>150000</v>
      </c>
      <c r="BH66" s="180" t="n">
        <f aca="false">BH65+BE66</f>
        <v>0</v>
      </c>
      <c r="BI66" s="180" t="n">
        <f aca="false">BF66+BH66-BG66</f>
        <v>6514.36210672493</v>
      </c>
      <c r="BJ66" s="180" t="n">
        <f aca="false">MAX(0,IFERROR(INDEX(TAB_IR,MATCH($C66,TAB_IR_DIAS,1),MATCH($E$8,TAB_IR_REGIMES,0)),0)*IF($E$26=2,BF66,MAX(0,BI66))-BH66)</f>
        <v>2280.02673735373</v>
      </c>
      <c r="BK66" s="181" t="n">
        <f aca="false">MAX(0,BF66-BJ66-BF66*$E$25)</f>
        <v>154234.335369371</v>
      </c>
      <c r="BL66" s="180" t="n">
        <f aca="false">BK66/$D66</f>
        <v>151734.326605686</v>
      </c>
      <c r="BN66" s="180" t="n">
        <f aca="false">BU65</f>
        <v>155189.240699298</v>
      </c>
      <c r="BO66" s="180" t="n">
        <f aca="false">IF($F$9=0,0,IF($A66&gt;IN_PRAZO,0,IF(APORTE_CORRIGIDO="Sim",IN_APORTE*$D66,IN_APORTE))+IF(AND($F$35=1,PGBL_REINVESTE="Sim",$A66&gt;=13,$A66&lt;=IN_PRAZO,MONTH($B66)=5),PGBL_BENEFICIO,0))</f>
        <v>0</v>
      </c>
      <c r="BP66" s="180" t="n">
        <f aca="false">BO66*$F$24</f>
        <v>0</v>
      </c>
      <c r="BQ66" s="180" t="n">
        <f aca="false">BN66*$F$19</f>
        <v>1519.10795830089</v>
      </c>
      <c r="BR66" s="180" t="n">
        <f aca="false">BN66*$F$22</f>
        <v>193.986550874123</v>
      </c>
      <c r="BS66" s="180" t="n">
        <f aca="false">$F$23*MAX(0,BQ66-BN66*$F$18)</f>
        <v>0</v>
      </c>
      <c r="BT66" s="180" t="n">
        <f aca="false">IF(AND($F$27=1,OR(MONTH($B66)=5,MONTH($B66)=11)),MAX(0,$F$28*MAX(0,(BN66+BQ66-BR66-BS66+BO66-BP66)+BW65-BV66)-BW65),0)</f>
        <v>0</v>
      </c>
      <c r="BU66" s="181" t="n">
        <f aca="false">BN66+BQ66-BR66-BS66+BO66-BP66-BT66</f>
        <v>156514.362106725</v>
      </c>
      <c r="BV66" s="180" t="n">
        <f aca="false">BV65+BO66-BP66</f>
        <v>150000</v>
      </c>
      <c r="BW66" s="180" t="n">
        <f aca="false">BW65+BT66</f>
        <v>0</v>
      </c>
      <c r="BX66" s="180" t="n">
        <f aca="false">BU66+BW66-BV66</f>
        <v>6514.36210672493</v>
      </c>
      <c r="BY66" s="180" t="n">
        <f aca="false">MAX(0,IFERROR(INDEX(TAB_IR,MATCH($C66,TAB_IR_DIAS,1),MATCH($F$8,TAB_IR_REGIMES,0)),0)*IF($F$26=2,BU66,MAX(0,BX66))-BW66)</f>
        <v>54780.0267373537</v>
      </c>
      <c r="BZ66" s="181" t="n">
        <f aca="false">MAX(0,BU66-BY66-BU66*$F$25)</f>
        <v>101734.335369371</v>
      </c>
      <c r="CA66" s="180" t="n">
        <f aca="false">BZ66/$D66</f>
        <v>100085.30741861</v>
      </c>
      <c r="CC66" s="180" t="n">
        <f aca="false">CJ65</f>
        <v>153941.207405131</v>
      </c>
      <c r="CD66" s="180" t="n">
        <f aca="false">IF($G$9=0,0,IF($A66&gt;IN_PRAZO,0,IF(APORTE_CORRIGIDO="Sim",IN_APORTE*$D66,IN_APORTE))+IF(AND($G$35=1,PGBL_REINVESTE="Sim",$A66&gt;=13,$A66&lt;=IN_PRAZO,MONTH($B66)=5),PGBL_BENEFICIO,0))</f>
        <v>0</v>
      </c>
      <c r="CE66" s="180" t="n">
        <f aca="false">CD66*$G$24</f>
        <v>0</v>
      </c>
      <c r="CF66" s="180" t="n">
        <f aca="false">CC66*$G$19</f>
        <v>1255.73313353566</v>
      </c>
      <c r="CG66" s="180" t="n">
        <f aca="false">CC66*$G$22</f>
        <v>128.284339504276</v>
      </c>
      <c r="CH66" s="180" t="n">
        <f aca="false">$G$23*MAX(0,CF66-CC66*$G$18)</f>
        <v>0</v>
      </c>
      <c r="CI66" s="180" t="n">
        <f aca="false">IF(AND($G$27=1,OR(MONTH($B66)=5,MONTH($B66)=11)),MAX(0,$G$28*MAX(0,(CC66+CF66-CG66-CH66+CD66-CE66)+CL65-CK66)-CL65),0)</f>
        <v>0</v>
      </c>
      <c r="CJ66" s="181" t="n">
        <f aca="false">CC66+CF66-CG66-CH66+CD66-CE66-CI66</f>
        <v>155068.656199162</v>
      </c>
      <c r="CK66" s="180" t="n">
        <f aca="false">CK65+CD66-CE66</f>
        <v>150000</v>
      </c>
      <c r="CL66" s="180" t="n">
        <f aca="false">CL65+CI66</f>
        <v>497.992215608759</v>
      </c>
      <c r="CM66" s="180" t="n">
        <f aca="false">CJ66+CL66-CK66</f>
        <v>5566.6484147711</v>
      </c>
      <c r="CN66" s="180" t="n">
        <f aca="false">MAX(0,IFERROR(INDEX(TAB_IR,MATCH($C66,TAB_IR_DIAS,1),MATCH($G$8,TAB_IR_REGIMES,0)),0)*IF($G$26=2,CJ66,MAX(0,CM66))-CL66)</f>
        <v>754.503677714739</v>
      </c>
      <c r="CO66" s="181" t="n">
        <f aca="false">MAX(0,CJ66-CN66-CJ66*$G$25)</f>
        <v>154314.152521448</v>
      </c>
      <c r="CP66" s="180" t="n">
        <f aca="false">CO66/$D66</f>
        <v>151812.849988906</v>
      </c>
    </row>
    <row r="67" customFormat="false" ht="12" hidden="false" customHeight="true" outlineLevel="0" collapsed="false">
      <c r="A67" s="177" t="n">
        <v>6</v>
      </c>
      <c r="B67" s="178" t="n">
        <f aca="false">EDATE(DATA_INICIO,$A67)</f>
        <v>46441</v>
      </c>
      <c r="C67" s="177" t="n">
        <f aca="false">$A67*30</f>
        <v>180</v>
      </c>
      <c r="D67" s="179" t="n">
        <f aca="false">(1+IPCA_CENARIO)^($A67/12)</f>
        <v>1.01980390271856</v>
      </c>
      <c r="F67" s="180" t="n">
        <f aca="false">M66</f>
        <v>157123.168600362</v>
      </c>
      <c r="G67" s="180" t="n">
        <f aca="false">IF($B$9=0,0,IF($A67&gt;IN_PRAZO,0,IF(APORTE_CORRIGIDO="Sim",IN_APORTE*$D67,IN_APORTE))+IF(AND($B$35=1,PGBL_REINVESTE="Sim",$A67&gt;=13,$A67&lt;=IN_PRAZO,MONTH($B67)=5),PGBL_BENEFICIO,0))</f>
        <v>0</v>
      </c>
      <c r="H67" s="180" t="n">
        <f aca="false">G67*$B$24</f>
        <v>0</v>
      </c>
      <c r="I67" s="180" t="n">
        <f aca="false">F67*$B$19</f>
        <v>1490.90921207441</v>
      </c>
      <c r="J67" s="180" t="n">
        <f aca="false">F67*$B$22</f>
        <v>26.187194766727</v>
      </c>
      <c r="K67" s="180" t="n">
        <f aca="false">$B$23*MAX(0,I67-F67*$B$18)</f>
        <v>0</v>
      </c>
      <c r="L67" s="180" t="n">
        <f aca="false">IF(AND($B$27=1,OR(MONTH($B67)=5,MONTH($B67)=11)),MAX(0,$B$28*MAX(0,(F67+I67-J67-K67+G67-H67)+O66-N67)-O66),0)</f>
        <v>0</v>
      </c>
      <c r="M67" s="181" t="n">
        <f aca="false">F67+I67-J67-K67+G67-H67-L67</f>
        <v>158587.89061767</v>
      </c>
      <c r="N67" s="180" t="n">
        <f aca="false">N66+G67-H67</f>
        <v>150000</v>
      </c>
      <c r="O67" s="180" t="n">
        <f aca="false">O66+L67</f>
        <v>0</v>
      </c>
      <c r="P67" s="180" t="n">
        <f aca="false">M67+O67-N67</f>
        <v>8587.89061766959</v>
      </c>
      <c r="Q67" s="180" t="n">
        <f aca="false">MAX(0,IFERROR(INDEX(TAB_IR,MATCH($C67,TAB_IR_DIAS,1),MATCH($B$8,TAB_IR_REGIMES,0)),0)*IF($B$26=2,M67,MAX(0,P67))-O67)</f>
        <v>1932.27538897566</v>
      </c>
      <c r="R67" s="181" t="n">
        <f aca="false">MAX(0,M67-Q67-M67*$B$25)</f>
        <v>156655.615228694</v>
      </c>
      <c r="S67" s="180" t="n">
        <f aca="false">R67/$D67</f>
        <v>153613.46903173</v>
      </c>
      <c r="U67" s="180" t="n">
        <f aca="false">AB66</f>
        <v>156089.460971947</v>
      </c>
      <c r="V67" s="180" t="n">
        <f aca="false">IF($C$9=0,0,IF($A67&gt;IN_PRAZO,0,IF(APORTE_CORRIGIDO="Sim",IN_APORTE*$D67,IN_APORTE))+IF(AND($C$35=1,PGBL_REINVESTE="Sim",$A67&gt;=13,$A67&lt;=IN_PRAZO,MONTH($B67)=5),PGBL_BENEFICIO,0))</f>
        <v>0</v>
      </c>
      <c r="W67" s="180" t="n">
        <f aca="false">V67*$C$24</f>
        <v>0</v>
      </c>
      <c r="X67" s="180" t="n">
        <f aca="false">U67*$C$19</f>
        <v>1273.25692218562</v>
      </c>
      <c r="Y67" s="180" t="n">
        <f aca="false">U67*$C$22</f>
        <v>26.0149101619912</v>
      </c>
      <c r="Z67" s="180" t="n">
        <f aca="false">$C$23*MAX(0,X67-U67*$C$18)</f>
        <v>0</v>
      </c>
      <c r="AA67" s="180" t="n">
        <f aca="false">IF(AND($C$27=1,OR(MONTH($B67)=5,MONTH($B67)=11)),MAX(0,$C$28*MAX(0,(U67+X67-Y67-Z67+V67-W67)+AD66-AC67)-AD66),0)</f>
        <v>0</v>
      </c>
      <c r="AB67" s="181" t="n">
        <f aca="false">U67+X67-Y67-Z67+V67-W67-AA67</f>
        <v>157336.702983971</v>
      </c>
      <c r="AC67" s="180" t="n">
        <f aca="false">AC66+V67-W67</f>
        <v>150000</v>
      </c>
      <c r="AD67" s="180" t="n">
        <f aca="false">AD66+AA67</f>
        <v>0</v>
      </c>
      <c r="AE67" s="180" t="n">
        <f aca="false">AB67+AD67-AC67</f>
        <v>7336.7029839711</v>
      </c>
      <c r="AF67" s="180" t="n">
        <f aca="false">MAX(0,IFERROR(INDEX(TAB_IR,MATCH($C67,TAB_IR_DIAS,1),MATCH($C$8,TAB_IR_REGIMES,0)),0)*IF($C$26=2,AB67,MAX(0,AE67))-AD67)</f>
        <v>1650.7581713935</v>
      </c>
      <c r="AG67" s="181" t="n">
        <f aca="false">MAX(0,AB67-AF67-AB67*$C$25)</f>
        <v>155685.944812578</v>
      </c>
      <c r="AH67" s="180" t="n">
        <f aca="false">AG67/$D67</f>
        <v>152662.628959897</v>
      </c>
      <c r="AJ67" s="180" t="n">
        <f aca="false">AQ66</f>
        <v>155653.026807035</v>
      </c>
      <c r="AK67" s="180" t="n">
        <f aca="false">IF($D$9=0,0,IF($A67&gt;IN_PRAZO,0,IF(APORTE_CORRIGIDO="Sim",IN_APORTE*$D67,IN_APORTE))+IF(AND($D$35=1,PGBL_REINVESTE="Sim",$A67&gt;=13,$A67&lt;=IN_PRAZO,MONTH($B67)=5),PGBL_BENEFICIO,0))</f>
        <v>0</v>
      </c>
      <c r="AL67" s="180" t="n">
        <f aca="false">AK67*$D$24</f>
        <v>0</v>
      </c>
      <c r="AM67" s="180" t="n">
        <f aca="false">AJ67*$D$19</f>
        <v>1399.11790281332</v>
      </c>
      <c r="AN67" s="180" t="n">
        <f aca="false">AJ67*$D$22</f>
        <v>129.71085567253</v>
      </c>
      <c r="AO67" s="180" t="n">
        <f aca="false">$D$23*MAX(0,AM67-AJ67*$D$18)</f>
        <v>0</v>
      </c>
      <c r="AP67" s="180" t="n">
        <f aca="false">IF(AND($D$27=1,OR(MONTH($B67)=5,MONTH($B67)=11)),MAX(0,$D$28*MAX(0,(AJ67+AM67-AN67-AO67+AK67-AL67)+AS66-AR67)-AS66),0)</f>
        <v>0</v>
      </c>
      <c r="AQ67" s="181" t="n">
        <f aca="false">AJ67+AM67-AN67-AO67+AK67-AL67-AP67</f>
        <v>156922.433854176</v>
      </c>
      <c r="AR67" s="180" t="n">
        <f aca="false">AR66+AK67-AL67</f>
        <v>150000</v>
      </c>
      <c r="AS67" s="180" t="n">
        <f aca="false">AS66+AP67</f>
        <v>554.988677255155</v>
      </c>
      <c r="AT67" s="180" t="n">
        <f aca="false">AQ67+AS67-AR67</f>
        <v>7477.42253143137</v>
      </c>
      <c r="AU67" s="180" t="n">
        <f aca="false">MAX(0,IFERROR(INDEX(TAB_IR,MATCH($C67,TAB_IR_DIAS,1),MATCH($D$8,TAB_IR_REGIMES,0)),0)*IF($D$26=2,AQ67,MAX(0,AT67))-AS67)</f>
        <v>1127.4313923169</v>
      </c>
      <c r="AV67" s="181" t="n">
        <f aca="false">MAX(0,AQ67-AU67-AQ67*$D$25)</f>
        <v>155795.002461859</v>
      </c>
      <c r="AW67" s="180" t="n">
        <f aca="false">AV67/$D67</f>
        <v>152769.568783319</v>
      </c>
      <c r="AY67" s="180" t="n">
        <f aca="false">BF66</f>
        <v>156514.362106725</v>
      </c>
      <c r="AZ67" s="180" t="n">
        <f aca="false">IF($E$9=0,0,IF($A67&gt;IN_PRAZO,0,IF(APORTE_CORRIGIDO="Sim",IN_APORTE*$D67,IN_APORTE))+IF(AND($E$35=1,PGBL_REINVESTE="Sim",$A67&gt;=13,$A67&lt;=IN_PRAZO,MONTH($B67)=5),PGBL_BENEFICIO,0))</f>
        <v>0</v>
      </c>
      <c r="BA67" s="180" t="n">
        <f aca="false">AZ67*$E$24</f>
        <v>0</v>
      </c>
      <c r="BB67" s="180" t="n">
        <f aca="false">AY67*$E$19</f>
        <v>1532.07923431633</v>
      </c>
      <c r="BC67" s="180" t="n">
        <f aca="false">AY67*$E$22</f>
        <v>195.642952633406</v>
      </c>
      <c r="BD67" s="180" t="n">
        <f aca="false">$E$23*MAX(0,BB67-AY67*$E$18)</f>
        <v>0</v>
      </c>
      <c r="BE67" s="180" t="n">
        <f aca="false">IF(AND($E$27=1,OR(MONTH($B67)=5,MONTH($B67)=11)),MAX(0,$E$28*MAX(0,(AY67+BB67-BC67-BD67+AZ67-BA67)+BH66-BG67)-BH66),0)</f>
        <v>0</v>
      </c>
      <c r="BF67" s="181" t="n">
        <f aca="false">AY67+BB67-BC67-BD67+AZ67-BA67-BE67</f>
        <v>157850.798388408</v>
      </c>
      <c r="BG67" s="180" t="n">
        <f aca="false">BG66+AZ67-BA67</f>
        <v>150000</v>
      </c>
      <c r="BH67" s="180" t="n">
        <f aca="false">BH66+BE67</f>
        <v>0</v>
      </c>
      <c r="BI67" s="180" t="n">
        <f aca="false">BF67+BH67-BG67</f>
        <v>7850.79838840786</v>
      </c>
      <c r="BJ67" s="180" t="n">
        <f aca="false">MAX(0,IFERROR(INDEX(TAB_IR,MATCH($C67,TAB_IR_DIAS,1),MATCH($E$8,TAB_IR_REGIMES,0)),0)*IF($E$26=2,BF67,MAX(0,BI67))-BH67)</f>
        <v>2747.77943594275</v>
      </c>
      <c r="BK67" s="181" t="n">
        <f aca="false">MAX(0,BF67-BJ67-BF67*$E$25)</f>
        <v>155103.018952465</v>
      </c>
      <c r="BL67" s="180" t="n">
        <f aca="false">BK67/$D67</f>
        <v>152091.02312611</v>
      </c>
      <c r="BN67" s="180" t="n">
        <f aca="false">BU66</f>
        <v>156514.362106725</v>
      </c>
      <c r="BO67" s="180" t="n">
        <f aca="false">IF($F$9=0,0,IF($A67&gt;IN_PRAZO,0,IF(APORTE_CORRIGIDO="Sim",IN_APORTE*$D67,IN_APORTE))+IF(AND($F$35=1,PGBL_REINVESTE="Sim",$A67&gt;=13,$A67&lt;=IN_PRAZO,MONTH($B67)=5),PGBL_BENEFICIO,0))</f>
        <v>0</v>
      </c>
      <c r="BP67" s="180" t="n">
        <f aca="false">BO67*$F$24</f>
        <v>0</v>
      </c>
      <c r="BQ67" s="180" t="n">
        <f aca="false">BN67*$F$19</f>
        <v>1532.07923431633</v>
      </c>
      <c r="BR67" s="180" t="n">
        <f aca="false">BN67*$F$22</f>
        <v>195.642952633406</v>
      </c>
      <c r="BS67" s="180" t="n">
        <f aca="false">$F$23*MAX(0,BQ67-BN67*$F$18)</f>
        <v>0</v>
      </c>
      <c r="BT67" s="180" t="n">
        <f aca="false">IF(AND($F$27=1,OR(MONTH($B67)=5,MONTH($B67)=11)),MAX(0,$F$28*MAX(0,(BN67+BQ67-BR67-BS67+BO67-BP67)+BW66-BV67)-BW66),0)</f>
        <v>0</v>
      </c>
      <c r="BU67" s="181" t="n">
        <f aca="false">BN67+BQ67-BR67-BS67+BO67-BP67-BT67</f>
        <v>157850.798388408</v>
      </c>
      <c r="BV67" s="180" t="n">
        <f aca="false">BV66+BO67-BP67</f>
        <v>150000</v>
      </c>
      <c r="BW67" s="180" t="n">
        <f aca="false">BW66+BT67</f>
        <v>0</v>
      </c>
      <c r="BX67" s="180" t="n">
        <f aca="false">BU67+BW67-BV67</f>
        <v>7850.79838840786</v>
      </c>
      <c r="BY67" s="180" t="n">
        <f aca="false">MAX(0,IFERROR(INDEX(TAB_IR,MATCH($C67,TAB_IR_DIAS,1),MATCH($F$8,TAB_IR_REGIMES,0)),0)*IF($F$26=2,BU67,MAX(0,BX67))-BW67)</f>
        <v>55247.7794359428</v>
      </c>
      <c r="BZ67" s="181" t="n">
        <f aca="false">MAX(0,BU67-BY67-BU67*$F$25)</f>
        <v>102603.018952465</v>
      </c>
      <c r="CA67" s="180" t="n">
        <f aca="false">BZ67/$D67</f>
        <v>100610.537652337</v>
      </c>
      <c r="CC67" s="180" t="n">
        <f aca="false">CJ66</f>
        <v>155068.656199162</v>
      </c>
      <c r="CD67" s="180" t="n">
        <f aca="false">IF($G$9=0,0,IF($A67&gt;IN_PRAZO,0,IF(APORTE_CORRIGIDO="Sim",IN_APORTE*$D67,IN_APORTE))+IF(AND($G$35=1,PGBL_REINVESTE="Sim",$A67&gt;=13,$A67&lt;=IN_PRAZO,MONTH($B67)=5),PGBL_BENEFICIO,0))</f>
        <v>0</v>
      </c>
      <c r="CE67" s="180" t="n">
        <f aca="false">CD67*$G$24</f>
        <v>0</v>
      </c>
      <c r="CF67" s="180" t="n">
        <f aca="false">CC67*$G$19</f>
        <v>1264.92998752229</v>
      </c>
      <c r="CG67" s="180" t="n">
        <f aca="false">CC67*$G$22</f>
        <v>129.223880165969</v>
      </c>
      <c r="CH67" s="180" t="n">
        <f aca="false">$G$23*MAX(0,CF67-CC67*$G$18)</f>
        <v>0</v>
      </c>
      <c r="CI67" s="180" t="n">
        <f aca="false">IF(AND($G$27=1,OR(MONTH($B67)=5,MONTH($B67)=11)),MAX(0,$G$28*MAX(0,(CC67+CF67-CG67-CH67+CD67-CE67)+CL66-CK67)-CL66),0)</f>
        <v>0</v>
      </c>
      <c r="CJ67" s="181" t="n">
        <f aca="false">CC67+CF67-CG67-CH67+CD67-CE67-CI67</f>
        <v>156204.362306519</v>
      </c>
      <c r="CK67" s="180" t="n">
        <f aca="false">CK66+CD67-CE67</f>
        <v>150000</v>
      </c>
      <c r="CL67" s="180" t="n">
        <f aca="false">CL66+CI67</f>
        <v>497.992215608759</v>
      </c>
      <c r="CM67" s="180" t="n">
        <f aca="false">CJ67+CL67-CK67</f>
        <v>6702.35452212743</v>
      </c>
      <c r="CN67" s="180" t="n">
        <f aca="false">MAX(0,IFERROR(INDEX(TAB_IR,MATCH($C67,TAB_IR_DIAS,1),MATCH($G$8,TAB_IR_REGIMES,0)),0)*IF($G$26=2,CJ67,MAX(0,CM67))-CL67)</f>
        <v>1010.03755186991</v>
      </c>
      <c r="CO67" s="181" t="n">
        <f aca="false">MAX(0,CJ67-CN67-CJ67*$G$25)</f>
        <v>155194.324754649</v>
      </c>
      <c r="CP67" s="180" t="n">
        <f aca="false">CO67/$D67</f>
        <v>152180.55583131</v>
      </c>
    </row>
    <row r="68" customFormat="false" ht="12" hidden="false" customHeight="true" outlineLevel="0" collapsed="false">
      <c r="A68" s="177" t="n">
        <v>7</v>
      </c>
      <c r="B68" s="178" t="n">
        <f aca="false">EDATE(DATA_INICIO,$A68)</f>
        <v>46469</v>
      </c>
      <c r="C68" s="177" t="n">
        <f aca="false">$A68*30</f>
        <v>210</v>
      </c>
      <c r="D68" s="179" t="n">
        <f aca="false">(1+IPCA_CENARIO)^($A68/12)</f>
        <v>1.02314247532493</v>
      </c>
      <c r="F68" s="180" t="n">
        <f aca="false">M67</f>
        <v>158587.89061767</v>
      </c>
      <c r="G68" s="180" t="n">
        <f aca="false">IF($B$9=0,0,IF($A68&gt;IN_PRAZO,0,IF(APORTE_CORRIGIDO="Sim",IN_APORTE*$D68,IN_APORTE))+IF(AND($B$35=1,PGBL_REINVESTE="Sim",$A68&gt;=13,$A68&lt;=IN_PRAZO,MONTH($B68)=5),PGBL_BENEFICIO,0))</f>
        <v>0</v>
      </c>
      <c r="H68" s="180" t="n">
        <f aca="false">G68*$B$24</f>
        <v>0</v>
      </c>
      <c r="I68" s="180" t="n">
        <f aca="false">F68*$B$19</f>
        <v>1504.80765600337</v>
      </c>
      <c r="J68" s="180" t="n">
        <f aca="false">F68*$B$22</f>
        <v>26.4313151029449</v>
      </c>
      <c r="K68" s="180" t="n">
        <f aca="false">$B$23*MAX(0,I68-F68*$B$18)</f>
        <v>0</v>
      </c>
      <c r="L68" s="180" t="n">
        <f aca="false">IF(AND($B$27=1,OR(MONTH($B68)=5,MONTH($B68)=11)),MAX(0,$B$28*MAX(0,(F68+I68-J68-K68+G68-H68)+O67-N68)-O67),0)</f>
        <v>0</v>
      </c>
      <c r="M68" s="181" t="n">
        <f aca="false">F68+I68-J68-K68+G68-H68-L68</f>
        <v>160066.26695857</v>
      </c>
      <c r="N68" s="180" t="n">
        <f aca="false">N67+G68-H68</f>
        <v>150000</v>
      </c>
      <c r="O68" s="180" t="n">
        <f aca="false">O67+L68</f>
        <v>0</v>
      </c>
      <c r="P68" s="180" t="n">
        <f aca="false">M68+O68-N68</f>
        <v>10066.26695857</v>
      </c>
      <c r="Q68" s="180" t="n">
        <f aca="false">MAX(0,IFERROR(INDEX(TAB_IR,MATCH($C68,TAB_IR_DIAS,1),MATCH($B$8,TAB_IR_REGIMES,0)),0)*IF($B$26=2,M68,MAX(0,P68))-O68)</f>
        <v>2013.253391714</v>
      </c>
      <c r="R68" s="181" t="n">
        <f aca="false">MAX(0,M68-Q68-M68*$B$25)</f>
        <v>158053.013566856</v>
      </c>
      <c r="S68" s="180" t="n">
        <f aca="false">R68/$D68</f>
        <v>154478.010031459</v>
      </c>
      <c r="U68" s="180" t="n">
        <f aca="false">AB67</f>
        <v>157336.702983971</v>
      </c>
      <c r="V68" s="180" t="n">
        <f aca="false">IF($C$9=0,0,IF($A68&gt;IN_PRAZO,0,IF(APORTE_CORRIGIDO="Sim",IN_APORTE*$D68,IN_APORTE))+IF(AND($C$35=1,PGBL_REINVESTE="Sim",$A68&gt;=13,$A68&lt;=IN_PRAZO,MONTH($B68)=5),PGBL_BENEFICIO,0))</f>
        <v>0</v>
      </c>
      <c r="W68" s="180" t="n">
        <f aca="false">V68*$C$24</f>
        <v>0</v>
      </c>
      <c r="X68" s="180" t="n">
        <f aca="false">U68*$C$19</f>
        <v>1283.43095645777</v>
      </c>
      <c r="Y68" s="180" t="n">
        <f aca="false">U68*$C$22</f>
        <v>26.2227838306619</v>
      </c>
      <c r="Z68" s="180" t="n">
        <f aca="false">$C$23*MAX(0,X68-U68*$C$18)</f>
        <v>0</v>
      </c>
      <c r="AA68" s="180" t="n">
        <f aca="false">IF(AND($C$27=1,OR(MONTH($B68)=5,MONTH($B68)=11)),MAX(0,$C$28*MAX(0,(U68+X68-Y68-Z68+V68-W68)+AD67-AC68)-AD67),0)</f>
        <v>0</v>
      </c>
      <c r="AB68" s="181" t="n">
        <f aca="false">U68+X68-Y68-Z68+V68-W68-AA68</f>
        <v>158593.911156598</v>
      </c>
      <c r="AC68" s="180" t="n">
        <f aca="false">AC67+V68-W68</f>
        <v>150000</v>
      </c>
      <c r="AD68" s="180" t="n">
        <f aca="false">AD67+AA68</f>
        <v>0</v>
      </c>
      <c r="AE68" s="180" t="n">
        <f aca="false">AB68+AD68-AC68</f>
        <v>8593.91115659822</v>
      </c>
      <c r="AF68" s="180" t="n">
        <f aca="false">MAX(0,IFERROR(INDEX(TAB_IR,MATCH($C68,TAB_IR_DIAS,1),MATCH($C$8,TAB_IR_REGIMES,0)),0)*IF($C$26=2,AB68,MAX(0,AE68))-AD68)</f>
        <v>1718.78223131964</v>
      </c>
      <c r="AG68" s="181" t="n">
        <f aca="false">MAX(0,AB68-AF68-AB68*$C$25)</f>
        <v>156875.128925279</v>
      </c>
      <c r="AH68" s="180" t="n">
        <f aca="false">AG68/$D68</f>
        <v>153326.767980636</v>
      </c>
      <c r="AJ68" s="180" t="n">
        <f aca="false">AQ67</f>
        <v>156922.433854176</v>
      </c>
      <c r="AK68" s="180" t="n">
        <f aca="false">IF($D$9=0,0,IF($A68&gt;IN_PRAZO,0,IF(APORTE_CORRIGIDO="Sim",IN_APORTE*$D68,IN_APORTE))+IF(AND($D$35=1,PGBL_REINVESTE="Sim",$A68&gt;=13,$A68&lt;=IN_PRAZO,MONTH($B68)=5),PGBL_BENEFICIO,0))</f>
        <v>0</v>
      </c>
      <c r="AL68" s="180" t="n">
        <f aca="false">AK68*$D$24</f>
        <v>0</v>
      </c>
      <c r="AM68" s="180" t="n">
        <f aca="false">AJ68*$D$19</f>
        <v>1410.52821819262</v>
      </c>
      <c r="AN68" s="180" t="n">
        <f aca="false">AJ68*$D$22</f>
        <v>130.76869487848</v>
      </c>
      <c r="AO68" s="180" t="n">
        <f aca="false">$D$23*MAX(0,AM68-AJ68*$D$18)</f>
        <v>0</v>
      </c>
      <c r="AP68" s="180" t="n">
        <f aca="false">IF(AND($D$27=1,OR(MONTH($B68)=5,MONTH($B68)=11)),MAX(0,$D$28*MAX(0,(AJ68+AM68-AN68-AO68+AK68-AL68)+AS67-AR68)-AS67),0)</f>
        <v>0</v>
      </c>
      <c r="AQ68" s="181" t="n">
        <f aca="false">AJ68+AM68-AN68-AO68+AK68-AL68-AP68</f>
        <v>158202.19337749</v>
      </c>
      <c r="AR68" s="180" t="n">
        <f aca="false">AR67+AK68-AL68</f>
        <v>150000</v>
      </c>
      <c r="AS68" s="180" t="n">
        <f aca="false">AS67+AP68</f>
        <v>554.988677255155</v>
      </c>
      <c r="AT68" s="180" t="n">
        <f aca="false">AQ68+AS68-AR68</f>
        <v>8757.18205474556</v>
      </c>
      <c r="AU68" s="180" t="n">
        <f aca="false">MAX(0,IFERROR(INDEX(TAB_IR,MATCH($C68,TAB_IR_DIAS,1),MATCH($D$8,TAB_IR_REGIMES,0)),0)*IF($D$26=2,AQ68,MAX(0,AT68))-AS68)</f>
        <v>1196.44773369396</v>
      </c>
      <c r="AV68" s="181" t="n">
        <f aca="false">MAX(0,AQ68-AU68-AQ68*$D$25)</f>
        <v>157005.745643796</v>
      </c>
      <c r="AW68" s="180" t="n">
        <f aca="false">AV68/$D68</f>
        <v>153454.430277596</v>
      </c>
      <c r="AY68" s="180" t="n">
        <f aca="false">BF67</f>
        <v>157850.798388408</v>
      </c>
      <c r="AZ68" s="180" t="n">
        <f aca="false">IF($E$9=0,0,IF($A68&gt;IN_PRAZO,0,IF(APORTE_CORRIGIDO="Sim",IN_APORTE*$D68,IN_APORTE))+IF(AND($E$35=1,PGBL_REINVESTE="Sim",$A68&gt;=13,$A68&lt;=IN_PRAZO,MONTH($B68)=5),PGBL_BENEFICIO,0))</f>
        <v>0</v>
      </c>
      <c r="BA68" s="180" t="n">
        <f aca="false">AZ68*$E$24</f>
        <v>0</v>
      </c>
      <c r="BB68" s="180" t="n">
        <f aca="false">AY68*$E$19</f>
        <v>1545.16126875453</v>
      </c>
      <c r="BC68" s="180" t="n">
        <f aca="false">AY68*$E$22</f>
        <v>197.31349798551</v>
      </c>
      <c r="BD68" s="180" t="n">
        <f aca="false">$E$23*MAX(0,BB68-AY68*$E$18)</f>
        <v>0</v>
      </c>
      <c r="BE68" s="180" t="n">
        <f aca="false">IF(AND($E$27=1,OR(MONTH($B68)=5,MONTH($B68)=11)),MAX(0,$E$28*MAX(0,(AY68+BB68-BC68-BD68+AZ68-BA68)+BH67-BG68)-BH67),0)</f>
        <v>0</v>
      </c>
      <c r="BF68" s="181" t="n">
        <f aca="false">AY68+BB68-BC68-BD68+AZ68-BA68-BE68</f>
        <v>159198.646159177</v>
      </c>
      <c r="BG68" s="180" t="n">
        <f aca="false">BG67+AZ68-BA68</f>
        <v>150000</v>
      </c>
      <c r="BH68" s="180" t="n">
        <f aca="false">BH67+BE68</f>
        <v>0</v>
      </c>
      <c r="BI68" s="180" t="n">
        <f aca="false">BF68+BH68-BG68</f>
        <v>9198.64615917689</v>
      </c>
      <c r="BJ68" s="180" t="n">
        <f aca="false">MAX(0,IFERROR(INDEX(TAB_IR,MATCH($C68,TAB_IR_DIAS,1),MATCH($E$8,TAB_IR_REGIMES,0)),0)*IF($E$26=2,BF68,MAX(0,BI68))-BH68)</f>
        <v>3219.52615571191</v>
      </c>
      <c r="BK68" s="181" t="n">
        <f aca="false">MAX(0,BF68-BJ68-BF68*$E$25)</f>
        <v>155979.120003465</v>
      </c>
      <c r="BL68" s="180" t="n">
        <f aca="false">BK68/$D68</f>
        <v>152451.025898352</v>
      </c>
      <c r="BN68" s="180" t="n">
        <f aca="false">BU67</f>
        <v>157850.798388408</v>
      </c>
      <c r="BO68" s="180" t="n">
        <f aca="false">IF($F$9=0,0,IF($A68&gt;IN_PRAZO,0,IF(APORTE_CORRIGIDO="Sim",IN_APORTE*$D68,IN_APORTE))+IF(AND($F$35=1,PGBL_REINVESTE="Sim",$A68&gt;=13,$A68&lt;=IN_PRAZO,MONTH($B68)=5),PGBL_BENEFICIO,0))</f>
        <v>0</v>
      </c>
      <c r="BP68" s="180" t="n">
        <f aca="false">BO68*$F$24</f>
        <v>0</v>
      </c>
      <c r="BQ68" s="180" t="n">
        <f aca="false">BN68*$F$19</f>
        <v>1545.16126875453</v>
      </c>
      <c r="BR68" s="180" t="n">
        <f aca="false">BN68*$F$22</f>
        <v>197.31349798551</v>
      </c>
      <c r="BS68" s="180" t="n">
        <f aca="false">$F$23*MAX(0,BQ68-BN68*$F$18)</f>
        <v>0</v>
      </c>
      <c r="BT68" s="180" t="n">
        <f aca="false">IF(AND($F$27=1,OR(MONTH($B68)=5,MONTH($B68)=11)),MAX(0,$F$28*MAX(0,(BN68+BQ68-BR68-BS68+BO68-BP68)+BW67-BV68)-BW67),0)</f>
        <v>0</v>
      </c>
      <c r="BU68" s="181" t="n">
        <f aca="false">BN68+BQ68-BR68-BS68+BO68-BP68-BT68</f>
        <v>159198.646159177</v>
      </c>
      <c r="BV68" s="180" t="n">
        <f aca="false">BV67+BO68-BP68</f>
        <v>150000</v>
      </c>
      <c r="BW68" s="180" t="n">
        <f aca="false">BW67+BT68</f>
        <v>0</v>
      </c>
      <c r="BX68" s="180" t="n">
        <f aca="false">BU68+BW68-BV68</f>
        <v>9198.64615917689</v>
      </c>
      <c r="BY68" s="180" t="n">
        <f aca="false">MAX(0,IFERROR(INDEX(TAB_IR,MATCH($C68,TAB_IR_DIAS,1),MATCH($F$8,TAB_IR_REGIMES,0)),0)*IF($F$26=2,BU68,MAX(0,BX68))-BW68)</f>
        <v>55719.5261557119</v>
      </c>
      <c r="BZ68" s="181" t="n">
        <f aca="false">MAX(0,BU68-BY68-BU68*$F$25)</f>
        <v>103479.120003465</v>
      </c>
      <c r="CA68" s="180" t="n">
        <f aca="false">BZ68/$D68</f>
        <v>101138.524202704</v>
      </c>
      <c r="CC68" s="180" t="n">
        <f aca="false">CJ67</f>
        <v>156204.362306519</v>
      </c>
      <c r="CD68" s="180" t="n">
        <f aca="false">IF($G$9=0,0,IF($A68&gt;IN_PRAZO,0,IF(APORTE_CORRIGIDO="Sim",IN_APORTE*$D68,IN_APORTE))+IF(AND($G$35=1,PGBL_REINVESTE="Sim",$A68&gt;=13,$A68&lt;=IN_PRAZO,MONTH($B68)=5),PGBL_BENEFICIO,0))</f>
        <v>0</v>
      </c>
      <c r="CE68" s="180" t="n">
        <f aca="false">CD68*$G$24</f>
        <v>0</v>
      </c>
      <c r="CF68" s="180" t="n">
        <f aca="false">CC68*$G$19</f>
        <v>1274.19419827525</v>
      </c>
      <c r="CG68" s="180" t="n">
        <f aca="false">CC68*$G$22</f>
        <v>130.170301922099</v>
      </c>
      <c r="CH68" s="180" t="n">
        <f aca="false">$G$23*MAX(0,CF68-CC68*$G$18)</f>
        <v>0</v>
      </c>
      <c r="CI68" s="180" t="n">
        <f aca="false">IF(AND($G$27=1,OR(MONTH($B68)=5,MONTH($B68)=11)),MAX(0,$G$28*MAX(0,(CC68+CF68-CG68-CH68+CD68-CE68)+CL67-CK68)-CL67),0)</f>
        <v>0</v>
      </c>
      <c r="CJ68" s="181" t="n">
        <f aca="false">CC68+CF68-CG68-CH68+CD68-CE68-CI68</f>
        <v>157348.386202872</v>
      </c>
      <c r="CK68" s="180" t="n">
        <f aca="false">CK67+CD68-CE68</f>
        <v>150000</v>
      </c>
      <c r="CL68" s="180" t="n">
        <f aca="false">CL67+CI68</f>
        <v>497.992215608759</v>
      </c>
      <c r="CM68" s="180" t="n">
        <f aca="false">CJ68+CL68-CK68</f>
        <v>7846.37841848057</v>
      </c>
      <c r="CN68" s="180" t="n">
        <f aca="false">MAX(0,IFERROR(INDEX(TAB_IR,MATCH($C68,TAB_IR_DIAS,1),MATCH($G$8,TAB_IR_REGIMES,0)),0)*IF($G$26=2,CJ68,MAX(0,CM68))-CL68)</f>
        <v>1071.28346808736</v>
      </c>
      <c r="CO68" s="181" t="n">
        <f aca="false">MAX(0,CJ68-CN68-CJ68*$G$25)</f>
        <v>156277.102734784</v>
      </c>
      <c r="CP68" s="180" t="n">
        <f aca="false">CO68/$D68</f>
        <v>152742.268553707</v>
      </c>
    </row>
    <row r="69" customFormat="false" ht="12" hidden="false" customHeight="true" outlineLevel="0" collapsed="false">
      <c r="A69" s="177" t="n">
        <v>8</v>
      </c>
      <c r="B69" s="178" t="n">
        <f aca="false">EDATE(DATA_INICIO,$A69)</f>
        <v>46500</v>
      </c>
      <c r="C69" s="177" t="n">
        <f aca="false">$A69*30</f>
        <v>240</v>
      </c>
      <c r="D69" s="179" t="n">
        <f aca="false">(1+IPCA_CENARIO)^($A69/12)</f>
        <v>1.02649197754926</v>
      </c>
      <c r="F69" s="180" t="n">
        <f aca="false">M68</f>
        <v>160066.26695857</v>
      </c>
      <c r="G69" s="180" t="n">
        <f aca="false">IF($B$9=0,0,IF($A69&gt;IN_PRAZO,0,IF(APORTE_CORRIGIDO="Sim",IN_APORTE*$D69,IN_APORTE))+IF(AND($B$35=1,PGBL_REINVESTE="Sim",$A69&gt;=13,$A69&lt;=IN_PRAZO,MONTH($B69)=5),PGBL_BENEFICIO,0))</f>
        <v>0</v>
      </c>
      <c r="H69" s="180" t="n">
        <f aca="false">G69*$B$24</f>
        <v>0</v>
      </c>
      <c r="I69" s="180" t="n">
        <f aca="false">F69*$B$19</f>
        <v>1518.83566298156</v>
      </c>
      <c r="J69" s="180" t="n">
        <f aca="false">F69*$B$22</f>
        <v>26.6777111597617</v>
      </c>
      <c r="K69" s="180" t="n">
        <f aca="false">$B$23*MAX(0,I69-F69*$B$18)</f>
        <v>0</v>
      </c>
      <c r="L69" s="180" t="n">
        <f aca="false">IF(AND($B$27=1,OR(MONTH($B69)=5,MONTH($B69)=11)),MAX(0,$B$28*MAX(0,(F69+I69-J69-K69+G69-H69)+O68-N69)-O68),0)</f>
        <v>0</v>
      </c>
      <c r="M69" s="181" t="n">
        <f aca="false">F69+I69-J69-K69+G69-H69-L69</f>
        <v>161558.424910392</v>
      </c>
      <c r="N69" s="180" t="n">
        <f aca="false">N68+G69-H69</f>
        <v>150000</v>
      </c>
      <c r="O69" s="180" t="n">
        <f aca="false">O68+L69</f>
        <v>0</v>
      </c>
      <c r="P69" s="180" t="n">
        <f aca="false">M69+O69-N69</f>
        <v>11558.4249103918</v>
      </c>
      <c r="Q69" s="180" t="n">
        <f aca="false">MAX(0,IFERROR(INDEX(TAB_IR,MATCH($C69,TAB_IR_DIAS,1),MATCH($B$8,TAB_IR_REGIMES,0)),0)*IF($B$26=2,M69,MAX(0,P69))-O69)</f>
        <v>2311.68498207837</v>
      </c>
      <c r="R69" s="181" t="n">
        <f aca="false">MAX(0,M69-Q69-M69*$B$25)</f>
        <v>159246.739928313</v>
      </c>
      <c r="S69" s="180" t="n">
        <f aca="false">R69/$D69</f>
        <v>155136.857775074</v>
      </c>
      <c r="U69" s="180" t="n">
        <f aca="false">AB68</f>
        <v>158593.911156598</v>
      </c>
      <c r="V69" s="180" t="n">
        <f aca="false">IF($C$9=0,0,IF($A69&gt;IN_PRAZO,0,IF(APORTE_CORRIGIDO="Sim",IN_APORTE*$D69,IN_APORTE))+IF(AND($C$35=1,PGBL_REINVESTE="Sim",$A69&gt;=13,$A69&lt;=IN_PRAZO,MONTH($B69)=5),PGBL_BENEFICIO,0))</f>
        <v>0</v>
      </c>
      <c r="W69" s="180" t="n">
        <f aca="false">V69*$C$24</f>
        <v>0</v>
      </c>
      <c r="X69" s="180" t="n">
        <f aca="false">U69*$C$19</f>
        <v>1293.68628694875</v>
      </c>
      <c r="Y69" s="180" t="n">
        <f aca="false">U69*$C$22</f>
        <v>26.4323185260997</v>
      </c>
      <c r="Z69" s="180" t="n">
        <f aca="false">$C$23*MAX(0,X69-U69*$C$18)</f>
        <v>0</v>
      </c>
      <c r="AA69" s="180" t="n">
        <f aca="false">IF(AND($C$27=1,OR(MONTH($B69)=5,MONTH($B69)=11)),MAX(0,$C$28*MAX(0,(U69+X69-Y69-Z69+V69-W69)+AD68-AC69)-AD68),0)</f>
        <v>0</v>
      </c>
      <c r="AB69" s="181" t="n">
        <f aca="false">U69+X69-Y69-Z69+V69-W69-AA69</f>
        <v>159861.165125021</v>
      </c>
      <c r="AC69" s="180" t="n">
        <f aca="false">AC68+V69-W69</f>
        <v>150000</v>
      </c>
      <c r="AD69" s="180" t="n">
        <f aca="false">AD68+AA69</f>
        <v>0</v>
      </c>
      <c r="AE69" s="180" t="n">
        <f aca="false">AB69+AD69-AC69</f>
        <v>9861.16512502087</v>
      </c>
      <c r="AF69" s="180" t="n">
        <f aca="false">MAX(0,IFERROR(INDEX(TAB_IR,MATCH($C69,TAB_IR_DIAS,1),MATCH($C$8,TAB_IR_REGIMES,0)),0)*IF($C$26=2,AB69,MAX(0,AE69))-AD69)</f>
        <v>1972.23302500417</v>
      </c>
      <c r="AG69" s="181" t="n">
        <f aca="false">MAX(0,AB69-AF69-AB69*$C$25)</f>
        <v>157888.932100017</v>
      </c>
      <c r="AH69" s="180" t="n">
        <f aca="false">AG69/$D69</f>
        <v>153814.092611786</v>
      </c>
      <c r="AJ69" s="180" t="n">
        <f aca="false">AQ68</f>
        <v>158202.19337749</v>
      </c>
      <c r="AK69" s="180" t="n">
        <f aca="false">IF($D$9=0,0,IF($A69&gt;IN_PRAZO,0,IF(APORTE_CORRIGIDO="Sim",IN_APORTE*$D69,IN_APORTE))+IF(AND($D$35=1,PGBL_REINVESTE="Sim",$A69&gt;=13,$A69&lt;=IN_PRAZO,MONTH($B69)=5),PGBL_BENEFICIO,0))</f>
        <v>0</v>
      </c>
      <c r="AL69" s="180" t="n">
        <f aca="false">AK69*$D$24</f>
        <v>0</v>
      </c>
      <c r="AM69" s="180" t="n">
        <f aca="false">AJ69*$D$19</f>
        <v>1422.03158884397</v>
      </c>
      <c r="AN69" s="180" t="n">
        <f aca="false">AJ69*$D$22</f>
        <v>131.835161147909</v>
      </c>
      <c r="AO69" s="180" t="n">
        <f aca="false">$D$23*MAX(0,AM69-AJ69*$D$18)</f>
        <v>0</v>
      </c>
      <c r="AP69" s="180" t="n">
        <f aca="false">IF(AND($D$27=1,OR(MONTH($B69)=5,MONTH($B69)=11)),MAX(0,$D$28*MAX(0,(AJ69+AM69-AN69-AO69+AK69-AL69)+AS68-AR69)-AS68),0)</f>
        <v>0</v>
      </c>
      <c r="AQ69" s="181" t="n">
        <f aca="false">AJ69+AM69-AN69-AO69+AK69-AL69-AP69</f>
        <v>159492.389805186</v>
      </c>
      <c r="AR69" s="180" t="n">
        <f aca="false">AR68+AK69-AL69</f>
        <v>150000</v>
      </c>
      <c r="AS69" s="180" t="n">
        <f aca="false">AS68+AP69</f>
        <v>554.988677255155</v>
      </c>
      <c r="AT69" s="180" t="n">
        <f aca="false">AQ69+AS69-AR69</f>
        <v>10047.3784824416</v>
      </c>
      <c r="AU69" s="180" t="n">
        <f aca="false">MAX(0,IFERROR(INDEX(TAB_IR,MATCH($C69,TAB_IR_DIAS,1),MATCH($D$8,TAB_IR_REGIMES,0)),0)*IF($D$26=2,AQ69,MAX(0,AT69))-AS69)</f>
        <v>1454.48701923316</v>
      </c>
      <c r="AV69" s="181" t="n">
        <f aca="false">MAX(0,AQ69-AU69-AQ69*$D$25)</f>
        <v>158037.902785953</v>
      </c>
      <c r="AW69" s="180" t="n">
        <f aca="false">AV69/$D69</f>
        <v>153959.2186227</v>
      </c>
      <c r="AY69" s="180" t="n">
        <f aca="false">BF68</f>
        <v>159198.646159177</v>
      </c>
      <c r="AZ69" s="180" t="n">
        <f aca="false">IF($E$9=0,0,IF($A69&gt;IN_PRAZO,0,IF(APORTE_CORRIGIDO="Sim",IN_APORTE*$D69,IN_APORTE))+IF(AND($E$35=1,PGBL_REINVESTE="Sim",$A69&gt;=13,$A69&lt;=IN_PRAZO,MONTH($B69)=5),PGBL_BENEFICIO,0))</f>
        <v>0</v>
      </c>
      <c r="BA69" s="180" t="n">
        <f aca="false">AZ69*$E$24</f>
        <v>0</v>
      </c>
      <c r="BB69" s="180" t="n">
        <f aca="false">AY69*$E$19</f>
        <v>1558.35500735347</v>
      </c>
      <c r="BC69" s="180" t="n">
        <f aca="false">AY69*$E$22</f>
        <v>198.998307698971</v>
      </c>
      <c r="BD69" s="180" t="n">
        <f aca="false">$E$23*MAX(0,BB69-AY69*$E$18)</f>
        <v>0</v>
      </c>
      <c r="BE69" s="180" t="n">
        <f aca="false">IF(AND($E$27=1,OR(MONTH($B69)=5,MONTH($B69)=11)),MAX(0,$E$28*MAX(0,(AY69+BB69-BC69-BD69+AZ69-BA69)+BH68-BG69)-BH68),0)</f>
        <v>0</v>
      </c>
      <c r="BF69" s="181" t="n">
        <f aca="false">AY69+BB69-BC69-BD69+AZ69-BA69-BE69</f>
        <v>160558.002858831</v>
      </c>
      <c r="BG69" s="180" t="n">
        <f aca="false">BG68+AZ69-BA69</f>
        <v>150000</v>
      </c>
      <c r="BH69" s="180" t="n">
        <f aca="false">BH68+BE69</f>
        <v>0</v>
      </c>
      <c r="BI69" s="180" t="n">
        <f aca="false">BF69+BH69-BG69</f>
        <v>10558.0028588314</v>
      </c>
      <c r="BJ69" s="180" t="n">
        <f aca="false">MAX(0,IFERROR(INDEX(TAB_IR,MATCH($C69,TAB_IR_DIAS,1),MATCH($E$8,TAB_IR_REGIMES,0)),0)*IF($E$26=2,BF69,MAX(0,BI69))-BH69)</f>
        <v>3695.30100059099</v>
      </c>
      <c r="BK69" s="181" t="n">
        <f aca="false">MAX(0,BF69-BJ69-BF69*$E$25)</f>
        <v>156862.70185824</v>
      </c>
      <c r="BL69" s="180" t="n">
        <f aca="false">BK69/$D69</f>
        <v>152814.347592613</v>
      </c>
      <c r="BN69" s="180" t="n">
        <f aca="false">BU68</f>
        <v>159198.646159177</v>
      </c>
      <c r="BO69" s="180" t="n">
        <f aca="false">IF($F$9=0,0,IF($A69&gt;IN_PRAZO,0,IF(APORTE_CORRIGIDO="Sim",IN_APORTE*$D69,IN_APORTE))+IF(AND($F$35=1,PGBL_REINVESTE="Sim",$A69&gt;=13,$A69&lt;=IN_PRAZO,MONTH($B69)=5),PGBL_BENEFICIO,0))</f>
        <v>0</v>
      </c>
      <c r="BP69" s="180" t="n">
        <f aca="false">BO69*$F$24</f>
        <v>0</v>
      </c>
      <c r="BQ69" s="180" t="n">
        <f aca="false">BN69*$F$19</f>
        <v>1558.35500735347</v>
      </c>
      <c r="BR69" s="180" t="n">
        <f aca="false">BN69*$F$22</f>
        <v>198.998307698971</v>
      </c>
      <c r="BS69" s="180" t="n">
        <f aca="false">$F$23*MAX(0,BQ69-BN69*$F$18)</f>
        <v>0</v>
      </c>
      <c r="BT69" s="180" t="n">
        <f aca="false">IF(AND($F$27=1,OR(MONTH($B69)=5,MONTH($B69)=11)),MAX(0,$F$28*MAX(0,(BN69+BQ69-BR69-BS69+BO69-BP69)+BW68-BV69)-BW68),0)</f>
        <v>0</v>
      </c>
      <c r="BU69" s="181" t="n">
        <f aca="false">BN69+BQ69-BR69-BS69+BO69-BP69-BT69</f>
        <v>160558.002858831</v>
      </c>
      <c r="BV69" s="180" t="n">
        <f aca="false">BV68+BO69-BP69</f>
        <v>150000</v>
      </c>
      <c r="BW69" s="180" t="n">
        <f aca="false">BW68+BT69</f>
        <v>0</v>
      </c>
      <c r="BX69" s="180" t="n">
        <f aca="false">BU69+BW69-BV69</f>
        <v>10558.0028588314</v>
      </c>
      <c r="BY69" s="180" t="n">
        <f aca="false">MAX(0,IFERROR(INDEX(TAB_IR,MATCH($C69,TAB_IR_DIAS,1),MATCH($F$8,TAB_IR_REGIMES,0)),0)*IF($F$26=2,BU69,MAX(0,BX69))-BW69)</f>
        <v>56195.301000591</v>
      </c>
      <c r="BZ69" s="181" t="n">
        <f aca="false">MAX(0,BU69-BY69-BU69*$F$25)</f>
        <v>104362.70185824</v>
      </c>
      <c r="CA69" s="180" t="n">
        <f aca="false">BZ69/$D69</f>
        <v>101669.281534382</v>
      </c>
      <c r="CC69" s="180" t="n">
        <f aca="false">CJ68</f>
        <v>157348.386202872</v>
      </c>
      <c r="CD69" s="180" t="n">
        <f aca="false">IF($G$9=0,0,IF($A69&gt;IN_PRAZO,0,IF(APORTE_CORRIGIDO="Sim",IN_APORTE*$D69,IN_APORTE))+IF(AND($G$35=1,PGBL_REINVESTE="Sim",$A69&gt;=13,$A69&lt;=IN_PRAZO,MONTH($B69)=5),PGBL_BENEFICIO,0))</f>
        <v>0</v>
      </c>
      <c r="CE69" s="180" t="n">
        <f aca="false">CD69*$G$24</f>
        <v>0</v>
      </c>
      <c r="CF69" s="180" t="n">
        <f aca="false">CC69*$G$19</f>
        <v>1283.52625910823</v>
      </c>
      <c r="CG69" s="180" t="n">
        <f aca="false">CC69*$G$22</f>
        <v>131.12365516906</v>
      </c>
      <c r="CH69" s="180" t="n">
        <f aca="false">$G$23*MAX(0,CF69-CC69*$G$18)</f>
        <v>0</v>
      </c>
      <c r="CI69" s="180" t="n">
        <f aca="false">IF(AND($G$27=1,OR(MONTH($B69)=5,MONTH($B69)=11)),MAX(0,$G$28*MAX(0,(CC69+CF69-CG69-CH69+CD69-CE69)+CL68-CK69)-CL68),0)</f>
        <v>0</v>
      </c>
      <c r="CJ69" s="181" t="n">
        <f aca="false">CC69+CF69-CG69-CH69+CD69-CE69-CI69</f>
        <v>158500.788806811</v>
      </c>
      <c r="CK69" s="180" t="n">
        <f aca="false">CK68+CD69-CE69</f>
        <v>150000</v>
      </c>
      <c r="CL69" s="180" t="n">
        <f aca="false">CL68+CI69</f>
        <v>497.992215608759</v>
      </c>
      <c r="CM69" s="180" t="n">
        <f aca="false">CJ69+CL69-CK69</f>
        <v>8998.78102241972</v>
      </c>
      <c r="CN69" s="180" t="n">
        <f aca="false">MAX(0,IFERROR(INDEX(TAB_IR,MATCH($C69,TAB_IR_DIAS,1),MATCH($G$8,TAB_IR_REGIMES,0)),0)*IF($G$26=2,CJ69,MAX(0,CM69))-CL69)</f>
        <v>1301.76398887518</v>
      </c>
      <c r="CO69" s="181" t="n">
        <f aca="false">MAX(0,CJ69-CN69-CJ69*$G$25)</f>
        <v>157199.024817936</v>
      </c>
      <c r="CP69" s="180" t="n">
        <f aca="false">CO69/$D69</f>
        <v>153141.990640051</v>
      </c>
    </row>
    <row r="70" customFormat="false" ht="12" hidden="false" customHeight="true" outlineLevel="0" collapsed="false">
      <c r="A70" s="177" t="n">
        <v>9</v>
      </c>
      <c r="B70" s="178" t="n">
        <f aca="false">EDATE(DATA_INICIO,$A70)</f>
        <v>46530</v>
      </c>
      <c r="C70" s="177" t="n">
        <f aca="false">$A70*30</f>
        <v>270</v>
      </c>
      <c r="D70" s="179" t="n">
        <f aca="false">(1+IPCA_CENARIO)^($A70/12)</f>
        <v>1.02985244517227</v>
      </c>
      <c r="F70" s="180" t="n">
        <f aca="false">M69</f>
        <v>161558.424910392</v>
      </c>
      <c r="G70" s="180" t="n">
        <f aca="false">IF($B$9=0,0,IF($A70&gt;IN_PRAZO,0,IF(APORTE_CORRIGIDO="Sim",IN_APORTE*$D70,IN_APORTE))+IF(AND($B$35=1,PGBL_REINVESTE="Sim",$A70&gt;=13,$A70&lt;=IN_PRAZO,MONTH($B70)=5),PGBL_BENEFICIO,0))</f>
        <v>0</v>
      </c>
      <c r="H70" s="180" t="n">
        <f aca="false">G70*$B$24</f>
        <v>0</v>
      </c>
      <c r="I70" s="180" t="n">
        <f aca="false">F70*$B$19</f>
        <v>1532.99444081209</v>
      </c>
      <c r="J70" s="180" t="n">
        <f aca="false">F70*$B$22</f>
        <v>26.926404151732</v>
      </c>
      <c r="K70" s="180" t="n">
        <f aca="false">$B$23*MAX(0,I70-F70*$B$18)</f>
        <v>0</v>
      </c>
      <c r="L70" s="180" t="n">
        <f aca="false">IF(AND($B$27=1,OR(MONTH($B70)=5,MONTH($B70)=11)),MAX(0,$B$28*MAX(0,(F70+I70-J70-K70+G70-H70)+O69-N70)-O69),0)</f>
        <v>0</v>
      </c>
      <c r="M70" s="181" t="n">
        <f aca="false">F70+I70-J70-K70+G70-H70-L70</f>
        <v>163064.492947052</v>
      </c>
      <c r="N70" s="180" t="n">
        <f aca="false">N69+G70-H70</f>
        <v>150000</v>
      </c>
      <c r="O70" s="180" t="n">
        <f aca="false">O69+L70</f>
        <v>0</v>
      </c>
      <c r="P70" s="180" t="n">
        <f aca="false">M70+O70-N70</f>
        <v>13064.4929470522</v>
      </c>
      <c r="Q70" s="180" t="n">
        <f aca="false">MAX(0,IFERROR(INDEX(TAB_IR,MATCH($C70,TAB_IR_DIAS,1),MATCH($B$8,TAB_IR_REGIMES,0)),0)*IF($B$26=2,M70,MAX(0,P70))-O70)</f>
        <v>2612.89858941044</v>
      </c>
      <c r="R70" s="181" t="n">
        <f aca="false">MAX(0,M70-Q70-M70*$B$25)</f>
        <v>160451.594357642</v>
      </c>
      <c r="S70" s="180" t="n">
        <f aca="false">R70/$D70</f>
        <v>155800.566488729</v>
      </c>
      <c r="U70" s="180" t="n">
        <f aca="false">AB69</f>
        <v>159861.165125021</v>
      </c>
      <c r="V70" s="180" t="n">
        <f aca="false">IF($C$9=0,0,IF($A70&gt;IN_PRAZO,0,IF(APORTE_CORRIGIDO="Sim",IN_APORTE*$D70,IN_APORTE))+IF(AND($C$35=1,PGBL_REINVESTE="Sim",$A70&gt;=13,$A70&lt;=IN_PRAZO,MONTH($B70)=5),PGBL_BENEFICIO,0))</f>
        <v>0</v>
      </c>
      <c r="W70" s="180" t="n">
        <f aca="false">V70*$C$24</f>
        <v>0</v>
      </c>
      <c r="X70" s="180" t="n">
        <f aca="false">U70*$C$19</f>
        <v>1304.02356326077</v>
      </c>
      <c r="Y70" s="180" t="n">
        <f aca="false">U70*$C$22</f>
        <v>26.6435275208368</v>
      </c>
      <c r="Z70" s="180" t="n">
        <f aca="false">$C$23*MAX(0,X70-U70*$C$18)</f>
        <v>0</v>
      </c>
      <c r="AA70" s="180" t="n">
        <f aca="false">IF(AND($C$27=1,OR(MONTH($B70)=5,MONTH($B70)=11)),MAX(0,$C$28*MAX(0,(U70+X70-Y70-Z70+V70-W70)+AD69-AC70)-AD69),0)</f>
        <v>0</v>
      </c>
      <c r="AB70" s="181" t="n">
        <f aca="false">U70+X70-Y70-Z70+V70-W70-AA70</f>
        <v>161138.545160761</v>
      </c>
      <c r="AC70" s="180" t="n">
        <f aca="false">AC69+V70-W70</f>
        <v>150000</v>
      </c>
      <c r="AD70" s="180" t="n">
        <f aca="false">AD69+AA70</f>
        <v>0</v>
      </c>
      <c r="AE70" s="180" t="n">
        <f aca="false">AB70+AD70-AC70</f>
        <v>11138.5451607608</v>
      </c>
      <c r="AF70" s="180" t="n">
        <f aca="false">MAX(0,IFERROR(INDEX(TAB_IR,MATCH($C70,TAB_IR_DIAS,1),MATCH($C$8,TAB_IR_REGIMES,0)),0)*IF($C$26=2,AB70,MAX(0,AE70))-AD70)</f>
        <v>2227.70903215216</v>
      </c>
      <c r="AG70" s="181" t="n">
        <f aca="false">MAX(0,AB70-AF70-AB70*$C$25)</f>
        <v>158910.836128609</v>
      </c>
      <c r="AH70" s="180" t="n">
        <f aca="false">AG70/$D70</f>
        <v>154304.470386558</v>
      </c>
      <c r="AJ70" s="180" t="n">
        <f aca="false">AQ69</f>
        <v>159492.389805186</v>
      </c>
      <c r="AK70" s="180" t="n">
        <f aca="false">IF($D$9=0,0,IF($A70&gt;IN_PRAZO,0,IF(APORTE_CORRIGIDO="Sim",IN_APORTE*$D70,IN_APORTE))+IF(AND($D$35=1,PGBL_REINVESTE="Sim",$A70&gt;=13,$A70&lt;=IN_PRAZO,MONTH($B70)=5),PGBL_BENEFICIO,0))</f>
        <v>0</v>
      </c>
      <c r="AL70" s="180" t="n">
        <f aca="false">AK70*$D$24</f>
        <v>0</v>
      </c>
      <c r="AM70" s="180" t="n">
        <f aca="false">AJ70*$D$19</f>
        <v>1433.62877366693</v>
      </c>
      <c r="AN70" s="180" t="n">
        <f aca="false">AJ70*$D$22</f>
        <v>132.910324837655</v>
      </c>
      <c r="AO70" s="180" t="n">
        <f aca="false">$D$23*MAX(0,AM70-AJ70*$D$18)</f>
        <v>0</v>
      </c>
      <c r="AP70" s="180" t="n">
        <f aca="false">IF(AND($D$27=1,OR(MONTH($B70)=5,MONTH($B70)=11)),MAX(0,$D$28*MAX(0,(AJ70+AM70-AN70-AO70+AK70-AL70)+AS69-AR70)-AS69),0)</f>
        <v>1147.22586243547</v>
      </c>
      <c r="AQ70" s="181" t="n">
        <f aca="false">AJ70+AM70-AN70-AO70+AK70-AL70-AP70</f>
        <v>159645.88239158</v>
      </c>
      <c r="AR70" s="180" t="n">
        <f aca="false">AR69+AK70-AL70</f>
        <v>150000</v>
      </c>
      <c r="AS70" s="180" t="n">
        <f aca="false">AS69+AP70</f>
        <v>1702.21453969063</v>
      </c>
      <c r="AT70" s="180" t="n">
        <f aca="false">AQ70+AS70-AR70</f>
        <v>11348.0969312708</v>
      </c>
      <c r="AU70" s="180" t="n">
        <f aca="false">MAX(0,IFERROR(INDEX(TAB_IR,MATCH($C70,TAB_IR_DIAS,1),MATCH($D$8,TAB_IR_REGIMES,0)),0)*IF($D$26=2,AQ70,MAX(0,AT70))-AS70)</f>
        <v>567.404846563542</v>
      </c>
      <c r="AV70" s="181" t="n">
        <f aca="false">MAX(0,AQ70-AU70-AQ70*$D$25)</f>
        <v>159078.477545017</v>
      </c>
      <c r="AW70" s="180" t="n">
        <f aca="false">AV70/$D70</f>
        <v>154467.252362941</v>
      </c>
      <c r="AY70" s="180" t="n">
        <f aca="false">BF69</f>
        <v>160558.002858831</v>
      </c>
      <c r="AZ70" s="180" t="n">
        <f aca="false">IF($E$9=0,0,IF($A70&gt;IN_PRAZO,0,IF(APORTE_CORRIGIDO="Sim",IN_APORTE*$D70,IN_APORTE))+IF(AND($E$35=1,PGBL_REINVESTE="Sim",$A70&gt;=13,$A70&lt;=IN_PRAZO,MONTH($B70)=5),PGBL_BENEFICIO,0))</f>
        <v>0</v>
      </c>
      <c r="BA70" s="180" t="n">
        <f aca="false">AZ70*$E$24</f>
        <v>0</v>
      </c>
      <c r="BB70" s="180" t="n">
        <f aca="false">AY70*$E$19</f>
        <v>1571.66140392651</v>
      </c>
      <c r="BC70" s="180" t="n">
        <f aca="false">AY70*$E$22</f>
        <v>200.697503573539</v>
      </c>
      <c r="BD70" s="180" t="n">
        <f aca="false">$E$23*MAX(0,BB70-AY70*$E$18)</f>
        <v>0</v>
      </c>
      <c r="BE70" s="180" t="n">
        <f aca="false">IF(AND($E$27=1,OR(MONTH($B70)=5,MONTH($B70)=11)),MAX(0,$E$28*MAX(0,(AY70+BB70-BC70-BD70+AZ70-BA70)+BH69-BG70)-BH69),0)</f>
        <v>0</v>
      </c>
      <c r="BF70" s="181" t="n">
        <f aca="false">AY70+BB70-BC70-BD70+AZ70-BA70-BE70</f>
        <v>161928.966759184</v>
      </c>
      <c r="BG70" s="180" t="n">
        <f aca="false">BG69+AZ70-BA70</f>
        <v>150000</v>
      </c>
      <c r="BH70" s="180" t="n">
        <f aca="false">BH69+BE70</f>
        <v>0</v>
      </c>
      <c r="BI70" s="180" t="n">
        <f aca="false">BF70+BH70-BG70</f>
        <v>11928.9667591844</v>
      </c>
      <c r="BJ70" s="180" t="n">
        <f aca="false">MAX(0,IFERROR(INDEX(TAB_IR,MATCH($C70,TAB_IR_DIAS,1),MATCH($E$8,TAB_IR_REGIMES,0)),0)*IF($E$26=2,BF70,MAX(0,BI70))-BH70)</f>
        <v>4175.13836571453</v>
      </c>
      <c r="BK70" s="181" t="n">
        <f aca="false">MAX(0,BF70-BJ70-BF70*$E$25)</f>
        <v>157753.82839347</v>
      </c>
      <c r="BL70" s="180" t="n">
        <f aca="false">BK70/$D70</f>
        <v>153181.000960853</v>
      </c>
      <c r="BN70" s="180" t="n">
        <f aca="false">BU69</f>
        <v>160558.002858831</v>
      </c>
      <c r="BO70" s="180" t="n">
        <f aca="false">IF($F$9=0,0,IF($A70&gt;IN_PRAZO,0,IF(APORTE_CORRIGIDO="Sim",IN_APORTE*$D70,IN_APORTE))+IF(AND($F$35=1,PGBL_REINVESTE="Sim",$A70&gt;=13,$A70&lt;=IN_PRAZO,MONTH($B70)=5),PGBL_BENEFICIO,0))</f>
        <v>0</v>
      </c>
      <c r="BP70" s="180" t="n">
        <f aca="false">BO70*$F$24</f>
        <v>0</v>
      </c>
      <c r="BQ70" s="180" t="n">
        <f aca="false">BN70*$F$19</f>
        <v>1571.66140392651</v>
      </c>
      <c r="BR70" s="180" t="n">
        <f aca="false">BN70*$F$22</f>
        <v>200.697503573539</v>
      </c>
      <c r="BS70" s="180" t="n">
        <f aca="false">$F$23*MAX(0,BQ70-BN70*$F$18)</f>
        <v>0</v>
      </c>
      <c r="BT70" s="180" t="n">
        <f aca="false">IF(AND($F$27=1,OR(MONTH($B70)=5,MONTH($B70)=11)),MAX(0,$F$28*MAX(0,(BN70+BQ70-BR70-BS70+BO70-BP70)+BW69-BV70)-BW69),0)</f>
        <v>0</v>
      </c>
      <c r="BU70" s="181" t="n">
        <f aca="false">BN70+BQ70-BR70-BS70+BO70-BP70-BT70</f>
        <v>161928.966759184</v>
      </c>
      <c r="BV70" s="180" t="n">
        <f aca="false">BV69+BO70-BP70</f>
        <v>150000</v>
      </c>
      <c r="BW70" s="180" t="n">
        <f aca="false">BW69+BT70</f>
        <v>0</v>
      </c>
      <c r="BX70" s="180" t="n">
        <f aca="false">BU70+BW70-BV70</f>
        <v>11928.9667591844</v>
      </c>
      <c r="BY70" s="180" t="n">
        <f aca="false">MAX(0,IFERROR(INDEX(TAB_IR,MATCH($C70,TAB_IR_DIAS,1),MATCH($F$8,TAB_IR_REGIMES,0)),0)*IF($F$26=2,BU70,MAX(0,BX70))-BW70)</f>
        <v>56675.1383657145</v>
      </c>
      <c r="BZ70" s="181" t="n">
        <f aca="false">MAX(0,BU70-BY70-BU70*$F$25)</f>
        <v>105253.82839347</v>
      </c>
      <c r="CA70" s="180" t="n">
        <f aca="false">BZ70/$D70</f>
        <v>102202.824187948</v>
      </c>
      <c r="CC70" s="180" t="n">
        <f aca="false">CJ69</f>
        <v>158500.788806811</v>
      </c>
      <c r="CD70" s="180" t="n">
        <f aca="false">IF($G$9=0,0,IF($A70&gt;IN_PRAZO,0,IF(APORTE_CORRIGIDO="Sim",IN_APORTE*$D70,IN_APORTE))+IF(AND($G$35=1,PGBL_REINVESTE="Sim",$A70&gt;=13,$A70&lt;=IN_PRAZO,MONTH($B70)=5),PGBL_BENEFICIO,0))</f>
        <v>0</v>
      </c>
      <c r="CE70" s="180" t="n">
        <f aca="false">CD70*$G$24</f>
        <v>0</v>
      </c>
      <c r="CF70" s="180" t="n">
        <f aca="false">CC70*$G$19</f>
        <v>1292.9266669479</v>
      </c>
      <c r="CG70" s="180" t="n">
        <f aca="false">CC70*$G$22</f>
        <v>132.083990672342</v>
      </c>
      <c r="CH70" s="180" t="n">
        <f aca="false">$G$23*MAX(0,CF70-CC70*$G$18)</f>
        <v>0</v>
      </c>
      <c r="CI70" s="180" t="n">
        <f aca="false">IF(AND($G$27=1,OR(MONTH($B70)=5,MONTH($B70)=11)),MAX(0,$G$28*MAX(0,(CC70+CF70-CG70-CH70+CD70-CE70)+CL69-CK70)-CL69),0)</f>
        <v>1025.95133919553</v>
      </c>
      <c r="CJ70" s="181" t="n">
        <f aca="false">CC70+CF70-CG70-CH70+CD70-CE70-CI70</f>
        <v>158635.680143891</v>
      </c>
      <c r="CK70" s="180" t="n">
        <f aca="false">CK69+CD70-CE70</f>
        <v>150000</v>
      </c>
      <c r="CL70" s="180" t="n">
        <f aca="false">CL69+CI70</f>
        <v>1523.94355480429</v>
      </c>
      <c r="CM70" s="180" t="n">
        <f aca="false">CJ70+CL70-CK70</f>
        <v>10159.6236986952</v>
      </c>
      <c r="CN70" s="180" t="n">
        <f aca="false">MAX(0,IFERROR(INDEX(TAB_IR,MATCH($C70,TAB_IR_DIAS,1),MATCH($G$8,TAB_IR_REGIMES,0)),0)*IF($G$26=2,CJ70,MAX(0,CM70))-CL70)</f>
        <v>507.981184934758</v>
      </c>
      <c r="CO70" s="181" t="n">
        <f aca="false">MAX(0,CJ70-CN70-CJ70*$G$25)</f>
        <v>158127.698958956</v>
      </c>
      <c r="CP70" s="180" t="n">
        <f aca="false">CO70/$D70</f>
        <v>153544.034099473</v>
      </c>
    </row>
    <row r="71" customFormat="false" ht="12" hidden="false" customHeight="true" outlineLevel="0" collapsed="false">
      <c r="A71" s="177" t="n">
        <v>10</v>
      </c>
      <c r="B71" s="178" t="n">
        <f aca="false">EDATE(DATA_INICIO,$A71)</f>
        <v>46561</v>
      </c>
      <c r="C71" s="177" t="n">
        <f aca="false">$A71*30</f>
        <v>300</v>
      </c>
      <c r="D71" s="179" t="n">
        <f aca="false">(1+IPCA_CENARIO)^($A71/12)</f>
        <v>1.03322391409182</v>
      </c>
      <c r="F71" s="180" t="n">
        <f aca="false">M70</f>
        <v>163064.492947052</v>
      </c>
      <c r="G71" s="180" t="n">
        <f aca="false">IF($B$9=0,0,IF($A71&gt;IN_PRAZO,0,IF(APORTE_CORRIGIDO="Sim",IN_APORTE*$D71,IN_APORTE))+IF(AND($B$35=1,PGBL_REINVESTE="Sim",$A71&gt;=13,$A71&lt;=IN_PRAZO,MONTH($B71)=5),PGBL_BENEFICIO,0))</f>
        <v>0</v>
      </c>
      <c r="H71" s="180" t="n">
        <f aca="false">G71*$B$24</f>
        <v>0</v>
      </c>
      <c r="I71" s="180" t="n">
        <f aca="false">F71*$B$19</f>
        <v>1547.28520855736</v>
      </c>
      <c r="J71" s="180" t="n">
        <f aca="false">F71*$B$22</f>
        <v>27.1774154911754</v>
      </c>
      <c r="K71" s="180" t="n">
        <f aca="false">$B$23*MAX(0,I71-F71*$B$18)</f>
        <v>0</v>
      </c>
      <c r="L71" s="180" t="n">
        <f aca="false">IF(AND($B$27=1,OR(MONTH($B71)=5,MONTH($B71)=11)),MAX(0,$B$28*MAX(0,(F71+I71-J71-K71+G71-H71)+O70-N71)-O70),0)</f>
        <v>0</v>
      </c>
      <c r="M71" s="181" t="n">
        <f aca="false">F71+I71-J71-K71+G71-H71-L71</f>
        <v>164584.600740118</v>
      </c>
      <c r="N71" s="180" t="n">
        <f aca="false">N70+G71-H71</f>
        <v>150000</v>
      </c>
      <c r="O71" s="180" t="n">
        <f aca="false">O70+L71</f>
        <v>0</v>
      </c>
      <c r="P71" s="180" t="n">
        <f aca="false">M71+O71-N71</f>
        <v>14584.6007401184</v>
      </c>
      <c r="Q71" s="180" t="n">
        <f aca="false">MAX(0,IFERROR(INDEX(TAB_IR,MATCH($C71,TAB_IR_DIAS,1),MATCH($B$8,TAB_IR_REGIMES,0)),0)*IF($B$26=2,M71,MAX(0,P71))-O71)</f>
        <v>2916.92014802367</v>
      </c>
      <c r="R71" s="181" t="n">
        <f aca="false">MAX(0,M71-Q71-M71*$B$25)</f>
        <v>161667.680592095</v>
      </c>
      <c r="S71" s="180" t="n">
        <f aca="false">R71/$D71</f>
        <v>156469.162576629</v>
      </c>
      <c r="U71" s="180" t="n">
        <f aca="false">AB70</f>
        <v>161138.545160761</v>
      </c>
      <c r="V71" s="180" t="n">
        <f aca="false">IF($C$9=0,0,IF($A71&gt;IN_PRAZO,0,IF(APORTE_CORRIGIDO="Sim",IN_APORTE*$D71,IN_APORTE))+IF(AND($C$35=1,PGBL_REINVESTE="Sim",$A71&gt;=13,$A71&lt;=IN_PRAZO,MONTH($B71)=5),PGBL_BENEFICIO,0))</f>
        <v>0</v>
      </c>
      <c r="W71" s="180" t="n">
        <f aca="false">V71*$C$24</f>
        <v>0</v>
      </c>
      <c r="X71" s="180" t="n">
        <f aca="false">U71*$C$19</f>
        <v>1314.44344018673</v>
      </c>
      <c r="Y71" s="180" t="n">
        <f aca="false">U71*$C$22</f>
        <v>26.8564241934601</v>
      </c>
      <c r="Z71" s="180" t="n">
        <f aca="false">$C$23*MAX(0,X71-U71*$C$18)</f>
        <v>0</v>
      </c>
      <c r="AA71" s="180" t="n">
        <f aca="false">IF(AND($C$27=1,OR(MONTH($B71)=5,MONTH($B71)=11)),MAX(0,$C$28*MAX(0,(U71+X71-Y71-Z71+V71-W71)+AD70-AC71)-AD70),0)</f>
        <v>0</v>
      </c>
      <c r="AB71" s="181" t="n">
        <f aca="false">U71+X71-Y71-Z71+V71-W71-AA71</f>
        <v>162426.132176754</v>
      </c>
      <c r="AC71" s="180" t="n">
        <f aca="false">AC70+V71-W71</f>
        <v>150000</v>
      </c>
      <c r="AD71" s="180" t="n">
        <f aca="false">AD70+AA71</f>
        <v>0</v>
      </c>
      <c r="AE71" s="180" t="n">
        <f aca="false">AB71+AD71-AC71</f>
        <v>12426.1321767541</v>
      </c>
      <c r="AF71" s="180" t="n">
        <f aca="false">MAX(0,IFERROR(INDEX(TAB_IR,MATCH($C71,TAB_IR_DIAS,1),MATCH($C$8,TAB_IR_REGIMES,0)),0)*IF($C$26=2,AB71,MAX(0,AE71))-AD71)</f>
        <v>2485.22643535081</v>
      </c>
      <c r="AG71" s="181" t="n">
        <f aca="false">MAX(0,AB71-AF71-AB71*$C$25)</f>
        <v>159940.905741403</v>
      </c>
      <c r="AH71" s="180" t="n">
        <f aca="false">AG71/$D71</f>
        <v>154797.913172564</v>
      </c>
      <c r="AJ71" s="180" t="n">
        <f aca="false">AQ70</f>
        <v>159645.88239158</v>
      </c>
      <c r="AK71" s="180" t="n">
        <f aca="false">IF($D$9=0,0,IF($A71&gt;IN_PRAZO,0,IF(APORTE_CORRIGIDO="Sim",IN_APORTE*$D71,IN_APORTE))+IF(AND($D$35=1,PGBL_REINVESTE="Sim",$A71&gt;=13,$A71&lt;=IN_PRAZO,MONTH($B71)=5),PGBL_BENEFICIO,0))</f>
        <v>0</v>
      </c>
      <c r="AL71" s="180" t="n">
        <f aca="false">AK71*$D$24</f>
        <v>0</v>
      </c>
      <c r="AM71" s="180" t="n">
        <f aca="false">AJ71*$D$19</f>
        <v>1435.00847202538</v>
      </c>
      <c r="AN71" s="180" t="n">
        <f aca="false">AJ71*$D$22</f>
        <v>133.038235326317</v>
      </c>
      <c r="AO71" s="180" t="n">
        <f aca="false">$D$23*MAX(0,AM71-AJ71*$D$18)</f>
        <v>0</v>
      </c>
      <c r="AP71" s="180" t="n">
        <f aca="false">IF(AND($D$27=1,OR(MONTH($B71)=5,MONTH($B71)=11)),MAX(0,$D$28*MAX(0,(AJ71+AM71-AN71-AO71+AK71-AL71)+AS70-AR71)-AS70),0)</f>
        <v>0</v>
      </c>
      <c r="AQ71" s="181" t="n">
        <f aca="false">AJ71+AM71-AN71-AO71+AK71-AL71-AP71</f>
        <v>160947.852628279</v>
      </c>
      <c r="AR71" s="180" t="n">
        <f aca="false">AR70+AK71-AL71</f>
        <v>150000</v>
      </c>
      <c r="AS71" s="180" t="n">
        <f aca="false">AS70+AP71</f>
        <v>1702.21453969063</v>
      </c>
      <c r="AT71" s="180" t="n">
        <f aca="false">AQ71+AS71-AR71</f>
        <v>12650.0671679699</v>
      </c>
      <c r="AU71" s="180" t="n">
        <f aca="false">MAX(0,IFERROR(INDEX(TAB_IR,MATCH($C71,TAB_IR_DIAS,1),MATCH($D$8,TAB_IR_REGIMES,0)),0)*IF($D$26=2,AQ71,MAX(0,AT71))-AS71)</f>
        <v>827.79889390335</v>
      </c>
      <c r="AV71" s="181" t="n">
        <f aca="false">MAX(0,AQ71-AU71-AQ71*$D$25)</f>
        <v>160120.053734376</v>
      </c>
      <c r="AW71" s="180" t="n">
        <f aca="false">AV71/$D71</f>
        <v>154971.300557941</v>
      </c>
      <c r="AY71" s="180" t="n">
        <f aca="false">BF70</f>
        <v>161928.966759184</v>
      </c>
      <c r="AZ71" s="180" t="n">
        <f aca="false">IF($E$9=0,0,IF($A71&gt;IN_PRAZO,0,IF(APORTE_CORRIGIDO="Sim",IN_APORTE*$D71,IN_APORTE))+IF(AND($E$35=1,PGBL_REINVESTE="Sim",$A71&gt;=13,$A71&lt;=IN_PRAZO,MONTH($B71)=5),PGBL_BENEFICIO,0))</f>
        <v>0</v>
      </c>
      <c r="BA71" s="180" t="n">
        <f aca="false">AZ71*$E$24</f>
        <v>0</v>
      </c>
      <c r="BB71" s="180" t="n">
        <f aca="false">AY71*$E$19</f>
        <v>1585.08142043142</v>
      </c>
      <c r="BC71" s="180" t="n">
        <f aca="false">AY71*$E$22</f>
        <v>202.41120844898</v>
      </c>
      <c r="BD71" s="180" t="n">
        <f aca="false">$E$23*MAX(0,BB71-AY71*$E$18)</f>
        <v>0</v>
      </c>
      <c r="BE71" s="180" t="n">
        <f aca="false">IF(AND($E$27=1,OR(MONTH($B71)=5,MONTH($B71)=11)),MAX(0,$E$28*MAX(0,(AY71+BB71-BC71-BD71+AZ71-BA71)+BH70-BG71)-BH70),0)</f>
        <v>0</v>
      </c>
      <c r="BF71" s="181" t="n">
        <f aca="false">AY71+BB71-BC71-BD71+AZ71-BA71-BE71</f>
        <v>163311.636971167</v>
      </c>
      <c r="BG71" s="180" t="n">
        <f aca="false">BG70+AZ71-BA71</f>
        <v>150000</v>
      </c>
      <c r="BH71" s="180" t="n">
        <f aca="false">BH70+BE71</f>
        <v>0</v>
      </c>
      <c r="BI71" s="180" t="n">
        <f aca="false">BF71+BH71-BG71</f>
        <v>13311.6369711668</v>
      </c>
      <c r="BJ71" s="180" t="n">
        <f aca="false">MAX(0,IFERROR(INDEX(TAB_IR,MATCH($C71,TAB_IR_DIAS,1),MATCH($E$8,TAB_IR_REGIMES,0)),0)*IF($E$26=2,BF71,MAX(0,BI71))-BH71)</f>
        <v>4659.07293990839</v>
      </c>
      <c r="BK71" s="181" t="n">
        <f aca="false">MAX(0,BF71-BJ71-BF71*$E$25)</f>
        <v>158652.564031258</v>
      </c>
      <c r="BL71" s="180" t="n">
        <f aca="false">BK71/$D71</f>
        <v>153550.998837178</v>
      </c>
      <c r="BN71" s="180" t="n">
        <f aca="false">BU70</f>
        <v>161928.966759184</v>
      </c>
      <c r="BO71" s="180" t="n">
        <f aca="false">IF($F$9=0,0,IF($A71&gt;IN_PRAZO,0,IF(APORTE_CORRIGIDO="Sim",IN_APORTE*$D71,IN_APORTE))+IF(AND($F$35=1,PGBL_REINVESTE="Sim",$A71&gt;=13,$A71&lt;=IN_PRAZO,MONTH($B71)=5),PGBL_BENEFICIO,0))</f>
        <v>0</v>
      </c>
      <c r="BP71" s="180" t="n">
        <f aca="false">BO71*$F$24</f>
        <v>0</v>
      </c>
      <c r="BQ71" s="180" t="n">
        <f aca="false">BN71*$F$19</f>
        <v>1585.08142043142</v>
      </c>
      <c r="BR71" s="180" t="n">
        <f aca="false">BN71*$F$22</f>
        <v>202.41120844898</v>
      </c>
      <c r="BS71" s="180" t="n">
        <f aca="false">$F$23*MAX(0,BQ71-BN71*$F$18)</f>
        <v>0</v>
      </c>
      <c r="BT71" s="180" t="n">
        <f aca="false">IF(AND($F$27=1,OR(MONTH($B71)=5,MONTH($B71)=11)),MAX(0,$F$28*MAX(0,(BN71+BQ71-BR71-BS71+BO71-BP71)+BW70-BV71)-BW70),0)</f>
        <v>0</v>
      </c>
      <c r="BU71" s="181" t="n">
        <f aca="false">BN71+BQ71-BR71-BS71+BO71-BP71-BT71</f>
        <v>163311.636971167</v>
      </c>
      <c r="BV71" s="180" t="n">
        <f aca="false">BV70+BO71-BP71</f>
        <v>150000</v>
      </c>
      <c r="BW71" s="180" t="n">
        <f aca="false">BW70+BT71</f>
        <v>0</v>
      </c>
      <c r="BX71" s="180" t="n">
        <f aca="false">BU71+BW71-BV71</f>
        <v>13311.6369711668</v>
      </c>
      <c r="BY71" s="180" t="n">
        <f aca="false">MAX(0,IFERROR(INDEX(TAB_IR,MATCH($C71,TAB_IR_DIAS,1),MATCH($F$8,TAB_IR_REGIMES,0)),0)*IF($F$26=2,BU71,MAX(0,BX71))-BW71)</f>
        <v>57159.0729399084</v>
      </c>
      <c r="BZ71" s="181" t="n">
        <f aca="false">MAX(0,BU71-BY71-BU71*$F$25)</f>
        <v>106152.564031258</v>
      </c>
      <c r="CA71" s="180" t="n">
        <f aca="false">BZ71/$D71</f>
        <v>102739.166780285</v>
      </c>
      <c r="CC71" s="180" t="n">
        <f aca="false">CJ70</f>
        <v>158635.680143891</v>
      </c>
      <c r="CD71" s="180" t="n">
        <f aca="false">IF($G$9=0,0,IF($A71&gt;IN_PRAZO,0,IF(APORTE_CORRIGIDO="Sim",IN_APORTE*$D71,IN_APORTE))+IF(AND($G$35=1,PGBL_REINVESTE="Sim",$A71&gt;=13,$A71&lt;=IN_PRAZO,MONTH($B71)=5),PGBL_BENEFICIO,0))</f>
        <v>0</v>
      </c>
      <c r="CE71" s="180" t="n">
        <f aca="false">CD71*$G$24</f>
        <v>0</v>
      </c>
      <c r="CF71" s="180" t="n">
        <f aca="false">CC71*$G$19</f>
        <v>1294.02700599456</v>
      </c>
      <c r="CG71" s="180" t="n">
        <f aca="false">CC71*$G$22</f>
        <v>132.196400119909</v>
      </c>
      <c r="CH71" s="180" t="n">
        <f aca="false">$G$23*MAX(0,CF71-CC71*$G$18)</f>
        <v>0</v>
      </c>
      <c r="CI71" s="180" t="n">
        <f aca="false">IF(AND($G$27=1,OR(MONTH($B71)=5,MONTH($B71)=11)),MAX(0,$G$28*MAX(0,(CC71+CF71-CG71-CH71+CD71-CE71)+CL70-CK71)-CL70),0)</f>
        <v>0</v>
      </c>
      <c r="CJ71" s="181" t="n">
        <f aca="false">CC71+CF71-CG71-CH71+CD71-CE71-CI71</f>
        <v>159797.510749766</v>
      </c>
      <c r="CK71" s="180" t="n">
        <f aca="false">CK70+CD71-CE71</f>
        <v>150000</v>
      </c>
      <c r="CL71" s="180" t="n">
        <f aca="false">CL70+CI71</f>
        <v>1523.94355480429</v>
      </c>
      <c r="CM71" s="180" t="n">
        <f aca="false">CJ71+CL71-CK71</f>
        <v>11321.4543045699</v>
      </c>
      <c r="CN71" s="180" t="n">
        <f aca="false">MAX(0,IFERROR(INDEX(TAB_IR,MATCH($C71,TAB_IR_DIAS,1),MATCH($G$8,TAB_IR_REGIMES,0)),0)*IF($G$26=2,CJ71,MAX(0,CM71))-CL71)</f>
        <v>740.347306109683</v>
      </c>
      <c r="CO71" s="181" t="n">
        <f aca="false">MAX(0,CJ71-CN71-CJ71*$G$25)</f>
        <v>159057.163443656</v>
      </c>
      <c r="CP71" s="180" t="n">
        <f aca="false">CO71/$D71</f>
        <v>153942.588120856</v>
      </c>
    </row>
    <row r="72" customFormat="false" ht="12" hidden="false" customHeight="true" outlineLevel="0" collapsed="false">
      <c r="A72" s="177" t="n">
        <v>11</v>
      </c>
      <c r="B72" s="178" t="n">
        <f aca="false">EDATE(DATA_INICIO,$A72)</f>
        <v>46591</v>
      </c>
      <c r="C72" s="177" t="n">
        <f aca="false">$A72*30</f>
        <v>330</v>
      </c>
      <c r="D72" s="179" t="n">
        <f aca="false">(1+IPCA_CENARIO)^($A72/12)</f>
        <v>1.03660642032331</v>
      </c>
      <c r="F72" s="180" t="n">
        <f aca="false">M71</f>
        <v>164584.600740118</v>
      </c>
      <c r="G72" s="180" t="n">
        <f aca="false">IF($B$9=0,0,IF($A72&gt;IN_PRAZO,0,IF(APORTE_CORRIGIDO="Sim",IN_APORTE*$D72,IN_APORTE))+IF(AND($B$35=1,PGBL_REINVESTE="Sim",$A72&gt;=13,$A72&lt;=IN_PRAZO,MONTH($B72)=5),PGBL_BENEFICIO,0))</f>
        <v>0</v>
      </c>
      <c r="H72" s="180" t="n">
        <f aca="false">G72*$B$24</f>
        <v>0</v>
      </c>
      <c r="I72" s="180" t="n">
        <f aca="false">F72*$B$19</f>
        <v>1561.70919664401</v>
      </c>
      <c r="J72" s="180" t="n">
        <f aca="false">F72*$B$22</f>
        <v>27.4307667900197</v>
      </c>
      <c r="K72" s="180" t="n">
        <f aca="false">$B$23*MAX(0,I72-F72*$B$18)</f>
        <v>0</v>
      </c>
      <c r="L72" s="180" t="n">
        <f aca="false">IF(AND($B$27=1,OR(MONTH($B72)=5,MONTH($B72)=11)),MAX(0,$B$28*MAX(0,(F72+I72-J72-K72+G72-H72)+O71-N72)-O71),0)</f>
        <v>0</v>
      </c>
      <c r="M72" s="181" t="n">
        <f aca="false">F72+I72-J72-K72+G72-H72-L72</f>
        <v>166118.879169972</v>
      </c>
      <c r="N72" s="180" t="n">
        <f aca="false">N71+G72-H72</f>
        <v>150000</v>
      </c>
      <c r="O72" s="180" t="n">
        <f aca="false">O71+L72</f>
        <v>0</v>
      </c>
      <c r="P72" s="180" t="n">
        <f aca="false">M72+O72-N72</f>
        <v>16118.8791699724</v>
      </c>
      <c r="Q72" s="180" t="n">
        <f aca="false">MAX(0,IFERROR(INDEX(TAB_IR,MATCH($C72,TAB_IR_DIAS,1),MATCH($B$8,TAB_IR_REGIMES,0)),0)*IF($B$26=2,M72,MAX(0,P72))-O72)</f>
        <v>3223.77583399447</v>
      </c>
      <c r="R72" s="181" t="n">
        <f aca="false">MAX(0,M72-Q72-M72*$B$25)</f>
        <v>162895.103335978</v>
      </c>
      <c r="S72" s="180" t="n">
        <f aca="false">R72/$D72</f>
        <v>157142.672611629</v>
      </c>
      <c r="U72" s="180" t="n">
        <f aca="false">AB71</f>
        <v>162426.132176754</v>
      </c>
      <c r="V72" s="180" t="n">
        <f aca="false">IF($C$9=0,0,IF($A72&gt;IN_PRAZO,0,IF(APORTE_CORRIGIDO="Sim",IN_APORTE*$D72,IN_APORTE))+IF(AND($C$35=1,PGBL_REINVESTE="Sim",$A72&gt;=13,$A72&lt;=IN_PRAZO,MONTH($B72)=5),PGBL_BENEFICIO,0))</f>
        <v>0</v>
      </c>
      <c r="W72" s="180" t="n">
        <f aca="false">V72*$C$24</f>
        <v>0</v>
      </c>
      <c r="X72" s="180" t="n">
        <f aca="false">U72*$C$19</f>
        <v>1324.9465777517</v>
      </c>
      <c r="Y72" s="180" t="n">
        <f aca="false">U72*$C$22</f>
        <v>27.071022029459</v>
      </c>
      <c r="Z72" s="180" t="n">
        <f aca="false">$C$23*MAX(0,X72-U72*$C$18)</f>
        <v>0</v>
      </c>
      <c r="AA72" s="180" t="n">
        <f aca="false">IF(AND($C$27=1,OR(MONTH($B72)=5,MONTH($B72)=11)),MAX(0,$C$28*MAX(0,(U72+X72-Y72-Z72+V72-W72)+AD71-AC72)-AD71),0)</f>
        <v>0</v>
      </c>
      <c r="AB72" s="181" t="n">
        <f aca="false">U72+X72-Y72-Z72+V72-W72-AA72</f>
        <v>163724.007732476</v>
      </c>
      <c r="AC72" s="180" t="n">
        <f aca="false">AC71+V72-W72</f>
        <v>150000</v>
      </c>
      <c r="AD72" s="180" t="n">
        <f aca="false">AD71+AA72</f>
        <v>0</v>
      </c>
      <c r="AE72" s="180" t="n">
        <f aca="false">AB72+AD72-AC72</f>
        <v>13724.0077324763</v>
      </c>
      <c r="AF72" s="180" t="n">
        <f aca="false">MAX(0,IFERROR(INDEX(TAB_IR,MATCH($C72,TAB_IR_DIAS,1),MATCH($C$8,TAB_IR_REGIMES,0)),0)*IF($C$26=2,AB72,MAX(0,AE72))-AD72)</f>
        <v>2744.80154649526</v>
      </c>
      <c r="AG72" s="181" t="n">
        <f aca="false">MAX(0,AB72-AF72-AB72*$C$25)</f>
        <v>160979.206185981</v>
      </c>
      <c r="AH72" s="180" t="n">
        <f aca="false">AG72/$D72</f>
        <v>155294.432901326</v>
      </c>
      <c r="AJ72" s="180" t="n">
        <f aca="false">AQ71</f>
        <v>160947.852628279</v>
      </c>
      <c r="AK72" s="180" t="n">
        <f aca="false">IF($D$9=0,0,IF($A72&gt;IN_PRAZO,0,IF(APORTE_CORRIGIDO="Sim",IN_APORTE*$D72,IN_APORTE))+IF(AND($D$35=1,PGBL_REINVESTE="Sim",$A72&gt;=13,$A72&lt;=IN_PRAZO,MONTH($B72)=5),PGBL_BENEFICIO,0))</f>
        <v>0</v>
      </c>
      <c r="AL72" s="180" t="n">
        <f aca="false">AK72*$D$24</f>
        <v>0</v>
      </c>
      <c r="AM72" s="180" t="n">
        <f aca="false">AJ72*$D$19</f>
        <v>1446.71148805059</v>
      </c>
      <c r="AN72" s="180" t="n">
        <f aca="false">AJ72*$D$22</f>
        <v>134.123210523566</v>
      </c>
      <c r="AO72" s="180" t="n">
        <f aca="false">$D$23*MAX(0,AM72-AJ72*$D$18)</f>
        <v>0</v>
      </c>
      <c r="AP72" s="180" t="n">
        <f aca="false">IF(AND($D$27=1,OR(MONTH($B72)=5,MONTH($B72)=11)),MAX(0,$D$28*MAX(0,(AJ72+AM72-AN72-AO72+AK72-AL72)+AS71-AR72)-AS71),0)</f>
        <v>0</v>
      </c>
      <c r="AQ72" s="181" t="n">
        <f aca="false">AJ72+AM72-AN72-AO72+AK72-AL72-AP72</f>
        <v>162260.440905806</v>
      </c>
      <c r="AR72" s="180" t="n">
        <f aca="false">AR71+AK72-AL72</f>
        <v>150000</v>
      </c>
      <c r="AS72" s="180" t="n">
        <f aca="false">AS71+AP72</f>
        <v>1702.21453969063</v>
      </c>
      <c r="AT72" s="180" t="n">
        <f aca="false">AQ72+AS72-AR72</f>
        <v>13962.6554454969</v>
      </c>
      <c r="AU72" s="180" t="n">
        <f aca="false">MAX(0,IFERROR(INDEX(TAB_IR,MATCH($C72,TAB_IR_DIAS,1),MATCH($D$8,TAB_IR_REGIMES,0)),0)*IF($D$26=2,AQ72,MAX(0,AT72))-AS72)</f>
        <v>1090.31654940875</v>
      </c>
      <c r="AV72" s="181" t="n">
        <f aca="false">MAX(0,AQ72-AU72-AQ72*$D$25)</f>
        <v>161170.124356398</v>
      </c>
      <c r="AW72" s="180" t="n">
        <f aca="false">AV72/$D72</f>
        <v>155478.609042505</v>
      </c>
      <c r="AY72" s="180" t="n">
        <f aca="false">BF71</f>
        <v>163311.636971167</v>
      </c>
      <c r="AZ72" s="180" t="n">
        <f aca="false">IF($E$9=0,0,IF($A72&gt;IN_PRAZO,0,IF(APORTE_CORRIGIDO="Sim",IN_APORTE*$D72,IN_APORTE))+IF(AND($E$35=1,PGBL_REINVESTE="Sim",$A72&gt;=13,$A72&lt;=IN_PRAZO,MONTH($B72)=5),PGBL_BENEFICIO,0))</f>
        <v>0</v>
      </c>
      <c r="BA72" s="180" t="n">
        <f aca="false">AZ72*$E$24</f>
        <v>0</v>
      </c>
      <c r="BB72" s="180" t="n">
        <f aca="false">AY72*$E$19</f>
        <v>1598.61602703987</v>
      </c>
      <c r="BC72" s="180" t="n">
        <f aca="false">AY72*$E$22</f>
        <v>204.139546213959</v>
      </c>
      <c r="BD72" s="180" t="n">
        <f aca="false">$E$23*MAX(0,BB72-AY72*$E$18)</f>
        <v>0</v>
      </c>
      <c r="BE72" s="180" t="n">
        <f aca="false">IF(AND($E$27=1,OR(MONTH($B72)=5,MONTH($B72)=11)),MAX(0,$E$28*MAX(0,(AY72+BB72-BC72-BD72+AZ72-BA72)+BH71-BG72)-BH71),0)</f>
        <v>0</v>
      </c>
      <c r="BF72" s="181" t="n">
        <f aca="false">AY72+BB72-BC72-BD72+AZ72-BA72-BE72</f>
        <v>164706.113451993</v>
      </c>
      <c r="BG72" s="180" t="n">
        <f aca="false">BG71+AZ72-BA72</f>
        <v>150000</v>
      </c>
      <c r="BH72" s="180" t="n">
        <f aca="false">BH71+BE72</f>
        <v>0</v>
      </c>
      <c r="BI72" s="180" t="n">
        <f aca="false">BF72+BH72-BG72</f>
        <v>14706.1134519927</v>
      </c>
      <c r="BJ72" s="180" t="n">
        <f aca="false">MAX(0,IFERROR(INDEX(TAB_IR,MATCH($C72,TAB_IR_DIAS,1),MATCH($E$8,TAB_IR_REGIMES,0)),0)*IF($E$26=2,BF72,MAX(0,BI72))-BH72)</f>
        <v>5147.13970819745</v>
      </c>
      <c r="BK72" s="181" t="n">
        <f aca="false">MAX(0,BF72-BJ72-BF72*$E$25)</f>
        <v>159558.973743795</v>
      </c>
      <c r="BL72" s="180" t="n">
        <f aca="false">BK72/$D72</f>
        <v>153924.354138218</v>
      </c>
      <c r="BN72" s="180" t="n">
        <f aca="false">BU71</f>
        <v>163311.636971167</v>
      </c>
      <c r="BO72" s="180" t="n">
        <f aca="false">IF($F$9=0,0,IF($A72&gt;IN_PRAZO,0,IF(APORTE_CORRIGIDO="Sim",IN_APORTE*$D72,IN_APORTE))+IF(AND($F$35=1,PGBL_REINVESTE="Sim",$A72&gt;=13,$A72&lt;=IN_PRAZO,MONTH($B72)=5),PGBL_BENEFICIO,0))</f>
        <v>0</v>
      </c>
      <c r="BP72" s="180" t="n">
        <f aca="false">BO72*$F$24</f>
        <v>0</v>
      </c>
      <c r="BQ72" s="180" t="n">
        <f aca="false">BN72*$F$19</f>
        <v>1598.61602703987</v>
      </c>
      <c r="BR72" s="180" t="n">
        <f aca="false">BN72*$F$22</f>
        <v>204.139546213959</v>
      </c>
      <c r="BS72" s="180" t="n">
        <f aca="false">$F$23*MAX(0,BQ72-BN72*$F$18)</f>
        <v>0</v>
      </c>
      <c r="BT72" s="180" t="n">
        <f aca="false">IF(AND($F$27=1,OR(MONTH($B72)=5,MONTH($B72)=11)),MAX(0,$F$28*MAX(0,(BN72+BQ72-BR72-BS72+BO72-BP72)+BW71-BV72)-BW71),0)</f>
        <v>0</v>
      </c>
      <c r="BU72" s="181" t="n">
        <f aca="false">BN72+BQ72-BR72-BS72+BO72-BP72-BT72</f>
        <v>164706.113451993</v>
      </c>
      <c r="BV72" s="180" t="n">
        <f aca="false">BV71+BO72-BP72</f>
        <v>150000</v>
      </c>
      <c r="BW72" s="180" t="n">
        <f aca="false">BW71+BT72</f>
        <v>0</v>
      </c>
      <c r="BX72" s="180" t="n">
        <f aca="false">BU72+BW72-BV72</f>
        <v>14706.1134519927</v>
      </c>
      <c r="BY72" s="180" t="n">
        <f aca="false">MAX(0,IFERROR(INDEX(TAB_IR,MATCH($C72,TAB_IR_DIAS,1),MATCH($F$8,TAB_IR_REGIMES,0)),0)*IF($F$26=2,BU72,MAX(0,BX72))-BW72)</f>
        <v>57647.1397081974</v>
      </c>
      <c r="BZ72" s="181" t="n">
        <f aca="false">MAX(0,BU72-BY72-BU72*$F$25)</f>
        <v>107058.973743795</v>
      </c>
      <c r="CA72" s="180" t="n">
        <f aca="false">BZ72/$D72</f>
        <v>103278.324004982</v>
      </c>
      <c r="CC72" s="180" t="n">
        <f aca="false">CJ71</f>
        <v>159797.510749766</v>
      </c>
      <c r="CD72" s="180" t="n">
        <f aca="false">IF($G$9=0,0,IF($A72&gt;IN_PRAZO,0,IF(APORTE_CORRIGIDO="Sim",IN_APORTE*$D72,IN_APORTE))+IF(AND($G$35=1,PGBL_REINVESTE="Sim",$A72&gt;=13,$A72&lt;=IN_PRAZO,MONTH($B72)=5),PGBL_BENEFICIO,0))</f>
        <v>0</v>
      </c>
      <c r="CE72" s="180" t="n">
        <f aca="false">CD72*$G$24</f>
        <v>0</v>
      </c>
      <c r="CF72" s="180" t="n">
        <f aca="false">CC72*$G$19</f>
        <v>1303.50432017148</v>
      </c>
      <c r="CG72" s="180" t="n">
        <f aca="false">CC72*$G$22</f>
        <v>133.164592291471</v>
      </c>
      <c r="CH72" s="180" t="n">
        <f aca="false">$G$23*MAX(0,CF72-CC72*$G$18)</f>
        <v>0</v>
      </c>
      <c r="CI72" s="180" t="n">
        <f aca="false">IF(AND($G$27=1,OR(MONTH($B72)=5,MONTH($B72)=11)),MAX(0,$G$28*MAX(0,(CC72+CF72-CG72-CH72+CD72-CE72)+CL71-CK72)-CL71),0)</f>
        <v>0</v>
      </c>
      <c r="CJ72" s="181" t="n">
        <f aca="false">CC72+CF72-CG72-CH72+CD72-CE72-CI72</f>
        <v>160967.850477646</v>
      </c>
      <c r="CK72" s="180" t="n">
        <f aca="false">CK71+CD72-CE72</f>
        <v>150000</v>
      </c>
      <c r="CL72" s="180" t="n">
        <f aca="false">CL71+CI72</f>
        <v>1523.94355480429</v>
      </c>
      <c r="CM72" s="180" t="n">
        <f aca="false">CJ72+CL72-CK72</f>
        <v>12491.7940324499</v>
      </c>
      <c r="CN72" s="180" t="n">
        <f aca="false">MAX(0,IFERROR(INDEX(TAB_IR,MATCH($C72,TAB_IR_DIAS,1),MATCH($G$8,TAB_IR_REGIMES,0)),0)*IF($G$26=2,CJ72,MAX(0,CM72))-CL72)</f>
        <v>974.415251685688</v>
      </c>
      <c r="CO72" s="181" t="n">
        <f aca="false">MAX(0,CJ72-CN72-CJ72*$G$25)</f>
        <v>159993.43522596</v>
      </c>
      <c r="CP72" s="180" t="n">
        <f aca="false">CO72/$D72</f>
        <v>154343.473172836</v>
      </c>
    </row>
    <row r="73" customFormat="false" ht="12" hidden="false" customHeight="true" outlineLevel="0" collapsed="false">
      <c r="A73" s="177" t="n">
        <v>12</v>
      </c>
      <c r="B73" s="178" t="n">
        <f aca="false">EDATE(DATA_INICIO,$A73)</f>
        <v>46622</v>
      </c>
      <c r="C73" s="177" t="n">
        <f aca="false">$A73*30</f>
        <v>360</v>
      </c>
      <c r="D73" s="179" t="n">
        <f aca="false">(1+IPCA_CENARIO)^($A73/12)</f>
        <v>1.04</v>
      </c>
      <c r="F73" s="180" t="n">
        <f aca="false">M72</f>
        <v>166118.879169972</v>
      </c>
      <c r="G73" s="180" t="n">
        <f aca="false">IF($B$9=0,0,IF($A73&gt;IN_PRAZO,0,IF(APORTE_CORRIGIDO="Sim",IN_APORTE*$D73,IN_APORTE))+IF(AND($B$35=1,PGBL_REINVESTE="Sim",$A73&gt;=13,$A73&lt;=IN_PRAZO,MONTH($B73)=5),PGBL_BENEFICIO,0))</f>
        <v>0</v>
      </c>
      <c r="H73" s="180" t="n">
        <f aca="false">G73*$B$24</f>
        <v>0</v>
      </c>
      <c r="I73" s="180" t="n">
        <f aca="false">F73*$B$19</f>
        <v>1576.26764696889</v>
      </c>
      <c r="J73" s="180" t="n">
        <f aca="false">F73*$B$22</f>
        <v>27.6864798616621</v>
      </c>
      <c r="K73" s="180" t="n">
        <f aca="false">$B$23*MAX(0,I73-F73*$B$18)</f>
        <v>0</v>
      </c>
      <c r="L73" s="180" t="n">
        <f aca="false">IF(AND($B$27=1,OR(MONTH($B73)=5,MONTH($B73)=11)),MAX(0,$B$28*MAX(0,(F73+I73-J73-K73+G73-H73)+O72-N73)-O72),0)</f>
        <v>0</v>
      </c>
      <c r="M73" s="181" t="n">
        <f aca="false">F73+I73-J73-K73+G73-H73-L73</f>
        <v>167667.46033708</v>
      </c>
      <c r="N73" s="180" t="n">
        <f aca="false">N72+G73-H73</f>
        <v>150000</v>
      </c>
      <c r="O73" s="180" t="n">
        <f aca="false">O72+L73</f>
        <v>0</v>
      </c>
      <c r="P73" s="180" t="n">
        <f aca="false">M73+O73-N73</f>
        <v>17667.4603370796</v>
      </c>
      <c r="Q73" s="180" t="n">
        <f aca="false">MAX(0,IFERROR(INDEX(TAB_IR,MATCH($C73,TAB_IR_DIAS,1),MATCH($B$8,TAB_IR_REGIMES,0)),0)*IF($B$26=2,M73,MAX(0,P73))-O73)</f>
        <v>3533.49206741591</v>
      </c>
      <c r="R73" s="181" t="n">
        <f aca="false">MAX(0,M73-Q73-M73*$B$25)</f>
        <v>164133.968269664</v>
      </c>
      <c r="S73" s="180" t="n">
        <f aca="false">R73/$D73</f>
        <v>157821.123336215</v>
      </c>
      <c r="U73" s="180" t="n">
        <f aca="false">AB72</f>
        <v>163724.007732476</v>
      </c>
      <c r="V73" s="180" t="n">
        <f aca="false">IF($C$9=0,0,IF($A73&gt;IN_PRAZO,0,IF(APORTE_CORRIGIDO="Sim",IN_APORTE*$D73,IN_APORTE))+IF(AND($C$35=1,PGBL_REINVESTE="Sim",$A73&gt;=13,$A73&lt;=IN_PRAZO,MONTH($B73)=5),PGBL_BENEFICIO,0))</f>
        <v>0</v>
      </c>
      <c r="W73" s="180" t="n">
        <f aca="false">V73*$C$24</f>
        <v>0</v>
      </c>
      <c r="X73" s="180" t="n">
        <f aca="false">U73*$C$19</f>
        <v>1335.5336412547</v>
      </c>
      <c r="Y73" s="180" t="n">
        <f aca="false">U73*$C$22</f>
        <v>27.2873346220794</v>
      </c>
      <c r="Z73" s="180" t="n">
        <f aca="false">$C$23*MAX(0,X73-U73*$C$18)</f>
        <v>0</v>
      </c>
      <c r="AA73" s="180" t="n">
        <f aca="false">IF(AND($C$27=1,OR(MONTH($B73)=5,MONTH($B73)=11)),MAX(0,$C$28*MAX(0,(U73+X73-Y73-Z73+V73-W73)+AD72-AC73)-AD72),0)</f>
        <v>0</v>
      </c>
      <c r="AB73" s="181" t="n">
        <f aca="false">U73+X73-Y73-Z73+V73-W73-AA73</f>
        <v>165032.254039109</v>
      </c>
      <c r="AC73" s="180" t="n">
        <f aca="false">AC72+V73-W73</f>
        <v>150000</v>
      </c>
      <c r="AD73" s="180" t="n">
        <f aca="false">AD72+AA73</f>
        <v>0</v>
      </c>
      <c r="AE73" s="180" t="n">
        <f aca="false">AB73+AD73-AC73</f>
        <v>15032.2540391089</v>
      </c>
      <c r="AF73" s="180" t="n">
        <f aca="false">MAX(0,IFERROR(INDEX(TAB_IR,MATCH($C73,TAB_IR_DIAS,1),MATCH($C$8,TAB_IR_REGIMES,0)),0)*IF($C$26=2,AB73,MAX(0,AE73))-AD73)</f>
        <v>3006.45080782178</v>
      </c>
      <c r="AG73" s="181" t="n">
        <f aca="false">MAX(0,AB73-AF73-AB73*$C$25)</f>
        <v>162025.803231287</v>
      </c>
      <c r="AH73" s="180" t="n">
        <f aca="false">AG73/$D73</f>
        <v>155794.041568545</v>
      </c>
      <c r="AJ73" s="180" t="n">
        <f aca="false">AQ72</f>
        <v>162260.440905806</v>
      </c>
      <c r="AK73" s="180" t="n">
        <f aca="false">IF($D$9=0,0,IF($A73&gt;IN_PRAZO,0,IF(APORTE_CORRIGIDO="Sim",IN_APORTE*$D73,IN_APORTE))+IF(AND($D$35=1,PGBL_REINVESTE="Sim",$A73&gt;=13,$A73&lt;=IN_PRAZO,MONTH($B73)=5),PGBL_BENEFICIO,0))</f>
        <v>0</v>
      </c>
      <c r="AL73" s="180" t="n">
        <f aca="false">AK73*$D$24</f>
        <v>0</v>
      </c>
      <c r="AM73" s="180" t="n">
        <f aca="false">AJ73*$D$19</f>
        <v>1458.50994642807</v>
      </c>
      <c r="AN73" s="180" t="n">
        <f aca="false">AJ73*$D$22</f>
        <v>135.217034088172</v>
      </c>
      <c r="AO73" s="180" t="n">
        <f aca="false">$D$23*MAX(0,AM73-AJ73*$D$18)</f>
        <v>0</v>
      </c>
      <c r="AP73" s="180" t="n">
        <f aca="false">IF(AND($D$27=1,OR(MONTH($B73)=5,MONTH($B73)=11)),MAX(0,$D$28*MAX(0,(AJ73+AM73-AN73-AO73+AK73-AL73)+AS72-AR73)-AS72),0)</f>
        <v>0</v>
      </c>
      <c r="AQ73" s="181" t="n">
        <f aca="false">AJ73+AM73-AN73-AO73+AK73-AL73-AP73</f>
        <v>163583.733818146</v>
      </c>
      <c r="AR73" s="180" t="n">
        <f aca="false">AR72+AK73-AL73</f>
        <v>150000</v>
      </c>
      <c r="AS73" s="180" t="n">
        <f aca="false">AS72+AP73</f>
        <v>1702.21453969063</v>
      </c>
      <c r="AT73" s="180" t="n">
        <f aca="false">AQ73+AS73-AR73</f>
        <v>15285.9483578368</v>
      </c>
      <c r="AU73" s="180" t="n">
        <f aca="false">MAX(0,IFERROR(INDEX(TAB_IR,MATCH($C73,TAB_IR_DIAS,1),MATCH($D$8,TAB_IR_REGIMES,0)),0)*IF($D$26=2,AQ73,MAX(0,AT73))-AS73)</f>
        <v>1354.97513187673</v>
      </c>
      <c r="AV73" s="181" t="n">
        <f aca="false">MAX(0,AQ73-AU73-AQ73*$D$25)</f>
        <v>162228.758686269</v>
      </c>
      <c r="AW73" s="180" t="n">
        <f aca="false">AV73/$D73</f>
        <v>155989.19104449</v>
      </c>
      <c r="AY73" s="180" t="n">
        <f aca="false">BF72</f>
        <v>164706.113451993</v>
      </c>
      <c r="AZ73" s="180" t="n">
        <f aca="false">IF($E$9=0,0,IF($A73&gt;IN_PRAZO,0,IF(APORTE_CORRIGIDO="Sim",IN_APORTE*$D73,IN_APORTE))+IF(AND($E$35=1,PGBL_REINVESTE="Sim",$A73&gt;=13,$A73&lt;=IN_PRAZO,MONTH($B73)=5),PGBL_BENEFICIO,0))</f>
        <v>0</v>
      </c>
      <c r="BA73" s="180" t="n">
        <f aca="false">AZ73*$E$24</f>
        <v>0</v>
      </c>
      <c r="BB73" s="180" t="n">
        <f aca="false">AY73*$E$19</f>
        <v>1612.26620220756</v>
      </c>
      <c r="BC73" s="180" t="n">
        <f aca="false">AY73*$E$22</f>
        <v>205.882641814991</v>
      </c>
      <c r="BD73" s="180" t="n">
        <f aca="false">$E$23*MAX(0,BB73-AY73*$E$18)</f>
        <v>0</v>
      </c>
      <c r="BE73" s="180" t="n">
        <f aca="false">IF(AND($E$27=1,OR(MONTH($B73)=5,MONTH($B73)=11)),MAX(0,$E$28*MAX(0,(AY73+BB73-BC73-BD73+AZ73-BA73)+BH72-BG73)-BH72),0)</f>
        <v>0</v>
      </c>
      <c r="BF73" s="181" t="n">
        <f aca="false">AY73+BB73-BC73-BD73+AZ73-BA73-BE73</f>
        <v>166112.497012385</v>
      </c>
      <c r="BG73" s="180" t="n">
        <f aca="false">BG72+AZ73-BA73</f>
        <v>150000</v>
      </c>
      <c r="BH73" s="180" t="n">
        <f aca="false">BH72+BE73</f>
        <v>0</v>
      </c>
      <c r="BI73" s="180" t="n">
        <f aca="false">BF73+BH73-BG73</f>
        <v>16112.4970123853</v>
      </c>
      <c r="BJ73" s="180" t="n">
        <f aca="false">MAX(0,IFERROR(INDEX(TAB_IR,MATCH($C73,TAB_IR_DIAS,1),MATCH($E$8,TAB_IR_REGIMES,0)),0)*IF($E$26=2,BF73,MAX(0,BI73))-BH73)</f>
        <v>5639.37395433485</v>
      </c>
      <c r="BK73" s="181" t="n">
        <f aca="false">MAX(0,BF73-BJ73-BF73*$E$25)</f>
        <v>160473.12305805</v>
      </c>
      <c r="BL73" s="180" t="n">
        <f aca="false">BK73/$D73</f>
        <v>154301.07986351</v>
      </c>
      <c r="BN73" s="180" t="n">
        <f aca="false">BU72</f>
        <v>164706.113451993</v>
      </c>
      <c r="BO73" s="180" t="n">
        <f aca="false">IF($F$9=0,0,IF($A73&gt;IN_PRAZO,0,IF(APORTE_CORRIGIDO="Sim",IN_APORTE*$D73,IN_APORTE))+IF(AND($F$35=1,PGBL_REINVESTE="Sim",$A73&gt;=13,$A73&lt;=IN_PRAZO,MONTH($B73)=5),PGBL_BENEFICIO,0))</f>
        <v>0</v>
      </c>
      <c r="BP73" s="180" t="n">
        <f aca="false">BO73*$F$24</f>
        <v>0</v>
      </c>
      <c r="BQ73" s="180" t="n">
        <f aca="false">BN73*$F$19</f>
        <v>1612.26620220756</v>
      </c>
      <c r="BR73" s="180" t="n">
        <f aca="false">BN73*$F$22</f>
        <v>205.882641814991</v>
      </c>
      <c r="BS73" s="180" t="n">
        <f aca="false">$F$23*MAX(0,BQ73-BN73*$F$18)</f>
        <v>0</v>
      </c>
      <c r="BT73" s="180" t="n">
        <f aca="false">IF(AND($F$27=1,OR(MONTH($B73)=5,MONTH($B73)=11)),MAX(0,$F$28*MAX(0,(BN73+BQ73-BR73-BS73+BO73-BP73)+BW72-BV73)-BW72),0)</f>
        <v>0</v>
      </c>
      <c r="BU73" s="181" t="n">
        <f aca="false">BN73+BQ73-BR73-BS73+BO73-BP73-BT73</f>
        <v>166112.497012385</v>
      </c>
      <c r="BV73" s="180" t="n">
        <f aca="false">BV72+BO73-BP73</f>
        <v>150000</v>
      </c>
      <c r="BW73" s="180" t="n">
        <f aca="false">BW72+BT73</f>
        <v>0</v>
      </c>
      <c r="BX73" s="180" t="n">
        <f aca="false">BU73+BW73-BV73</f>
        <v>16112.4970123853</v>
      </c>
      <c r="BY73" s="180" t="n">
        <f aca="false">MAX(0,IFERROR(INDEX(TAB_IR,MATCH($C73,TAB_IR_DIAS,1),MATCH($F$8,TAB_IR_REGIMES,0)),0)*IF($F$26=2,BU73,MAX(0,BX73))-BW73)</f>
        <v>58139.3739543348</v>
      </c>
      <c r="BZ73" s="181" t="n">
        <f aca="false">MAX(0,BU73-BY73-BU73*$F$25)</f>
        <v>107973.12305805</v>
      </c>
      <c r="CA73" s="180" t="n">
        <f aca="false">BZ73/$D73</f>
        <v>103820.310632741</v>
      </c>
      <c r="CC73" s="180" t="n">
        <f aca="false">CJ72</f>
        <v>160967.850477646</v>
      </c>
      <c r="CD73" s="180" t="n">
        <f aca="false">IF($G$9=0,0,IF($A73&gt;IN_PRAZO,0,IF(APORTE_CORRIGIDO="Sim",IN_APORTE*$D73,IN_APORTE))+IF(AND($G$35=1,PGBL_REINVESTE="Sim",$A73&gt;=13,$A73&lt;=IN_PRAZO,MONTH($B73)=5),PGBL_BENEFICIO,0))</f>
        <v>0</v>
      </c>
      <c r="CE73" s="180" t="n">
        <f aca="false">CD73*$G$24</f>
        <v>0</v>
      </c>
      <c r="CF73" s="180" t="n">
        <f aca="false">CC73*$G$19</f>
        <v>1313.0510451749</v>
      </c>
      <c r="CG73" s="180" t="n">
        <f aca="false">CC73*$G$22</f>
        <v>134.139875398038</v>
      </c>
      <c r="CH73" s="180" t="n">
        <f aca="false">$G$23*MAX(0,CF73-CC73*$G$18)</f>
        <v>0</v>
      </c>
      <c r="CI73" s="180" t="n">
        <f aca="false">IF(AND($G$27=1,OR(MONTH($B73)=5,MONTH($B73)=11)),MAX(0,$G$28*MAX(0,(CC73+CF73-CG73-CH73+CD73-CE73)+CL72-CK73)-CL72),0)</f>
        <v>0</v>
      </c>
      <c r="CJ73" s="181" t="n">
        <f aca="false">CC73+CF73-CG73-CH73+CD73-CE73-CI73</f>
        <v>162146.761647422</v>
      </c>
      <c r="CK73" s="180" t="n">
        <f aca="false">CK72+CD73-CE73</f>
        <v>150000</v>
      </c>
      <c r="CL73" s="180" t="n">
        <f aca="false">CL72+CI73</f>
        <v>1523.94355480429</v>
      </c>
      <c r="CM73" s="180" t="n">
        <f aca="false">CJ73+CL73-CK73</f>
        <v>13670.7052022268</v>
      </c>
      <c r="CN73" s="180" t="n">
        <f aca="false">MAX(0,IFERROR(INDEX(TAB_IR,MATCH($C73,TAB_IR_DIAS,1),MATCH($G$8,TAB_IR_REGIMES,0)),0)*IF($G$26=2,CJ73,MAX(0,CM73))-CL73)</f>
        <v>1210.19748564106</v>
      </c>
      <c r="CO73" s="181" t="n">
        <f aca="false">MAX(0,CJ73-CN73-CJ73*$G$25)</f>
        <v>160936.564161781</v>
      </c>
      <c r="CP73" s="180" t="n">
        <f aca="false">CO73/$D73</f>
        <v>154746.696309405</v>
      </c>
    </row>
    <row r="74" customFormat="false" ht="12" hidden="false" customHeight="true" outlineLevel="0" collapsed="false">
      <c r="A74" s="177" t="n">
        <v>13</v>
      </c>
      <c r="B74" s="178" t="n">
        <f aca="false">EDATE(DATA_INICIO,$A74)</f>
        <v>46653</v>
      </c>
      <c r="C74" s="177" t="n">
        <f aca="false">$A74*30</f>
        <v>390</v>
      </c>
      <c r="D74" s="179" t="n">
        <f aca="false">(1+IPCA_CENARIO)^($A74/12)</f>
        <v>1.04340468937349</v>
      </c>
      <c r="F74" s="180" t="n">
        <f aca="false">M73</f>
        <v>167667.46033708</v>
      </c>
      <c r="G74" s="180" t="n">
        <f aca="false">IF($B$9=0,0,IF($A74&gt;IN_PRAZO,0,IF(APORTE_CORRIGIDO="Sim",IN_APORTE*$D74,IN_APORTE))+IF(AND($B$35=1,PGBL_REINVESTE="Sim",$A74&gt;=13,$A74&lt;=IN_PRAZO,MONTH($B74)=5),PGBL_BENEFICIO,0))</f>
        <v>0</v>
      </c>
      <c r="H74" s="180" t="n">
        <f aca="false">G74*$B$24</f>
        <v>0</v>
      </c>
      <c r="I74" s="180" t="n">
        <f aca="false">F74*$B$19</f>
        <v>1590.96181300596</v>
      </c>
      <c r="J74" s="180" t="n">
        <f aca="false">F74*$B$22</f>
        <v>27.9445767228466</v>
      </c>
      <c r="K74" s="180" t="n">
        <f aca="false">$B$23*MAX(0,I74-F74*$B$18)</f>
        <v>0</v>
      </c>
      <c r="L74" s="180" t="n">
        <f aca="false">IF(AND($B$27=1,OR(MONTH($B74)=5,MONTH($B74)=11)),MAX(0,$B$28*MAX(0,(F74+I74-J74-K74+G74-H74)+O73-N74)-O73),0)</f>
        <v>0</v>
      </c>
      <c r="M74" s="181" t="n">
        <f aca="false">F74+I74-J74-K74+G74-H74-L74</f>
        <v>169230.477573363</v>
      </c>
      <c r="N74" s="180" t="n">
        <f aca="false">N73+G74-H74</f>
        <v>150000</v>
      </c>
      <c r="O74" s="180" t="n">
        <f aca="false">O73+L74</f>
        <v>0</v>
      </c>
      <c r="P74" s="180" t="n">
        <f aca="false">M74+O74-N74</f>
        <v>19230.4775733627</v>
      </c>
      <c r="Q74" s="180" t="n">
        <f aca="false">MAX(0,IFERROR(INDEX(TAB_IR,MATCH($C74,TAB_IR_DIAS,1),MATCH($B$8,TAB_IR_REGIMES,0)),0)*IF($B$26=2,M74,MAX(0,P74))-O74)</f>
        <v>3365.33357533847</v>
      </c>
      <c r="R74" s="181" t="n">
        <f aca="false">MAX(0,M74-Q74-M74*$B$25)</f>
        <v>165865.143998024</v>
      </c>
      <c r="S74" s="180" t="n">
        <f aca="false">R74/$D74</f>
        <v>158965.304341902</v>
      </c>
      <c r="U74" s="180" t="n">
        <f aca="false">AB73</f>
        <v>165032.254039109</v>
      </c>
      <c r="V74" s="180" t="n">
        <f aca="false">IF($C$9=0,0,IF($A74&gt;IN_PRAZO,0,IF(APORTE_CORRIGIDO="Sim",IN_APORTE*$D74,IN_APORTE))+IF(AND($C$35=1,PGBL_REINVESTE="Sim",$A74&gt;=13,$A74&lt;=IN_PRAZO,MONTH($B74)=5),PGBL_BENEFICIO,0))</f>
        <v>0</v>
      </c>
      <c r="W74" s="180" t="n">
        <f aca="false">V74*$C$24</f>
        <v>0</v>
      </c>
      <c r="X74" s="180" t="n">
        <f aca="false">U74*$C$19</f>
        <v>1346.20530131087</v>
      </c>
      <c r="Y74" s="180" t="n">
        <f aca="false">U74*$C$22</f>
        <v>27.5053756731848</v>
      </c>
      <c r="Z74" s="180" t="n">
        <f aca="false">$C$23*MAX(0,X74-U74*$C$18)</f>
        <v>0</v>
      </c>
      <c r="AA74" s="180" t="n">
        <f aca="false">IF(AND($C$27=1,OR(MONTH($B74)=5,MONTH($B74)=11)),MAX(0,$C$28*MAX(0,(U74+X74-Y74-Z74+V74-W74)+AD73-AC74)-AD73),0)</f>
        <v>0</v>
      </c>
      <c r="AB74" s="181" t="n">
        <f aca="false">U74+X74-Y74-Z74+V74-W74-AA74</f>
        <v>166350.953964747</v>
      </c>
      <c r="AC74" s="180" t="n">
        <f aca="false">AC73+V74-W74</f>
        <v>150000</v>
      </c>
      <c r="AD74" s="180" t="n">
        <f aca="false">AD73+AA74</f>
        <v>0</v>
      </c>
      <c r="AE74" s="180" t="n">
        <f aca="false">AB74+AD74-AC74</f>
        <v>16350.9539647466</v>
      </c>
      <c r="AF74" s="180" t="n">
        <f aca="false">MAX(0,IFERROR(INDEX(TAB_IR,MATCH($C74,TAB_IR_DIAS,1),MATCH($C$8,TAB_IR_REGIMES,0)),0)*IF($C$26=2,AB74,MAX(0,AE74))-AD74)</f>
        <v>2861.41694383065</v>
      </c>
      <c r="AG74" s="181" t="n">
        <f aca="false">MAX(0,AB74-AF74-AB74*$C$25)</f>
        <v>163489.537020916</v>
      </c>
      <c r="AH74" s="180" t="n">
        <f aca="false">AG74/$D74</f>
        <v>156688.520461877</v>
      </c>
      <c r="AJ74" s="180" t="n">
        <f aca="false">AQ73</f>
        <v>163583.733818146</v>
      </c>
      <c r="AK74" s="180" t="n">
        <f aca="false">IF($D$9=0,0,IF($A74&gt;IN_PRAZO,0,IF(APORTE_CORRIGIDO="Sim",IN_APORTE*$D74,IN_APORTE))+IF(AND($D$35=1,PGBL_REINVESTE="Sim",$A74&gt;=13,$A74&lt;=IN_PRAZO,MONTH($B74)=5),PGBL_BENEFICIO,0))</f>
        <v>0</v>
      </c>
      <c r="AL74" s="180" t="n">
        <f aca="false">AK74*$D$24</f>
        <v>0</v>
      </c>
      <c r="AM74" s="180" t="n">
        <f aca="false">AJ74*$D$19</f>
        <v>1470.4046255249</v>
      </c>
      <c r="AN74" s="180" t="n">
        <f aca="false">AJ74*$D$22</f>
        <v>136.319778181788</v>
      </c>
      <c r="AO74" s="180" t="n">
        <f aca="false">$D$23*MAX(0,AM74-AJ74*$D$18)</f>
        <v>0</v>
      </c>
      <c r="AP74" s="180" t="n">
        <f aca="false">IF(AND($D$27=1,OR(MONTH($B74)=5,MONTH($B74)=11)),MAX(0,$D$28*MAX(0,(AJ74+AM74-AN74-AO74+AK74-AL74)+AS73-AR74)-AS73),0)</f>
        <v>0</v>
      </c>
      <c r="AQ74" s="181" t="n">
        <f aca="false">AJ74+AM74-AN74-AO74+AK74-AL74-AP74</f>
        <v>164917.818665489</v>
      </c>
      <c r="AR74" s="180" t="n">
        <f aca="false">AR73+AK74-AL74</f>
        <v>150000</v>
      </c>
      <c r="AS74" s="180" t="n">
        <f aca="false">AS73+AP74</f>
        <v>1702.21453969063</v>
      </c>
      <c r="AT74" s="180" t="n">
        <f aca="false">AQ74+AS74-AR74</f>
        <v>16620.0332051799</v>
      </c>
      <c r="AU74" s="180" t="n">
        <f aca="false">MAX(0,IFERROR(INDEX(TAB_IR,MATCH($C74,TAB_IR_DIAS,1),MATCH($D$8,TAB_IR_REGIMES,0)),0)*IF($D$26=2,AQ74,MAX(0,AT74))-AS74)</f>
        <v>1206.29127121586</v>
      </c>
      <c r="AV74" s="181" t="n">
        <f aca="false">MAX(0,AQ74-AU74-AQ74*$D$25)</f>
        <v>163711.527394273</v>
      </c>
      <c r="AW74" s="180" t="n">
        <f aca="false">AV74/$D74</f>
        <v>156901.276236907</v>
      </c>
      <c r="AY74" s="180" t="n">
        <f aca="false">BF73</f>
        <v>166112.497012385</v>
      </c>
      <c r="AZ74" s="180" t="n">
        <f aca="false">IF($E$9=0,0,IF($A74&gt;IN_PRAZO,0,IF(APORTE_CORRIGIDO="Sim",IN_APORTE*$D74,IN_APORTE))+IF(AND($E$35=1,PGBL_REINVESTE="Sim",$A74&gt;=13,$A74&lt;=IN_PRAZO,MONTH($B74)=5),PGBL_BENEFICIO,0))</f>
        <v>0</v>
      </c>
      <c r="BA74" s="180" t="n">
        <f aca="false">AZ74*$E$24</f>
        <v>0</v>
      </c>
      <c r="BB74" s="180" t="n">
        <f aca="false">AY74*$E$19</f>
        <v>1626.03293274499</v>
      </c>
      <c r="BC74" s="180" t="n">
        <f aca="false">AY74*$E$22</f>
        <v>207.640621265482</v>
      </c>
      <c r="BD74" s="180" t="n">
        <f aca="false">$E$23*MAX(0,BB74-AY74*$E$18)</f>
        <v>0</v>
      </c>
      <c r="BE74" s="180" t="n">
        <f aca="false">IF(AND($E$27=1,OR(MONTH($B74)=5,MONTH($B74)=11)),MAX(0,$E$28*MAX(0,(AY74+BB74-BC74-BD74+AZ74-BA74)+BH73-BG74)-BH73),0)</f>
        <v>0</v>
      </c>
      <c r="BF74" s="181" t="n">
        <f aca="false">AY74+BB74-BC74-BD74+AZ74-BA74-BE74</f>
        <v>167530.889323865</v>
      </c>
      <c r="BG74" s="180" t="n">
        <f aca="false">BG73+AZ74-BA74</f>
        <v>150000</v>
      </c>
      <c r="BH74" s="180" t="n">
        <f aca="false">BH73+BE74</f>
        <v>0</v>
      </c>
      <c r="BI74" s="180" t="n">
        <f aca="false">BF74+BH74-BG74</f>
        <v>17530.8893238648</v>
      </c>
      <c r="BJ74" s="180" t="n">
        <f aca="false">MAX(0,IFERROR(INDEX(TAB_IR,MATCH($C74,TAB_IR_DIAS,1),MATCH($E$8,TAB_IR_REGIMES,0)),0)*IF($E$26=2,BF74,MAX(0,BI74))-BH74)</f>
        <v>6135.81126335268</v>
      </c>
      <c r="BK74" s="181" t="n">
        <f aca="false">MAX(0,BF74-BJ74-BF74*$E$25)</f>
        <v>161395.078060512</v>
      </c>
      <c r="BL74" s="180" t="n">
        <f aca="false">BK74/$D74</f>
        <v>154681.189095884</v>
      </c>
      <c r="BN74" s="180" t="n">
        <f aca="false">BU73</f>
        <v>166112.497012385</v>
      </c>
      <c r="BO74" s="180" t="n">
        <f aca="false">IF($F$9=0,0,IF($A74&gt;IN_PRAZO,0,IF(APORTE_CORRIGIDO="Sim",IN_APORTE*$D74,IN_APORTE))+IF(AND($F$35=1,PGBL_REINVESTE="Sim",$A74&gt;=13,$A74&lt;=IN_PRAZO,MONTH($B74)=5),PGBL_BENEFICIO,0))</f>
        <v>0</v>
      </c>
      <c r="BP74" s="180" t="n">
        <f aca="false">BO74*$F$24</f>
        <v>0</v>
      </c>
      <c r="BQ74" s="180" t="n">
        <f aca="false">BN74*$F$19</f>
        <v>1626.03293274499</v>
      </c>
      <c r="BR74" s="180" t="n">
        <f aca="false">BN74*$F$22</f>
        <v>207.640621265482</v>
      </c>
      <c r="BS74" s="180" t="n">
        <f aca="false">$F$23*MAX(0,BQ74-BN74*$F$18)</f>
        <v>0</v>
      </c>
      <c r="BT74" s="180" t="n">
        <f aca="false">IF(AND($F$27=1,OR(MONTH($B74)=5,MONTH($B74)=11)),MAX(0,$F$28*MAX(0,(BN74+BQ74-BR74-BS74+BO74-BP74)+BW73-BV74)-BW73),0)</f>
        <v>0</v>
      </c>
      <c r="BU74" s="181" t="n">
        <f aca="false">BN74+BQ74-BR74-BS74+BO74-BP74-BT74</f>
        <v>167530.889323865</v>
      </c>
      <c r="BV74" s="180" t="n">
        <f aca="false">BV73+BO74-BP74</f>
        <v>150000</v>
      </c>
      <c r="BW74" s="180" t="n">
        <f aca="false">BW73+BT74</f>
        <v>0</v>
      </c>
      <c r="BX74" s="180" t="n">
        <f aca="false">BU74+BW74-BV74</f>
        <v>17530.8893238648</v>
      </c>
      <c r="BY74" s="180" t="n">
        <f aca="false">MAX(0,IFERROR(INDEX(TAB_IR,MATCH($C74,TAB_IR_DIAS,1),MATCH($F$8,TAB_IR_REGIMES,0)),0)*IF($F$26=2,BU74,MAX(0,BX74))-BW74)</f>
        <v>58635.8112633527</v>
      </c>
      <c r="BZ74" s="181" t="n">
        <f aca="false">MAX(0,BU74-BY74-BU74*$F$25)</f>
        <v>108895.078060512</v>
      </c>
      <c r="CA74" s="180" t="n">
        <f aca="false">BZ74/$D74</f>
        <v>104365.141511774</v>
      </c>
      <c r="CC74" s="180" t="n">
        <f aca="false">CJ73</f>
        <v>162146.761647422</v>
      </c>
      <c r="CD74" s="180" t="n">
        <f aca="false">IF($G$9=0,0,IF($A74&gt;IN_PRAZO,0,IF(APORTE_CORRIGIDO="Sim",IN_APORTE*$D74,IN_APORTE))+IF(AND($G$35=1,PGBL_REINVESTE="Sim",$A74&gt;=13,$A74&lt;=IN_PRAZO,MONTH($B74)=5),PGBL_BENEFICIO,0))</f>
        <v>0</v>
      </c>
      <c r="CE74" s="180" t="n">
        <f aca="false">CD74*$G$24</f>
        <v>0</v>
      </c>
      <c r="CF74" s="180" t="n">
        <f aca="false">CC74*$G$19</f>
        <v>1322.66768936224</v>
      </c>
      <c r="CG74" s="180" t="n">
        <f aca="false">CC74*$G$22</f>
        <v>135.122301372852</v>
      </c>
      <c r="CH74" s="180" t="n">
        <f aca="false">$G$23*MAX(0,CF74-CC74*$G$18)</f>
        <v>0</v>
      </c>
      <c r="CI74" s="180" t="n">
        <f aca="false">IF(AND($G$27=1,OR(MONTH($B74)=5,MONTH($B74)=11)),MAX(0,$G$28*MAX(0,(CC74+CF74-CG74-CH74+CD74-CE74)+CL73-CK74)-CL73),0)</f>
        <v>0</v>
      </c>
      <c r="CJ74" s="181" t="n">
        <f aca="false">CC74+CF74-CG74-CH74+CD74-CE74-CI74</f>
        <v>163334.307035412</v>
      </c>
      <c r="CK74" s="180" t="n">
        <f aca="false">CK73+CD74-CE74</f>
        <v>150000</v>
      </c>
      <c r="CL74" s="180" t="n">
        <f aca="false">CL73+CI74</f>
        <v>1523.94355480429</v>
      </c>
      <c r="CM74" s="180" t="n">
        <f aca="false">CJ74+CL74-CK74</f>
        <v>14858.2505902162</v>
      </c>
      <c r="CN74" s="180" t="n">
        <f aca="false">MAX(0,IFERROR(INDEX(TAB_IR,MATCH($C74,TAB_IR_DIAS,1),MATCH($G$8,TAB_IR_REGIMES,0)),0)*IF($G$26=2,CJ74,MAX(0,CM74))-CL74)</f>
        <v>1076.25029848354</v>
      </c>
      <c r="CO74" s="181" t="n">
        <f aca="false">MAX(0,CJ74-CN74-CJ74*$G$25)</f>
        <v>162258.056736928</v>
      </c>
      <c r="CP74" s="180" t="n">
        <f aca="false">CO74/$D74</f>
        <v>155508.268641534</v>
      </c>
    </row>
    <row r="75" customFormat="false" ht="12" hidden="false" customHeight="true" outlineLevel="0" collapsed="false">
      <c r="A75" s="177" t="n">
        <v>14</v>
      </c>
      <c r="B75" s="178" t="n">
        <f aca="false">EDATE(DATA_INICIO,$A75)</f>
        <v>46683</v>
      </c>
      <c r="C75" s="177" t="n">
        <f aca="false">$A75*30</f>
        <v>420</v>
      </c>
      <c r="D75" s="179" t="n">
        <f aca="false">(1+IPCA_CENARIO)^($A75/12)</f>
        <v>1.04682052481402</v>
      </c>
      <c r="F75" s="180" t="n">
        <f aca="false">M74</f>
        <v>169230.477573363</v>
      </c>
      <c r="G75" s="180" t="n">
        <f aca="false">IF($B$9=0,0,IF($A75&gt;IN_PRAZO,0,IF(APORTE_CORRIGIDO="Sim",IN_APORTE*$D75,IN_APORTE))+IF(AND($B$35=1,PGBL_REINVESTE="Sim",$A75&gt;=13,$A75&lt;=IN_PRAZO,MONTH($B75)=5),PGBL_BENEFICIO,0))</f>
        <v>0</v>
      </c>
      <c r="H75" s="180" t="n">
        <f aca="false">G75*$B$24</f>
        <v>0</v>
      </c>
      <c r="I75" s="180" t="n">
        <f aca="false">F75*$B$19</f>
        <v>1605.79295991424</v>
      </c>
      <c r="J75" s="180" t="n">
        <f aca="false">F75*$B$22</f>
        <v>28.2050795955604</v>
      </c>
      <c r="K75" s="180" t="n">
        <f aca="false">$B$23*MAX(0,I75-F75*$B$18)</f>
        <v>0</v>
      </c>
      <c r="L75" s="180" t="n">
        <f aca="false">IF(AND($B$27=1,OR(MONTH($B75)=5,MONTH($B75)=11)),MAX(0,$B$28*MAX(0,(F75+I75-J75-K75+G75-H75)+O74-N75)-O74),0)</f>
        <v>0</v>
      </c>
      <c r="M75" s="181" t="n">
        <f aca="false">F75+I75-J75-K75+G75-H75-L75</f>
        <v>170808.065453681</v>
      </c>
      <c r="N75" s="180" t="n">
        <f aca="false">N74+G75-H75</f>
        <v>150000</v>
      </c>
      <c r="O75" s="180" t="n">
        <f aca="false">O74+L75</f>
        <v>0</v>
      </c>
      <c r="P75" s="180" t="n">
        <f aca="false">M75+O75-N75</f>
        <v>20808.0654536814</v>
      </c>
      <c r="Q75" s="180" t="n">
        <f aca="false">MAX(0,IFERROR(INDEX(TAB_IR,MATCH($C75,TAB_IR_DIAS,1),MATCH($B$8,TAB_IR_REGIMES,0)),0)*IF($B$26=2,M75,MAX(0,P75))-O75)</f>
        <v>3641.41145439424</v>
      </c>
      <c r="R75" s="181" t="n">
        <f aca="false">MAX(0,M75-Q75-M75*$B$25)</f>
        <v>167166.653999287</v>
      </c>
      <c r="S75" s="180" t="n">
        <f aca="false">R75/$D75</f>
        <v>159689.889562479</v>
      </c>
      <c r="U75" s="180" t="n">
        <f aca="false">AB74</f>
        <v>166350.953964747</v>
      </c>
      <c r="V75" s="180" t="n">
        <f aca="false">IF($C$9=0,0,IF($A75&gt;IN_PRAZO,0,IF(APORTE_CORRIGIDO="Sim",IN_APORTE*$D75,IN_APORTE))+IF(AND($C$35=1,PGBL_REINVESTE="Sim",$A75&gt;=13,$A75&lt;=IN_PRAZO,MONTH($B75)=5),PGBL_BENEFICIO,0))</f>
        <v>0</v>
      </c>
      <c r="W75" s="180" t="n">
        <f aca="false">V75*$C$24</f>
        <v>0</v>
      </c>
      <c r="X75" s="180" t="n">
        <f aca="false">U75*$C$19</f>
        <v>1356.96223389395</v>
      </c>
      <c r="Y75" s="180" t="n">
        <f aca="false">U75*$C$22</f>
        <v>27.7251589941244</v>
      </c>
      <c r="Z75" s="180" t="n">
        <f aca="false">$C$23*MAX(0,X75-U75*$C$18)</f>
        <v>0</v>
      </c>
      <c r="AA75" s="180" t="n">
        <f aca="false">IF(AND($C$27=1,OR(MONTH($B75)=5,MONTH($B75)=11)),MAX(0,$C$28*MAX(0,(U75+X75-Y75-Z75+V75-W75)+AD74-AC75)-AD74),0)</f>
        <v>0</v>
      </c>
      <c r="AB75" s="181" t="n">
        <f aca="false">U75+X75-Y75-Z75+V75-W75-AA75</f>
        <v>167680.191039646</v>
      </c>
      <c r="AC75" s="180" t="n">
        <f aca="false">AC74+V75-W75</f>
        <v>150000</v>
      </c>
      <c r="AD75" s="180" t="n">
        <f aca="false">AD74+AA75</f>
        <v>0</v>
      </c>
      <c r="AE75" s="180" t="n">
        <f aca="false">AB75+AD75-AC75</f>
        <v>17680.1910396464</v>
      </c>
      <c r="AF75" s="180" t="n">
        <f aca="false">MAX(0,IFERROR(INDEX(TAB_IR,MATCH($C75,TAB_IR_DIAS,1),MATCH($C$8,TAB_IR_REGIMES,0)),0)*IF($C$26=2,AB75,MAX(0,AE75))-AD75)</f>
        <v>3094.03343193812</v>
      </c>
      <c r="AG75" s="181" t="n">
        <f aca="false">MAX(0,AB75-AF75-AB75*$C$25)</f>
        <v>164586.157607708</v>
      </c>
      <c r="AH75" s="180" t="n">
        <f aca="false">AG75/$D75</f>
        <v>157224.809512546</v>
      </c>
      <c r="AJ75" s="180" t="n">
        <f aca="false">AQ74</f>
        <v>164917.818665489</v>
      </c>
      <c r="AK75" s="180" t="n">
        <f aca="false">IF($D$9=0,0,IF($A75&gt;IN_PRAZO,0,IF(APORTE_CORRIGIDO="Sim",IN_APORTE*$D75,IN_APORTE))+IF(AND($D$35=1,PGBL_REINVESTE="Sim",$A75&gt;=13,$A75&lt;=IN_PRAZO,MONTH($B75)=5),PGBL_BENEFICIO,0))</f>
        <v>0</v>
      </c>
      <c r="AL75" s="180" t="n">
        <f aca="false">AK75*$D$24</f>
        <v>0</v>
      </c>
      <c r="AM75" s="180" t="n">
        <f aca="false">AJ75*$D$19</f>
        <v>1482.39631005606</v>
      </c>
      <c r="AN75" s="180" t="n">
        <f aca="false">AJ75*$D$22</f>
        <v>137.431515554574</v>
      </c>
      <c r="AO75" s="180" t="n">
        <f aca="false">$D$23*MAX(0,AM75-AJ75*$D$18)</f>
        <v>0</v>
      </c>
      <c r="AP75" s="180" t="n">
        <f aca="false">IF(AND($D$27=1,OR(MONTH($B75)=5,MONTH($B75)=11)),MAX(0,$D$28*MAX(0,(AJ75+AM75-AN75-AO75+AK75-AL75)+AS74-AR75)-AS74),0)</f>
        <v>0</v>
      </c>
      <c r="AQ75" s="181" t="n">
        <f aca="false">AJ75+AM75-AN75-AO75+AK75-AL75-AP75</f>
        <v>166262.783459991</v>
      </c>
      <c r="AR75" s="180" t="n">
        <f aca="false">AR74+AK75-AL75</f>
        <v>150000</v>
      </c>
      <c r="AS75" s="180" t="n">
        <f aca="false">AS74+AP75</f>
        <v>1702.21453969063</v>
      </c>
      <c r="AT75" s="180" t="n">
        <f aca="false">AQ75+AS75-AR75</f>
        <v>17964.9979996814</v>
      </c>
      <c r="AU75" s="180" t="n">
        <f aca="false">MAX(0,IFERROR(INDEX(TAB_IR,MATCH($C75,TAB_IR_DIAS,1),MATCH($D$8,TAB_IR_REGIMES,0)),0)*IF($D$26=2,AQ75,MAX(0,AT75))-AS75)</f>
        <v>1441.66011025362</v>
      </c>
      <c r="AV75" s="181" t="n">
        <f aca="false">MAX(0,AQ75-AU75-AQ75*$D$25)</f>
        <v>164821.123349737</v>
      </c>
      <c r="AW75" s="180" t="n">
        <f aca="false">AV75/$D75</f>
        <v>157449.266080276</v>
      </c>
      <c r="AY75" s="180" t="n">
        <f aca="false">BF74</f>
        <v>167530.889323865</v>
      </c>
      <c r="AZ75" s="180" t="n">
        <f aca="false">IF($E$9=0,0,IF($A75&gt;IN_PRAZO,0,IF(APORTE_CORRIGIDO="Sim",IN_APORTE*$D75,IN_APORTE))+IF(AND($E$35=1,PGBL_REINVESTE="Sim",$A75&gt;=13,$A75&lt;=IN_PRAZO,MONTH($B75)=5),PGBL_BENEFICIO,0))</f>
        <v>0</v>
      </c>
      <c r="BA75" s="180" t="n">
        <f aca="false">AZ75*$E$24</f>
        <v>0</v>
      </c>
      <c r="BB75" s="180" t="n">
        <f aca="false">AY75*$E$19</f>
        <v>1639.91721388879</v>
      </c>
      <c r="BC75" s="180" t="n">
        <f aca="false">AY75*$E$22</f>
        <v>209.413611654831</v>
      </c>
      <c r="BD75" s="180" t="n">
        <f aca="false">$E$23*MAX(0,BB75-AY75*$E$18)</f>
        <v>0</v>
      </c>
      <c r="BE75" s="180" t="n">
        <f aca="false">IF(AND($E$27=1,OR(MONTH($B75)=5,MONTH($B75)=11)),MAX(0,$E$28*MAX(0,(AY75+BB75-BC75-BD75+AZ75-BA75)+BH74-BG75)-BH74),0)</f>
        <v>0</v>
      </c>
      <c r="BF75" s="181" t="n">
        <f aca="false">AY75+BB75-BC75-BD75+AZ75-BA75-BE75</f>
        <v>168961.392926099</v>
      </c>
      <c r="BG75" s="180" t="n">
        <f aca="false">BG74+AZ75-BA75</f>
        <v>150000</v>
      </c>
      <c r="BH75" s="180" t="n">
        <f aca="false">BH74+BE75</f>
        <v>0</v>
      </c>
      <c r="BI75" s="180" t="n">
        <f aca="false">BF75+BH75-BG75</f>
        <v>18961.3929260988</v>
      </c>
      <c r="BJ75" s="180" t="n">
        <f aca="false">MAX(0,IFERROR(INDEX(TAB_IR,MATCH($C75,TAB_IR_DIAS,1),MATCH($E$8,TAB_IR_REGIMES,0)),0)*IF($E$26=2,BF75,MAX(0,BI75))-BH75)</f>
        <v>6636.48752413456</v>
      </c>
      <c r="BK75" s="181" t="n">
        <f aca="false">MAX(0,BF75-BJ75-BF75*$E$25)</f>
        <v>162324.905401964</v>
      </c>
      <c r="BL75" s="180" t="n">
        <f aca="false">BK75/$D75</f>
        <v>155064.695001851</v>
      </c>
      <c r="BN75" s="180" t="n">
        <f aca="false">BU74</f>
        <v>167530.889323865</v>
      </c>
      <c r="BO75" s="180" t="n">
        <f aca="false">IF($F$9=0,0,IF($A75&gt;IN_PRAZO,0,IF(APORTE_CORRIGIDO="Sim",IN_APORTE*$D75,IN_APORTE))+IF(AND($F$35=1,PGBL_REINVESTE="Sim",$A75&gt;=13,$A75&lt;=IN_PRAZO,MONTH($B75)=5),PGBL_BENEFICIO,0))</f>
        <v>0</v>
      </c>
      <c r="BP75" s="180" t="n">
        <f aca="false">BO75*$F$24</f>
        <v>0</v>
      </c>
      <c r="BQ75" s="180" t="n">
        <f aca="false">BN75*$F$19</f>
        <v>1639.91721388879</v>
      </c>
      <c r="BR75" s="180" t="n">
        <f aca="false">BN75*$F$22</f>
        <v>209.413611654831</v>
      </c>
      <c r="BS75" s="180" t="n">
        <f aca="false">$F$23*MAX(0,BQ75-BN75*$F$18)</f>
        <v>0</v>
      </c>
      <c r="BT75" s="180" t="n">
        <f aca="false">IF(AND($F$27=1,OR(MONTH($B75)=5,MONTH($B75)=11)),MAX(0,$F$28*MAX(0,(BN75+BQ75-BR75-BS75+BO75-BP75)+BW74-BV75)-BW74),0)</f>
        <v>0</v>
      </c>
      <c r="BU75" s="181" t="n">
        <f aca="false">BN75+BQ75-BR75-BS75+BO75-BP75-BT75</f>
        <v>168961.392926099</v>
      </c>
      <c r="BV75" s="180" t="n">
        <f aca="false">BV74+BO75-BP75</f>
        <v>150000</v>
      </c>
      <c r="BW75" s="180" t="n">
        <f aca="false">BW74+BT75</f>
        <v>0</v>
      </c>
      <c r="BX75" s="180" t="n">
        <f aca="false">BU75+BW75-BV75</f>
        <v>18961.3929260988</v>
      </c>
      <c r="BY75" s="180" t="n">
        <f aca="false">MAX(0,IFERROR(INDEX(TAB_IR,MATCH($C75,TAB_IR_DIAS,1),MATCH($F$8,TAB_IR_REGIMES,0)),0)*IF($F$26=2,BU75,MAX(0,BX75))-BW75)</f>
        <v>59136.4875241346</v>
      </c>
      <c r="BZ75" s="181" t="n">
        <f aca="false">MAX(0,BU75-BY75-BU75*$F$25)</f>
        <v>109824.905401964</v>
      </c>
      <c r="CA75" s="180" t="n">
        <f aca="false">BZ75/$D75</f>
        <v>104912.831568215</v>
      </c>
      <c r="CC75" s="180" t="n">
        <f aca="false">CJ74</f>
        <v>163334.307035412</v>
      </c>
      <c r="CD75" s="180" t="n">
        <f aca="false">IF($G$9=0,0,IF($A75&gt;IN_PRAZO,0,IF(APORTE_CORRIGIDO="Sim",IN_APORTE*$D75,IN_APORTE))+IF(AND($G$35=1,PGBL_REINVESTE="Sim",$A75&gt;=13,$A75&lt;=IN_PRAZO,MONTH($B75)=5),PGBL_BENEFICIO,0))</f>
        <v>0</v>
      </c>
      <c r="CE75" s="180" t="n">
        <f aca="false">CD75*$G$24</f>
        <v>0</v>
      </c>
      <c r="CF75" s="180" t="n">
        <f aca="false">CC75*$G$19</f>
        <v>1332.35476481405</v>
      </c>
      <c r="CG75" s="180" t="n">
        <f aca="false">CC75*$G$22</f>
        <v>136.11192252951</v>
      </c>
      <c r="CH75" s="180" t="n">
        <f aca="false">$G$23*MAX(0,CF75-CC75*$G$18)</f>
        <v>0</v>
      </c>
      <c r="CI75" s="180" t="n">
        <f aca="false">IF(AND($G$27=1,OR(MONTH($B75)=5,MONTH($B75)=11)),MAX(0,$G$28*MAX(0,(CC75+CF75-CG75-CH75+CD75-CE75)+CL74-CK75)-CL74),0)</f>
        <v>0</v>
      </c>
      <c r="CJ75" s="181" t="n">
        <f aca="false">CC75+CF75-CG75-CH75+CD75-CE75-CI75</f>
        <v>164530.549877696</v>
      </c>
      <c r="CK75" s="180" t="n">
        <f aca="false">CK74+CD75-CE75</f>
        <v>150000</v>
      </c>
      <c r="CL75" s="180" t="n">
        <f aca="false">CL74+CI75</f>
        <v>1523.94355480429</v>
      </c>
      <c r="CM75" s="180" t="n">
        <f aca="false">CJ75+CL75-CK75</f>
        <v>16054.4934325007</v>
      </c>
      <c r="CN75" s="180" t="n">
        <f aca="false">MAX(0,IFERROR(INDEX(TAB_IR,MATCH($C75,TAB_IR_DIAS,1),MATCH($G$8,TAB_IR_REGIMES,0)),0)*IF($G$26=2,CJ75,MAX(0,CM75))-CL75)</f>
        <v>1285.59279588334</v>
      </c>
      <c r="CO75" s="181" t="n">
        <f aca="false">MAX(0,CJ75-CN75-CJ75*$G$25)</f>
        <v>163244.957081813</v>
      </c>
      <c r="CP75" s="180" t="n">
        <f aca="false">CO75/$D75</f>
        <v>155943.596072321</v>
      </c>
    </row>
    <row r="76" customFormat="false" ht="12" hidden="false" customHeight="true" outlineLevel="0" collapsed="false">
      <c r="A76" s="177" t="n">
        <v>15</v>
      </c>
      <c r="B76" s="178" t="n">
        <f aca="false">EDATE(DATA_INICIO,$A76)</f>
        <v>46714</v>
      </c>
      <c r="C76" s="177" t="n">
        <f aca="false">$A76*30</f>
        <v>450</v>
      </c>
      <c r="D76" s="179" t="n">
        <f aca="false">(1+IPCA_CENARIO)^($A76/12)</f>
        <v>1.05024754281093</v>
      </c>
      <c r="F76" s="180" t="n">
        <f aca="false">M75</f>
        <v>170808.065453681</v>
      </c>
      <c r="G76" s="180" t="n">
        <f aca="false">IF($B$9=0,0,IF($A76&gt;IN_PRAZO,0,IF(APORTE_CORRIGIDO="Sim",IN_APORTE*$D76,IN_APORTE))+IF(AND($B$35=1,PGBL_REINVESTE="Sim",$A76&gt;=13,$A76&lt;=IN_PRAZO,MONTH($B76)=5),PGBL_BENEFICIO,0))</f>
        <v>0</v>
      </c>
      <c r="H76" s="180" t="n">
        <f aca="false">G76*$B$24</f>
        <v>0</v>
      </c>
      <c r="I76" s="180" t="n">
        <f aca="false">F76*$B$19</f>
        <v>1620.76236464669</v>
      </c>
      <c r="J76" s="180" t="n">
        <f aca="false">F76*$B$22</f>
        <v>28.4680109089469</v>
      </c>
      <c r="K76" s="180" t="n">
        <f aca="false">$B$23*MAX(0,I76-F76*$B$18)</f>
        <v>0</v>
      </c>
      <c r="L76" s="180" t="n">
        <f aca="false">IF(AND($B$27=1,OR(MONTH($B76)=5,MONTH($B76)=11)),MAX(0,$B$28*MAX(0,(F76+I76-J76-K76+G76-H76)+O75-N76)-O75),0)</f>
        <v>0</v>
      </c>
      <c r="M76" s="181" t="n">
        <f aca="false">F76+I76-J76-K76+G76-H76-L76</f>
        <v>172400.359807419</v>
      </c>
      <c r="N76" s="180" t="n">
        <f aca="false">N75+G76-H76</f>
        <v>150000</v>
      </c>
      <c r="O76" s="180" t="n">
        <f aca="false">O75+L76</f>
        <v>0</v>
      </c>
      <c r="P76" s="180" t="n">
        <f aca="false">M76+O76-N76</f>
        <v>22400.3598074191</v>
      </c>
      <c r="Q76" s="180" t="n">
        <f aca="false">MAX(0,IFERROR(INDEX(TAB_IR,MATCH($C76,TAB_IR_DIAS,1),MATCH($B$8,TAB_IR_REGIMES,0)),0)*IF($B$26=2,M76,MAX(0,P76))-O76)</f>
        <v>3920.06296629834</v>
      </c>
      <c r="R76" s="181" t="n">
        <f aca="false">MAX(0,M76-Q76-M76*$B$25)</f>
        <v>168480.296841121</v>
      </c>
      <c r="S76" s="180" t="n">
        <f aca="false">R76/$D76</f>
        <v>160419.605829491</v>
      </c>
      <c r="U76" s="180" t="n">
        <f aca="false">AB75</f>
        <v>167680.191039646</v>
      </c>
      <c r="V76" s="180" t="n">
        <f aca="false">IF($C$9=0,0,IF($A76&gt;IN_PRAZO,0,IF(APORTE_CORRIGIDO="Sim",IN_APORTE*$D76,IN_APORTE))+IF(AND($C$35=1,PGBL_REINVESTE="Sim",$A76&gt;=13,$A76&lt;=IN_PRAZO,MONTH($B76)=5),PGBL_BENEFICIO,0))</f>
        <v>0</v>
      </c>
      <c r="W76" s="180" t="n">
        <f aca="false">V76*$C$24</f>
        <v>0</v>
      </c>
      <c r="X76" s="180" t="n">
        <f aca="false">U76*$C$19</f>
        <v>1367.80512037906</v>
      </c>
      <c r="Y76" s="180" t="n">
        <f aca="false">U76*$C$22</f>
        <v>27.9466985066077</v>
      </c>
      <c r="Z76" s="180" t="n">
        <f aca="false">$C$23*MAX(0,X76-U76*$C$18)</f>
        <v>0</v>
      </c>
      <c r="AA76" s="180" t="n">
        <f aca="false">IF(AND($C$27=1,OR(MONTH($B76)=5,MONTH($B76)=11)),MAX(0,$C$28*MAX(0,(U76+X76-Y76-Z76+V76-W76)+AD75-AC76)-AD75),0)</f>
        <v>0</v>
      </c>
      <c r="AB76" s="181" t="n">
        <f aca="false">U76+X76-Y76-Z76+V76-W76-AA76</f>
        <v>169020.049461519</v>
      </c>
      <c r="AC76" s="180" t="n">
        <f aca="false">AC75+V76-W76</f>
        <v>150000</v>
      </c>
      <c r="AD76" s="180" t="n">
        <f aca="false">AD75+AA76</f>
        <v>0</v>
      </c>
      <c r="AE76" s="180" t="n">
        <f aca="false">AB76+AD76-AC76</f>
        <v>19020.0494615189</v>
      </c>
      <c r="AF76" s="180" t="n">
        <f aca="false">MAX(0,IFERROR(INDEX(TAB_IR,MATCH($C76,TAB_IR_DIAS,1),MATCH($C$8,TAB_IR_REGIMES,0)),0)*IF($C$26=2,AB76,MAX(0,AE76))-AD76)</f>
        <v>3328.5086557658</v>
      </c>
      <c r="AG76" s="181" t="n">
        <f aca="false">MAX(0,AB76-AF76-AB76*$C$25)</f>
        <v>165691.540805753</v>
      </c>
      <c r="AH76" s="180" t="n">
        <f aca="false">AG76/$D76</f>
        <v>157764.273708548</v>
      </c>
      <c r="AJ76" s="180" t="n">
        <f aca="false">AQ75</f>
        <v>166262.783459991</v>
      </c>
      <c r="AK76" s="180" t="n">
        <f aca="false">IF($D$9=0,0,IF($A76&gt;IN_PRAZO,0,IF(APORTE_CORRIGIDO="Sim",IN_APORTE*$D76,IN_APORTE))+IF(AND($D$35=1,PGBL_REINVESTE="Sim",$A76&gt;=13,$A76&lt;=IN_PRAZO,MONTH($B76)=5),PGBL_BENEFICIO,0))</f>
        <v>0</v>
      </c>
      <c r="AL76" s="180" t="n">
        <f aca="false">AK76*$D$24</f>
        <v>0</v>
      </c>
      <c r="AM76" s="180" t="n">
        <f aca="false">AJ76*$D$19</f>
        <v>1494.48579113614</v>
      </c>
      <c r="AN76" s="180" t="n">
        <f aca="false">AJ76*$D$22</f>
        <v>138.552319549992</v>
      </c>
      <c r="AO76" s="180" t="n">
        <f aca="false">$D$23*MAX(0,AM76-AJ76*$D$18)</f>
        <v>0</v>
      </c>
      <c r="AP76" s="180" t="n">
        <f aca="false">IF(AND($D$27=1,OR(MONTH($B76)=5,MONTH($B76)=11)),MAX(0,$D$28*MAX(0,(AJ76+AM76-AN76-AO76+AK76-AL76)+AS75-AR76)-AS75),0)</f>
        <v>1195.9251809995</v>
      </c>
      <c r="AQ76" s="181" t="n">
        <f aca="false">AJ76+AM76-AN76-AO76+AK76-AL76-AP76</f>
        <v>166422.791750577</v>
      </c>
      <c r="AR76" s="180" t="n">
        <f aca="false">AR75+AK76-AL76</f>
        <v>150000</v>
      </c>
      <c r="AS76" s="180" t="n">
        <f aca="false">AS75+AP76</f>
        <v>2898.13972069013</v>
      </c>
      <c r="AT76" s="180" t="n">
        <f aca="false">AQ76+AS76-AR76</f>
        <v>19320.9314712675</v>
      </c>
      <c r="AU76" s="180" t="n">
        <f aca="false">MAX(0,IFERROR(INDEX(TAB_IR,MATCH($C76,TAB_IR_DIAS,1),MATCH($D$8,TAB_IR_REGIMES,0)),0)*IF($D$26=2,AQ76,MAX(0,AT76))-AS76)</f>
        <v>483.023286781689</v>
      </c>
      <c r="AV76" s="181" t="n">
        <f aca="false">MAX(0,AQ76-AU76-AQ76*$D$25)</f>
        <v>165939.768463796</v>
      </c>
      <c r="AW76" s="180" t="n">
        <f aca="false">AV76/$D76</f>
        <v>158000.625280843</v>
      </c>
      <c r="AY76" s="180" t="n">
        <f aca="false">BF75</f>
        <v>168961.392926099</v>
      </c>
      <c r="AZ76" s="180" t="n">
        <f aca="false">IF($E$9=0,0,IF($A76&gt;IN_PRAZO,0,IF(APORTE_CORRIGIDO="Sim",IN_APORTE*$D76,IN_APORTE))+IF(AND($E$35=1,PGBL_REINVESTE="Sim",$A76&gt;=13,$A76&lt;=IN_PRAZO,MONTH($B76)=5),PGBL_BENEFICIO,0))</f>
        <v>0</v>
      </c>
      <c r="BA76" s="180" t="n">
        <f aca="false">AZ76*$E$24</f>
        <v>0</v>
      </c>
      <c r="BB76" s="180" t="n">
        <f aca="false">AY76*$E$19</f>
        <v>1653.92004937364</v>
      </c>
      <c r="BC76" s="180" t="n">
        <f aca="false">AY76*$E$22</f>
        <v>211.201741157623</v>
      </c>
      <c r="BD76" s="180" t="n">
        <f aca="false">$E$23*MAX(0,BB76-AY76*$E$18)</f>
        <v>0</v>
      </c>
      <c r="BE76" s="180" t="n">
        <f aca="false">IF(AND($E$27=1,OR(MONTH($B76)=5,MONTH($B76)=11)),MAX(0,$E$28*MAX(0,(AY76+BB76-BC76-BD76+AZ76-BA76)+BH75-BG76)-BH75),0)</f>
        <v>0</v>
      </c>
      <c r="BF76" s="181" t="n">
        <f aca="false">AY76+BB76-BC76-BD76+AZ76-BA76-BE76</f>
        <v>170404.111234315</v>
      </c>
      <c r="BG76" s="180" t="n">
        <f aca="false">BG75+AZ76-BA76</f>
        <v>150000</v>
      </c>
      <c r="BH76" s="180" t="n">
        <f aca="false">BH75+BE76</f>
        <v>0</v>
      </c>
      <c r="BI76" s="180" t="n">
        <f aca="false">BF76+BH76-BG76</f>
        <v>20404.1112343148</v>
      </c>
      <c r="BJ76" s="180" t="n">
        <f aca="false">MAX(0,IFERROR(INDEX(TAB_IR,MATCH($C76,TAB_IR_DIAS,1),MATCH($E$8,TAB_IR_REGIMES,0)),0)*IF($E$26=2,BF76,MAX(0,BI76))-BH76)</f>
        <v>7141.43893201017</v>
      </c>
      <c r="BK76" s="181" t="n">
        <f aca="false">MAX(0,BF76-BJ76-BF76*$E$25)</f>
        <v>163262.672302305</v>
      </c>
      <c r="BL76" s="180" t="n">
        <f aca="false">BK76/$D76</f>
        <v>155451.610831996</v>
      </c>
      <c r="BN76" s="180" t="n">
        <f aca="false">BU75</f>
        <v>168961.392926099</v>
      </c>
      <c r="BO76" s="180" t="n">
        <f aca="false">IF($F$9=0,0,IF($A76&gt;IN_PRAZO,0,IF(APORTE_CORRIGIDO="Sim",IN_APORTE*$D76,IN_APORTE))+IF(AND($F$35=1,PGBL_REINVESTE="Sim",$A76&gt;=13,$A76&lt;=IN_PRAZO,MONTH($B76)=5),PGBL_BENEFICIO,0))</f>
        <v>0</v>
      </c>
      <c r="BP76" s="180" t="n">
        <f aca="false">BO76*$F$24</f>
        <v>0</v>
      </c>
      <c r="BQ76" s="180" t="n">
        <f aca="false">BN76*$F$19</f>
        <v>1653.92004937364</v>
      </c>
      <c r="BR76" s="180" t="n">
        <f aca="false">BN76*$F$22</f>
        <v>211.201741157623</v>
      </c>
      <c r="BS76" s="180" t="n">
        <f aca="false">$F$23*MAX(0,BQ76-BN76*$F$18)</f>
        <v>0</v>
      </c>
      <c r="BT76" s="180" t="n">
        <f aca="false">IF(AND($F$27=1,OR(MONTH($B76)=5,MONTH($B76)=11)),MAX(0,$F$28*MAX(0,(BN76+BQ76-BR76-BS76+BO76-BP76)+BW75-BV76)-BW75),0)</f>
        <v>0</v>
      </c>
      <c r="BU76" s="181" t="n">
        <f aca="false">BN76+BQ76-BR76-BS76+BO76-BP76-BT76</f>
        <v>170404.111234315</v>
      </c>
      <c r="BV76" s="180" t="n">
        <f aca="false">BV75+BO76-BP76</f>
        <v>150000</v>
      </c>
      <c r="BW76" s="180" t="n">
        <f aca="false">BW75+BT76</f>
        <v>0</v>
      </c>
      <c r="BX76" s="180" t="n">
        <f aca="false">BU76+BW76-BV76</f>
        <v>20404.1112343148</v>
      </c>
      <c r="BY76" s="180" t="n">
        <f aca="false">MAX(0,IFERROR(INDEX(TAB_IR,MATCH($C76,TAB_IR_DIAS,1),MATCH($F$8,TAB_IR_REGIMES,0)),0)*IF($F$26=2,BU76,MAX(0,BX76))-BW76)</f>
        <v>59641.4389320102</v>
      </c>
      <c r="BZ76" s="181" t="n">
        <f aca="false">MAX(0,BU76-BY76-BU76*$F$25)</f>
        <v>110762.672302305</v>
      </c>
      <c r="CA76" s="180" t="n">
        <f aca="false">BZ76/$D76</f>
        <v>105463.39580653</v>
      </c>
      <c r="CC76" s="180" t="n">
        <f aca="false">CJ75</f>
        <v>164530.549877696</v>
      </c>
      <c r="CD76" s="180" t="n">
        <f aca="false">IF($G$9=0,0,IF($A76&gt;IN_PRAZO,0,IF(APORTE_CORRIGIDO="Sim",IN_APORTE*$D76,IN_APORTE))+IF(AND($G$35=1,PGBL_REINVESTE="Sim",$A76&gt;=13,$A76&lt;=IN_PRAZO,MONTH($B76)=5),PGBL_BENEFICIO,0))</f>
        <v>0</v>
      </c>
      <c r="CE76" s="180" t="n">
        <f aca="false">CD76*$G$24</f>
        <v>0</v>
      </c>
      <c r="CF76" s="180" t="n">
        <f aca="false">CC76*$G$19</f>
        <v>1342.11278736131</v>
      </c>
      <c r="CG76" s="180" t="n">
        <f aca="false">CC76*$G$22</f>
        <v>137.108791564747</v>
      </c>
      <c r="CH76" s="180" t="n">
        <f aca="false">$G$23*MAX(0,CF76-CC76*$G$18)</f>
        <v>0</v>
      </c>
      <c r="CI76" s="180" t="n">
        <f aca="false">IF(AND($G$27=1,OR(MONTH($B76)=5,MONTH($B76)=11)),MAX(0,$G$28*MAX(0,(CC76+CF76-CG76-CH76+CD76-CE76)+CL75-CK76)-CL75),0)</f>
        <v>1064.9810594403</v>
      </c>
      <c r="CJ76" s="181" t="n">
        <f aca="false">CC76+CF76-CG76-CH76+CD76-CE76-CI76</f>
        <v>164670.572814053</v>
      </c>
      <c r="CK76" s="180" t="n">
        <f aca="false">CK75+CD76-CE76</f>
        <v>150000</v>
      </c>
      <c r="CL76" s="180" t="n">
        <f aca="false">CL75+CI76</f>
        <v>2588.92461424459</v>
      </c>
      <c r="CM76" s="180" t="n">
        <f aca="false">CJ76+CL76-CK76</f>
        <v>17259.4974282973</v>
      </c>
      <c r="CN76" s="180" t="n">
        <f aca="false">MAX(0,IFERROR(INDEX(TAB_IR,MATCH($C76,TAB_IR_DIAS,1),MATCH($G$8,TAB_IR_REGIMES,0)),0)*IF($G$26=2,CJ76,MAX(0,CM76))-CL76)</f>
        <v>431.487435707438</v>
      </c>
      <c r="CO76" s="181" t="n">
        <f aca="false">MAX(0,CJ76-CN76-CJ76*$G$25)</f>
        <v>164239.085378345</v>
      </c>
      <c r="CP76" s="180" t="n">
        <f aca="false">CO76/$D76</f>
        <v>156381.308866259</v>
      </c>
    </row>
    <row r="77" customFormat="false" ht="12" hidden="false" customHeight="true" outlineLevel="0" collapsed="false">
      <c r="A77" s="177" t="n">
        <v>16</v>
      </c>
      <c r="B77" s="178" t="n">
        <f aca="false">EDATE(DATA_INICIO,$A77)</f>
        <v>46744</v>
      </c>
      <c r="C77" s="177" t="n">
        <f aca="false">$A77*30</f>
        <v>480</v>
      </c>
      <c r="D77" s="179" t="n">
        <f aca="false">(1+IPCA_CENARIO)^($A77/12)</f>
        <v>1.05368577997298</v>
      </c>
      <c r="F77" s="180" t="n">
        <f aca="false">M76</f>
        <v>172400.359807419</v>
      </c>
      <c r="G77" s="180" t="n">
        <f aca="false">IF($B$9=0,0,IF($A77&gt;IN_PRAZO,0,IF(APORTE_CORRIGIDO="Sim",IN_APORTE*$D77,IN_APORTE))+IF(AND($B$35=1,PGBL_REINVESTE="Sim",$A77&gt;=13,$A77&lt;=IN_PRAZO,MONTH($B77)=5),PGBL_BENEFICIO,0))</f>
        <v>0</v>
      </c>
      <c r="H77" s="180" t="n">
        <f aca="false">G77*$B$24</f>
        <v>0</v>
      </c>
      <c r="I77" s="180" t="n">
        <f aca="false">F77*$B$19</f>
        <v>1635.87131606021</v>
      </c>
      <c r="J77" s="180" t="n">
        <f aca="false">F77*$B$22</f>
        <v>28.7333933012365</v>
      </c>
      <c r="K77" s="180" t="n">
        <f aca="false">$B$23*MAX(0,I77-F77*$B$18)</f>
        <v>0</v>
      </c>
      <c r="L77" s="180" t="n">
        <f aca="false">IF(AND($B$27=1,OR(MONTH($B77)=5,MONTH($B77)=11)),MAX(0,$B$28*MAX(0,(F77+I77-J77-K77+G77-H77)+O76-N77)-O76),0)</f>
        <v>0</v>
      </c>
      <c r="M77" s="181" t="n">
        <f aca="false">F77+I77-J77-K77+G77-H77-L77</f>
        <v>174007.497730178</v>
      </c>
      <c r="N77" s="180" t="n">
        <f aca="false">N76+G77-H77</f>
        <v>150000</v>
      </c>
      <c r="O77" s="180" t="n">
        <f aca="false">O76+L77</f>
        <v>0</v>
      </c>
      <c r="P77" s="180" t="n">
        <f aca="false">M77+O77-N77</f>
        <v>24007.4977301781</v>
      </c>
      <c r="Q77" s="180" t="n">
        <f aca="false">MAX(0,IFERROR(INDEX(TAB_IR,MATCH($C77,TAB_IR_DIAS,1),MATCH($B$8,TAB_IR_REGIMES,0)),0)*IF($B$26=2,M77,MAX(0,P77))-O77)</f>
        <v>4201.31210278117</v>
      </c>
      <c r="R77" s="181" t="n">
        <f aca="false">MAX(0,M77-Q77-M77*$B$25)</f>
        <v>169806.185627397</v>
      </c>
      <c r="S77" s="180" t="n">
        <f aca="false">R77/$D77</f>
        <v>161154.481587244</v>
      </c>
      <c r="U77" s="180" t="n">
        <f aca="false">AB76</f>
        <v>169020.049461519</v>
      </c>
      <c r="V77" s="180" t="n">
        <f aca="false">IF($C$9=0,0,IF($A77&gt;IN_PRAZO,0,IF(APORTE_CORRIGIDO="Sim",IN_APORTE*$D77,IN_APORTE))+IF(AND($C$35=1,PGBL_REINVESTE="Sim",$A77&gt;=13,$A77&lt;=IN_PRAZO,MONTH($B77)=5),PGBL_BENEFICIO,0))</f>
        <v>0</v>
      </c>
      <c r="W77" s="180" t="n">
        <f aca="false">V77*$C$24</f>
        <v>0</v>
      </c>
      <c r="X77" s="180" t="n">
        <f aca="false">U77*$C$19</f>
        <v>1378.73464758593</v>
      </c>
      <c r="Y77" s="180" t="n">
        <f aca="false">U77*$C$22</f>
        <v>28.1700082435865</v>
      </c>
      <c r="Z77" s="180" t="n">
        <f aca="false">$C$23*MAX(0,X77-U77*$C$18)</f>
        <v>0</v>
      </c>
      <c r="AA77" s="180" t="n">
        <f aca="false">IF(AND($C$27=1,OR(MONTH($B77)=5,MONTH($B77)=11)),MAX(0,$C$28*MAX(0,(U77+X77-Y77-Z77+V77-W77)+AD76-AC77)-AD76),0)</f>
        <v>0</v>
      </c>
      <c r="AB77" s="181" t="n">
        <f aca="false">U77+X77-Y77-Z77+V77-W77-AA77</f>
        <v>170370.614100861</v>
      </c>
      <c r="AC77" s="180" t="n">
        <f aca="false">AC76+V77-W77</f>
        <v>150000</v>
      </c>
      <c r="AD77" s="180" t="n">
        <f aca="false">AD76+AA77</f>
        <v>0</v>
      </c>
      <c r="AE77" s="180" t="n">
        <f aca="false">AB77+AD77-AC77</f>
        <v>20370.6141008612</v>
      </c>
      <c r="AF77" s="180" t="n">
        <f aca="false">MAX(0,IFERROR(INDEX(TAB_IR,MATCH($C77,TAB_IR_DIAS,1),MATCH($C$8,TAB_IR_REGIMES,0)),0)*IF($C$26=2,AB77,MAX(0,AE77))-AD77)</f>
        <v>3564.85746765071</v>
      </c>
      <c r="AG77" s="181" t="n">
        <f aca="false">MAX(0,AB77-AF77-AB77*$C$25)</f>
        <v>166805.756633211</v>
      </c>
      <c r="AH77" s="180" t="n">
        <f aca="false">AG77/$D77</f>
        <v>158306.925844142</v>
      </c>
      <c r="AJ77" s="180" t="n">
        <f aca="false">AQ76</f>
        <v>166422.791750577</v>
      </c>
      <c r="AK77" s="180" t="n">
        <f aca="false">IF($D$9=0,0,IF($A77&gt;IN_PRAZO,0,IF(APORTE_CORRIGIDO="Sim",IN_APORTE*$D77,IN_APORTE))+IF(AND($D$35=1,PGBL_REINVESTE="Sim",$A77&gt;=13,$A77&lt;=IN_PRAZO,MONTH($B77)=5),PGBL_BENEFICIO,0))</f>
        <v>0</v>
      </c>
      <c r="AL77" s="180" t="n">
        <f aca="false">AK77*$D$24</f>
        <v>0</v>
      </c>
      <c r="AM77" s="180" t="n">
        <f aca="false">AJ77*$D$19</f>
        <v>1495.92405718564</v>
      </c>
      <c r="AN77" s="180" t="n">
        <f aca="false">AJ77*$D$22</f>
        <v>138.685659792148</v>
      </c>
      <c r="AO77" s="180" t="n">
        <f aca="false">$D$23*MAX(0,AM77-AJ77*$D$18)</f>
        <v>0</v>
      </c>
      <c r="AP77" s="180" t="n">
        <f aca="false">IF(AND($D$27=1,OR(MONTH($B77)=5,MONTH($B77)=11)),MAX(0,$D$28*MAX(0,(AJ77+AM77-AN77-AO77+AK77-AL77)+AS76-AR77)-AS76),0)</f>
        <v>0</v>
      </c>
      <c r="AQ77" s="181" t="n">
        <f aca="false">AJ77+AM77-AN77-AO77+AK77-AL77-AP77</f>
        <v>167780.030147971</v>
      </c>
      <c r="AR77" s="180" t="n">
        <f aca="false">AR76+AK77-AL77</f>
        <v>150000</v>
      </c>
      <c r="AS77" s="180" t="n">
        <f aca="false">AS76+AP77</f>
        <v>2898.13972069013</v>
      </c>
      <c r="AT77" s="180" t="n">
        <f aca="false">AQ77+AS77-AR77</f>
        <v>20678.169868661</v>
      </c>
      <c r="AU77" s="180" t="n">
        <f aca="false">MAX(0,IFERROR(INDEX(TAB_IR,MATCH($C77,TAB_IR_DIAS,1),MATCH($D$8,TAB_IR_REGIMES,0)),0)*IF($D$26=2,AQ77,MAX(0,AT77))-AS77)</f>
        <v>720.540006325549</v>
      </c>
      <c r="AV77" s="181" t="n">
        <f aca="false">MAX(0,AQ77-AU77-AQ77*$D$25)</f>
        <v>167059.490141645</v>
      </c>
      <c r="AW77" s="180" t="n">
        <f aca="false">AV77/$D77</f>
        <v>158547.731512452</v>
      </c>
      <c r="AY77" s="180" t="n">
        <f aca="false">BF76</f>
        <v>170404.111234315</v>
      </c>
      <c r="AZ77" s="180" t="n">
        <f aca="false">IF($E$9=0,0,IF($A77&gt;IN_PRAZO,0,IF(APORTE_CORRIGIDO="Sim",IN_APORTE*$D77,IN_APORTE))+IF(AND($E$35=1,PGBL_REINVESTE="Sim",$A77&gt;=13,$A77&lt;=IN_PRAZO,MONTH($B77)=5),PGBL_BENEFICIO,0))</f>
        <v>0</v>
      </c>
      <c r="BA77" s="180" t="n">
        <f aca="false">AZ77*$E$24</f>
        <v>0</v>
      </c>
      <c r="BB77" s="180" t="n">
        <f aca="false">AY77*$E$19</f>
        <v>1668.04245150488</v>
      </c>
      <c r="BC77" s="180" t="n">
        <f aca="false">AY77*$E$22</f>
        <v>213.005139042893</v>
      </c>
      <c r="BD77" s="180" t="n">
        <f aca="false">$E$23*MAX(0,BB77-AY77*$E$18)</f>
        <v>0</v>
      </c>
      <c r="BE77" s="180" t="n">
        <f aca="false">IF(AND($E$27=1,OR(MONTH($B77)=5,MONTH($B77)=11)),MAX(0,$E$28*MAX(0,(AY77+BB77-BC77-BD77+AZ77-BA77)+BH76-BG77)-BH76),0)</f>
        <v>0</v>
      </c>
      <c r="BF77" s="181" t="n">
        <f aca="false">AY77+BB77-BC77-BD77+AZ77-BA77-BE77</f>
        <v>171859.148546777</v>
      </c>
      <c r="BG77" s="180" t="n">
        <f aca="false">BG76+AZ77-BA77</f>
        <v>150000</v>
      </c>
      <c r="BH77" s="180" t="n">
        <f aca="false">BH76+BE77</f>
        <v>0</v>
      </c>
      <c r="BI77" s="180" t="n">
        <f aca="false">BF77+BH77-BG77</f>
        <v>21859.1485467768</v>
      </c>
      <c r="BJ77" s="180" t="n">
        <f aca="false">MAX(0,IFERROR(INDEX(TAB_IR,MATCH($C77,TAB_IR_DIAS,1),MATCH($E$8,TAB_IR_REGIMES,0)),0)*IF($E$26=2,BF77,MAX(0,BI77))-BH77)</f>
        <v>7650.70199137187</v>
      </c>
      <c r="BK77" s="181" t="n">
        <f aca="false">MAX(0,BF77-BJ77-BF77*$E$25)</f>
        <v>164208.446555405</v>
      </c>
      <c r="BL77" s="180" t="n">
        <f aca="false">BK77/$D77</f>
        <v>155841.949921366</v>
      </c>
      <c r="BN77" s="180" t="n">
        <f aca="false">BU76</f>
        <v>170404.111234315</v>
      </c>
      <c r="BO77" s="180" t="n">
        <f aca="false">IF($F$9=0,0,IF($A77&gt;IN_PRAZO,0,IF(APORTE_CORRIGIDO="Sim",IN_APORTE*$D77,IN_APORTE))+IF(AND($F$35=1,PGBL_REINVESTE="Sim",$A77&gt;=13,$A77&lt;=IN_PRAZO,MONTH($B77)=5),PGBL_BENEFICIO,0))</f>
        <v>0</v>
      </c>
      <c r="BP77" s="180" t="n">
        <f aca="false">BO77*$F$24</f>
        <v>0</v>
      </c>
      <c r="BQ77" s="180" t="n">
        <f aca="false">BN77*$F$19</f>
        <v>1668.04245150488</v>
      </c>
      <c r="BR77" s="180" t="n">
        <f aca="false">BN77*$F$22</f>
        <v>213.005139042893</v>
      </c>
      <c r="BS77" s="180" t="n">
        <f aca="false">$F$23*MAX(0,BQ77-BN77*$F$18)</f>
        <v>0</v>
      </c>
      <c r="BT77" s="180" t="n">
        <f aca="false">IF(AND($F$27=1,OR(MONTH($B77)=5,MONTH($B77)=11)),MAX(0,$F$28*MAX(0,(BN77+BQ77-BR77-BS77+BO77-BP77)+BW76-BV77)-BW76),0)</f>
        <v>0</v>
      </c>
      <c r="BU77" s="181" t="n">
        <f aca="false">BN77+BQ77-BR77-BS77+BO77-BP77-BT77</f>
        <v>171859.148546777</v>
      </c>
      <c r="BV77" s="180" t="n">
        <f aca="false">BV76+BO77-BP77</f>
        <v>150000</v>
      </c>
      <c r="BW77" s="180" t="n">
        <f aca="false">BW76+BT77</f>
        <v>0</v>
      </c>
      <c r="BX77" s="180" t="n">
        <f aca="false">BU77+BW77-BV77</f>
        <v>21859.1485467768</v>
      </c>
      <c r="BY77" s="180" t="n">
        <f aca="false">MAX(0,IFERROR(INDEX(TAB_IR,MATCH($C77,TAB_IR_DIAS,1),MATCH($F$8,TAB_IR_REGIMES,0)),0)*IF($F$26=2,BU77,MAX(0,BX77))-BW77)</f>
        <v>60150.7019913719</v>
      </c>
      <c r="BZ77" s="181" t="n">
        <f aca="false">MAX(0,BU77-BY77-BU77*$F$25)</f>
        <v>111708.446555405</v>
      </c>
      <c r="CA77" s="180" t="n">
        <f aca="false">BZ77/$D77</f>
        <v>106016.849309923</v>
      </c>
      <c r="CC77" s="180" t="n">
        <f aca="false">CJ76</f>
        <v>164670.572814053</v>
      </c>
      <c r="CD77" s="180" t="n">
        <f aca="false">IF($G$9=0,0,IF($A77&gt;IN_PRAZO,0,IF(APORTE_CORRIGIDO="Sim",IN_APORTE*$D77,IN_APORTE))+IF(AND($G$35=1,PGBL_REINVESTE="Sim",$A77&gt;=13,$A77&lt;=IN_PRAZO,MONTH($B77)=5),PGBL_BENEFICIO,0))</f>
        <v>0</v>
      </c>
      <c r="CE77" s="180" t="n">
        <f aca="false">CD77*$G$24</f>
        <v>0</v>
      </c>
      <c r="CF77" s="180" t="n">
        <f aca="false">CC77*$G$19</f>
        <v>1343.25498602014</v>
      </c>
      <c r="CG77" s="180" t="n">
        <f aca="false">CC77*$G$22</f>
        <v>137.225477345044</v>
      </c>
      <c r="CH77" s="180" t="n">
        <f aca="false">$G$23*MAX(0,CF77-CC77*$G$18)</f>
        <v>0</v>
      </c>
      <c r="CI77" s="180" t="n">
        <f aca="false">IF(AND($G$27=1,OR(MONTH($B77)=5,MONTH($B77)=11)),MAX(0,$G$28*MAX(0,(CC77+CF77-CG77-CH77+CD77-CE77)+CL76-CK77)-CL76),0)</f>
        <v>0</v>
      </c>
      <c r="CJ77" s="181" t="n">
        <f aca="false">CC77+CF77-CG77-CH77+CD77-CE77-CI77</f>
        <v>165876.602322728</v>
      </c>
      <c r="CK77" s="180" t="n">
        <f aca="false">CK76+CD77-CE77</f>
        <v>150000</v>
      </c>
      <c r="CL77" s="180" t="n">
        <f aca="false">CL76+CI77</f>
        <v>2588.92461424459</v>
      </c>
      <c r="CM77" s="180" t="n">
        <f aca="false">CJ77+CL77-CK77</f>
        <v>18465.5269369724</v>
      </c>
      <c r="CN77" s="180" t="n">
        <f aca="false">MAX(0,IFERROR(INDEX(TAB_IR,MATCH($C77,TAB_IR_DIAS,1),MATCH($G$8,TAB_IR_REGIMES,0)),0)*IF($G$26=2,CJ77,MAX(0,CM77))-CL77)</f>
        <v>642.54259972558</v>
      </c>
      <c r="CO77" s="181" t="n">
        <f aca="false">MAX(0,CJ77-CN77-CJ77*$G$25)</f>
        <v>165234.059723002</v>
      </c>
      <c r="CP77" s="180" t="n">
        <f aca="false">CO77/$D77</f>
        <v>156815.307621631</v>
      </c>
    </row>
    <row r="78" customFormat="false" ht="12" hidden="false" customHeight="true" outlineLevel="0" collapsed="false">
      <c r="A78" s="177" t="n">
        <v>17</v>
      </c>
      <c r="B78" s="178" t="n">
        <f aca="false">EDATE(DATA_INICIO,$A78)</f>
        <v>46775</v>
      </c>
      <c r="C78" s="177" t="n">
        <f aca="false">$A78*30</f>
        <v>510</v>
      </c>
      <c r="D78" s="179" t="n">
        <f aca="false">(1+IPCA_CENARIO)^($A78/12)</f>
        <v>1.05713527302882</v>
      </c>
      <c r="F78" s="180" t="n">
        <f aca="false">M77</f>
        <v>174007.497730178</v>
      </c>
      <c r="G78" s="180" t="n">
        <f aca="false">IF($B$9=0,0,IF($A78&gt;IN_PRAZO,0,IF(APORTE_CORRIGIDO="Sim",IN_APORTE*$D78,IN_APORTE))+IF(AND($B$35=1,PGBL_REINVESTE="Sim",$A78&gt;=13,$A78&lt;=IN_PRAZO,MONTH($B78)=5),PGBL_BENEFICIO,0))</f>
        <v>0</v>
      </c>
      <c r="H78" s="180" t="n">
        <f aca="false">G78*$B$24</f>
        <v>0</v>
      </c>
      <c r="I78" s="180" t="n">
        <f aca="false">F78*$B$19</f>
        <v>1651.12111502659</v>
      </c>
      <c r="J78" s="180" t="n">
        <f aca="false">F78*$B$22</f>
        <v>29.0012496216963</v>
      </c>
      <c r="K78" s="180" t="n">
        <f aca="false">$B$23*MAX(0,I78-F78*$B$18)</f>
        <v>0</v>
      </c>
      <c r="L78" s="180" t="n">
        <f aca="false">IF(AND($B$27=1,OR(MONTH($B78)=5,MONTH($B78)=11)),MAX(0,$B$28*MAX(0,(F78+I78-J78-K78+G78-H78)+O77-N78)-O77),0)</f>
        <v>0</v>
      </c>
      <c r="M78" s="181" t="n">
        <f aca="false">F78+I78-J78-K78+G78-H78-L78</f>
        <v>175629.617595583</v>
      </c>
      <c r="N78" s="180" t="n">
        <f aca="false">N77+G78-H78</f>
        <v>150000</v>
      </c>
      <c r="O78" s="180" t="n">
        <f aca="false">O77+L78</f>
        <v>0</v>
      </c>
      <c r="P78" s="180" t="n">
        <f aca="false">M78+O78-N78</f>
        <v>25629.617595583</v>
      </c>
      <c r="Q78" s="180" t="n">
        <f aca="false">MAX(0,IFERROR(INDEX(TAB_IR,MATCH($C78,TAB_IR_DIAS,1),MATCH($B$8,TAB_IR_REGIMES,0)),0)*IF($B$26=2,M78,MAX(0,P78))-O78)</f>
        <v>4485.18307922702</v>
      </c>
      <c r="R78" s="181" t="n">
        <f aca="false">MAX(0,M78-Q78-M78*$B$25)</f>
        <v>171144.434516356</v>
      </c>
      <c r="S78" s="180" t="n">
        <f aca="false">R78/$D78</f>
        <v>161894.545459643</v>
      </c>
      <c r="U78" s="180" t="n">
        <f aca="false">AB77</f>
        <v>170370.614100861</v>
      </c>
      <c r="V78" s="180" t="n">
        <f aca="false">IF($C$9=0,0,IF($A78&gt;IN_PRAZO,0,IF(APORTE_CORRIGIDO="Sim",IN_APORTE*$D78,IN_APORTE))+IF(AND($C$35=1,PGBL_REINVESTE="Sim",$A78&gt;=13,$A78&lt;=IN_PRAZO,MONTH($B78)=5),PGBL_BENEFICIO,0))</f>
        <v>0</v>
      </c>
      <c r="W78" s="180" t="n">
        <f aca="false">V78*$C$24</f>
        <v>0</v>
      </c>
      <c r="X78" s="180" t="n">
        <f aca="false">U78*$C$19</f>
        <v>1389.75150782232</v>
      </c>
      <c r="Y78" s="180" t="n">
        <f aca="false">U78*$C$22</f>
        <v>28.3951023501435</v>
      </c>
      <c r="Z78" s="180" t="n">
        <f aca="false">$C$23*MAX(0,X78-U78*$C$18)</f>
        <v>0</v>
      </c>
      <c r="AA78" s="180" t="n">
        <f aca="false">IF(AND($C$27=1,OR(MONTH($B78)=5,MONTH($B78)=11)),MAX(0,$C$28*MAX(0,(U78+X78-Y78-Z78+V78-W78)+AD77-AC78)-AD77),0)</f>
        <v>0</v>
      </c>
      <c r="AB78" s="181" t="n">
        <f aca="false">U78+X78-Y78-Z78+V78-W78-AA78</f>
        <v>171731.970506333</v>
      </c>
      <c r="AC78" s="180" t="n">
        <f aca="false">AC77+V78-W78</f>
        <v>150000</v>
      </c>
      <c r="AD78" s="180" t="n">
        <f aca="false">AD77+AA78</f>
        <v>0</v>
      </c>
      <c r="AE78" s="180" t="n">
        <f aca="false">AB78+AD78-AC78</f>
        <v>21731.9705063334</v>
      </c>
      <c r="AF78" s="180" t="n">
        <f aca="false">MAX(0,IFERROR(INDEX(TAB_IR,MATCH($C78,TAB_IR_DIAS,1),MATCH($C$8,TAB_IR_REGIMES,0)),0)*IF($C$26=2,AB78,MAX(0,AE78))-AD78)</f>
        <v>3803.09483860834</v>
      </c>
      <c r="AG78" s="181" t="n">
        <f aca="false">MAX(0,AB78-AF78-AB78*$C$25)</f>
        <v>167928.875667725</v>
      </c>
      <c r="AH78" s="180" t="n">
        <f aca="false">AG78/$D78</f>
        <v>158852.778780703</v>
      </c>
      <c r="AJ78" s="180" t="n">
        <f aca="false">AQ77</f>
        <v>167780.030147971</v>
      </c>
      <c r="AK78" s="180" t="n">
        <f aca="false">IF($D$9=0,0,IF($A78&gt;IN_PRAZO,0,IF(APORTE_CORRIGIDO="Sim",IN_APORTE*$D78,IN_APORTE))+IF(AND($D$35=1,PGBL_REINVESTE="Sim",$A78&gt;=13,$A78&lt;=IN_PRAZO,MONTH($B78)=5),PGBL_BENEFICIO,0))</f>
        <v>0</v>
      </c>
      <c r="AL78" s="180" t="n">
        <f aca="false">AK78*$D$24</f>
        <v>0</v>
      </c>
      <c r="AM78" s="180" t="n">
        <f aca="false">AJ78*$D$19</f>
        <v>1508.12386196382</v>
      </c>
      <c r="AN78" s="180" t="n">
        <f aca="false">AJ78*$D$22</f>
        <v>139.816691789976</v>
      </c>
      <c r="AO78" s="180" t="n">
        <f aca="false">$D$23*MAX(0,AM78-AJ78*$D$18)</f>
        <v>0</v>
      </c>
      <c r="AP78" s="180" t="n">
        <f aca="false">IF(AND($D$27=1,OR(MONTH($B78)=5,MONTH($B78)=11)),MAX(0,$D$28*MAX(0,(AJ78+AM78-AN78-AO78+AK78-AL78)+AS77-AR78)-AS77),0)</f>
        <v>0</v>
      </c>
      <c r="AQ78" s="181" t="n">
        <f aca="false">AJ78+AM78-AN78-AO78+AK78-AL78-AP78</f>
        <v>169148.337318145</v>
      </c>
      <c r="AR78" s="180" t="n">
        <f aca="false">AR77+AK78-AL78</f>
        <v>150000</v>
      </c>
      <c r="AS78" s="180" t="n">
        <f aca="false">AS77+AP78</f>
        <v>2898.13972069013</v>
      </c>
      <c r="AT78" s="180" t="n">
        <f aca="false">AQ78+AS78-AR78</f>
        <v>22046.4770388349</v>
      </c>
      <c r="AU78" s="180" t="n">
        <f aca="false">MAX(0,IFERROR(INDEX(TAB_IR,MATCH($C78,TAB_IR_DIAS,1),MATCH($D$8,TAB_IR_REGIMES,0)),0)*IF($D$26=2,AQ78,MAX(0,AT78))-AS78)</f>
        <v>959.993761105974</v>
      </c>
      <c r="AV78" s="181" t="n">
        <f aca="false">MAX(0,AQ78-AU78-AQ78*$D$25)</f>
        <v>168188.343557039</v>
      </c>
      <c r="AW78" s="180" t="n">
        <f aca="false">AV78/$D78</f>
        <v>159098.22313956</v>
      </c>
      <c r="AY78" s="180" t="n">
        <f aca="false">BF77</f>
        <v>171859.148546777</v>
      </c>
      <c r="AZ78" s="180" t="n">
        <f aca="false">IF($E$9=0,0,IF($A78&gt;IN_PRAZO,0,IF(APORTE_CORRIGIDO="Sim",IN_APORTE*$D78,IN_APORTE))+IF(AND($E$35=1,PGBL_REINVESTE="Sim",$A78&gt;=13,$A78&lt;=IN_PRAZO,MONTH($B78)=5),PGBL_BENEFICIO,0))</f>
        <v>0</v>
      </c>
      <c r="BA78" s="180" t="n">
        <f aca="false">AZ78*$E$24</f>
        <v>0</v>
      </c>
      <c r="BB78" s="180" t="n">
        <f aca="false">AY78*$E$19</f>
        <v>1682.28544123165</v>
      </c>
      <c r="BC78" s="180" t="n">
        <f aca="false">AY78*$E$22</f>
        <v>214.823935683471</v>
      </c>
      <c r="BD78" s="180" t="n">
        <f aca="false">$E$23*MAX(0,BB78-AY78*$E$18)</f>
        <v>0</v>
      </c>
      <c r="BE78" s="180" t="n">
        <f aca="false">IF(AND($E$27=1,OR(MONTH($B78)=5,MONTH($B78)=11)),MAX(0,$E$28*MAX(0,(AY78+BB78-BC78-BD78+AZ78-BA78)+BH77-BG78)-BH77),0)</f>
        <v>0</v>
      </c>
      <c r="BF78" s="181" t="n">
        <f aca="false">AY78+BB78-BC78-BD78+AZ78-BA78-BE78</f>
        <v>173326.610052325</v>
      </c>
      <c r="BG78" s="180" t="n">
        <f aca="false">BG77+AZ78-BA78</f>
        <v>150000</v>
      </c>
      <c r="BH78" s="180" t="n">
        <f aca="false">BH77+BE78</f>
        <v>0</v>
      </c>
      <c r="BI78" s="180" t="n">
        <f aca="false">BF78+BH78-BG78</f>
        <v>23326.6100523249</v>
      </c>
      <c r="BJ78" s="180" t="n">
        <f aca="false">MAX(0,IFERROR(INDEX(TAB_IR,MATCH($C78,TAB_IR_DIAS,1),MATCH($E$8,TAB_IR_REGIMES,0)),0)*IF($E$26=2,BF78,MAX(0,BI78))-BH78)</f>
        <v>8164.31351831373</v>
      </c>
      <c r="BK78" s="181" t="n">
        <f aca="false">MAX(0,BF78-BJ78-BF78*$E$25)</f>
        <v>165162.296534011</v>
      </c>
      <c r="BL78" s="180" t="n">
        <f aca="false">BK78/$D78</f>
        <v>156235.725689865</v>
      </c>
      <c r="BN78" s="180" t="n">
        <f aca="false">BU77</f>
        <v>171859.148546777</v>
      </c>
      <c r="BO78" s="180" t="n">
        <f aca="false">IF($F$9=0,0,IF($A78&gt;IN_PRAZO,0,IF(APORTE_CORRIGIDO="Sim",IN_APORTE*$D78,IN_APORTE))+IF(AND($F$35=1,PGBL_REINVESTE="Sim",$A78&gt;=13,$A78&lt;=IN_PRAZO,MONTH($B78)=5),PGBL_BENEFICIO,0))</f>
        <v>0</v>
      </c>
      <c r="BP78" s="180" t="n">
        <f aca="false">BO78*$F$24</f>
        <v>0</v>
      </c>
      <c r="BQ78" s="180" t="n">
        <f aca="false">BN78*$F$19</f>
        <v>1682.28544123165</v>
      </c>
      <c r="BR78" s="180" t="n">
        <f aca="false">BN78*$F$22</f>
        <v>214.823935683471</v>
      </c>
      <c r="BS78" s="180" t="n">
        <f aca="false">$F$23*MAX(0,BQ78-BN78*$F$18)</f>
        <v>0</v>
      </c>
      <c r="BT78" s="180" t="n">
        <f aca="false">IF(AND($F$27=1,OR(MONTH($B78)=5,MONTH($B78)=11)),MAX(0,$F$28*MAX(0,(BN78+BQ78-BR78-BS78+BO78-BP78)+BW77-BV78)-BW77),0)</f>
        <v>0</v>
      </c>
      <c r="BU78" s="181" t="n">
        <f aca="false">BN78+BQ78-BR78-BS78+BO78-BP78-BT78</f>
        <v>173326.610052325</v>
      </c>
      <c r="BV78" s="180" t="n">
        <f aca="false">BV77+BO78-BP78</f>
        <v>150000</v>
      </c>
      <c r="BW78" s="180" t="n">
        <f aca="false">BW77+BT78</f>
        <v>0</v>
      </c>
      <c r="BX78" s="180" t="n">
        <f aca="false">BU78+BW78-BV78</f>
        <v>23326.6100523249</v>
      </c>
      <c r="BY78" s="180" t="n">
        <f aca="false">MAX(0,IFERROR(INDEX(TAB_IR,MATCH($C78,TAB_IR_DIAS,1),MATCH($F$8,TAB_IR_REGIMES,0)),0)*IF($F$26=2,BU78,MAX(0,BX78))-BW78)</f>
        <v>60664.3135183137</v>
      </c>
      <c r="BZ78" s="181" t="n">
        <f aca="false">MAX(0,BU78-BY78-BU78*$F$25)</f>
        <v>112662.296534011</v>
      </c>
      <c r="CA78" s="180" t="n">
        <f aca="false">BZ78/$D78</f>
        <v>106573.207240754</v>
      </c>
      <c r="CC78" s="180" t="n">
        <f aca="false">CJ77</f>
        <v>165876.602322728</v>
      </c>
      <c r="CD78" s="180" t="n">
        <f aca="false">IF($G$9=0,0,IF($A78&gt;IN_PRAZO,0,IF(APORTE_CORRIGIDO="Sim",IN_APORTE*$D78,IN_APORTE))+IF(AND($G$35=1,PGBL_REINVESTE="Sim",$A78&gt;=13,$A78&lt;=IN_PRAZO,MONTH($B78)=5),PGBL_BENEFICIO,0))</f>
        <v>0</v>
      </c>
      <c r="CE78" s="180" t="n">
        <f aca="false">CD78*$G$24</f>
        <v>0</v>
      </c>
      <c r="CF78" s="180" t="n">
        <f aca="false">CC78*$G$19</f>
        <v>1353.09284061147</v>
      </c>
      <c r="CG78" s="180" t="n">
        <f aca="false">CC78*$G$22</f>
        <v>138.230501935607</v>
      </c>
      <c r="CH78" s="180" t="n">
        <f aca="false">$G$23*MAX(0,CF78-CC78*$G$18)</f>
        <v>0</v>
      </c>
      <c r="CI78" s="180" t="n">
        <f aca="false">IF(AND($G$27=1,OR(MONTH($B78)=5,MONTH($B78)=11)),MAX(0,$G$28*MAX(0,(CC78+CF78-CG78-CH78+CD78-CE78)+CL77-CK78)-CL77),0)</f>
        <v>0</v>
      </c>
      <c r="CJ78" s="181" t="n">
        <f aca="false">CC78+CF78-CG78-CH78+CD78-CE78-CI78</f>
        <v>167091.464661404</v>
      </c>
      <c r="CK78" s="180" t="n">
        <f aca="false">CK77+CD78-CE78</f>
        <v>150000</v>
      </c>
      <c r="CL78" s="180" t="n">
        <f aca="false">CL77+CI78</f>
        <v>2588.92461424459</v>
      </c>
      <c r="CM78" s="180" t="n">
        <f aca="false">CJ78+CL78-CK78</f>
        <v>19680.3892756483</v>
      </c>
      <c r="CN78" s="180" t="n">
        <f aca="false">MAX(0,IFERROR(INDEX(TAB_IR,MATCH($C78,TAB_IR_DIAS,1),MATCH($G$8,TAB_IR_REGIMES,0)),0)*IF($G$26=2,CJ78,MAX(0,CM78))-CL78)</f>
        <v>855.143508993855</v>
      </c>
      <c r="CO78" s="181" t="n">
        <f aca="false">MAX(0,CJ78-CN78-CJ78*$G$25)</f>
        <v>166236.32115241</v>
      </c>
      <c r="CP78" s="180" t="n">
        <f aca="false">CO78/$D78</f>
        <v>157251.702212265</v>
      </c>
    </row>
    <row r="79" customFormat="false" ht="12" hidden="false" customHeight="true" outlineLevel="0" collapsed="false">
      <c r="A79" s="177" t="n">
        <v>18</v>
      </c>
      <c r="B79" s="178" t="n">
        <f aca="false">EDATE(DATA_INICIO,$A79)</f>
        <v>46806</v>
      </c>
      <c r="C79" s="177" t="n">
        <f aca="false">$A79*30</f>
        <v>540</v>
      </c>
      <c r="D79" s="179" t="n">
        <f aca="false">(1+IPCA_CENARIO)^($A79/12)</f>
        <v>1.0605960588273</v>
      </c>
      <c r="F79" s="180" t="n">
        <f aca="false">M78</f>
        <v>175629.617595583</v>
      </c>
      <c r="G79" s="180" t="n">
        <f aca="false">IF($B$9=0,0,IF($A79&gt;IN_PRAZO,0,IF(APORTE_CORRIGIDO="Sim",IN_APORTE*$D79,IN_APORTE))+IF(AND($B$35=1,PGBL_REINVESTE="Sim",$A79&gt;=13,$A79&lt;=IN_PRAZO,MONTH($B79)=5),PGBL_BENEFICIO,0))</f>
        <v>0</v>
      </c>
      <c r="H79" s="180" t="n">
        <f aca="false">G79*$B$24</f>
        <v>0</v>
      </c>
      <c r="I79" s="180" t="n">
        <f aca="false">F79*$B$19</f>
        <v>1666.51307454449</v>
      </c>
      <c r="J79" s="180" t="n">
        <f aca="false">F79*$B$22</f>
        <v>29.2716029325972</v>
      </c>
      <c r="K79" s="180" t="n">
        <f aca="false">$B$23*MAX(0,I79-F79*$B$18)</f>
        <v>0</v>
      </c>
      <c r="L79" s="180" t="n">
        <f aca="false">IF(AND($B$27=1,OR(MONTH($B79)=5,MONTH($B79)=11)),MAX(0,$B$28*MAX(0,(F79+I79-J79-K79+G79-H79)+O78-N79)-O78),0)</f>
        <v>0</v>
      </c>
      <c r="M79" s="181" t="n">
        <f aca="false">F79+I79-J79-K79+G79-H79-L79</f>
        <v>177266.859067195</v>
      </c>
      <c r="N79" s="180" t="n">
        <f aca="false">N78+G79-H79</f>
        <v>150000</v>
      </c>
      <c r="O79" s="180" t="n">
        <f aca="false">O78+L79</f>
        <v>0</v>
      </c>
      <c r="P79" s="180" t="n">
        <f aca="false">M79+O79-N79</f>
        <v>27266.8590671949</v>
      </c>
      <c r="Q79" s="180" t="n">
        <f aca="false">MAX(0,IFERROR(INDEX(TAB_IR,MATCH($C79,TAB_IR_DIAS,1),MATCH($B$8,TAB_IR_REGIMES,0)),0)*IF($B$26=2,M79,MAX(0,P79))-O79)</f>
        <v>4771.7003367591</v>
      </c>
      <c r="R79" s="181" t="n">
        <f aca="false">MAX(0,M79-Q79-M79*$B$25)</f>
        <v>172495.158730436</v>
      </c>
      <c r="S79" s="180" t="n">
        <f aca="false">R79/$D79</f>
        <v>162639.826251253</v>
      </c>
      <c r="U79" s="180" t="n">
        <f aca="false">AB78</f>
        <v>171731.970506333</v>
      </c>
      <c r="V79" s="180" t="n">
        <f aca="false">IF($C$9=0,0,IF($A79&gt;IN_PRAZO,0,IF(APORTE_CORRIGIDO="Sim",IN_APORTE*$D79,IN_APORTE))+IF(AND($C$35=1,PGBL_REINVESTE="Sim",$A79&gt;=13,$A79&lt;=IN_PRAZO,MONTH($B79)=5),PGBL_BENEFICIO,0))</f>
        <v>0</v>
      </c>
      <c r="W79" s="180" t="n">
        <f aca="false">V79*$C$24</f>
        <v>0</v>
      </c>
      <c r="X79" s="180" t="n">
        <f aca="false">U79*$C$19</f>
        <v>1400.85639892795</v>
      </c>
      <c r="Y79" s="180" t="n">
        <f aca="false">U79*$C$22</f>
        <v>28.6219950843889</v>
      </c>
      <c r="Z79" s="180" t="n">
        <f aca="false">$C$23*MAX(0,X79-U79*$C$18)</f>
        <v>0</v>
      </c>
      <c r="AA79" s="180" t="n">
        <f aca="false">IF(AND($C$27=1,OR(MONTH($B79)=5,MONTH($B79)=11)),MAX(0,$C$28*MAX(0,(U79+X79-Y79-Z79+V79-W79)+AD78-AC79)-AD78),0)</f>
        <v>0</v>
      </c>
      <c r="AB79" s="181" t="n">
        <f aca="false">U79+X79-Y79-Z79+V79-W79-AA79</f>
        <v>173104.204910177</v>
      </c>
      <c r="AC79" s="180" t="n">
        <f aca="false">AC78+V79-W79</f>
        <v>150000</v>
      </c>
      <c r="AD79" s="180" t="n">
        <f aca="false">AD78+AA79</f>
        <v>0</v>
      </c>
      <c r="AE79" s="180" t="n">
        <f aca="false">AB79+AD79-AC79</f>
        <v>23104.2049101769</v>
      </c>
      <c r="AF79" s="180" t="n">
        <f aca="false">MAX(0,IFERROR(INDEX(TAB_IR,MATCH($C79,TAB_IR_DIAS,1),MATCH($C$8,TAB_IR_REGIMES,0)),0)*IF($C$26=2,AB79,MAX(0,AE79))-AD79)</f>
        <v>4043.23585928096</v>
      </c>
      <c r="AG79" s="181" t="n">
        <f aca="false">MAX(0,AB79-AF79-AB79*$C$25)</f>
        <v>169060.969050896</v>
      </c>
      <c r="AH79" s="180" t="n">
        <f aca="false">AG79/$D79</f>
        <v>159401.845447009</v>
      </c>
      <c r="AJ79" s="180" t="n">
        <f aca="false">AQ78</f>
        <v>169148.337318145</v>
      </c>
      <c r="AK79" s="180" t="n">
        <f aca="false">IF($D$9=0,0,IF($A79&gt;IN_PRAZO,0,IF(APORTE_CORRIGIDO="Sim",IN_APORTE*$D79,IN_APORTE))+IF(AND($D$35=1,PGBL_REINVESTE="Sim",$A79&gt;=13,$A79&lt;=IN_PRAZO,MONTH($B79)=5),PGBL_BENEFICIO,0))</f>
        <v>0</v>
      </c>
      <c r="AL79" s="180" t="n">
        <f aca="false">AK79*$D$24</f>
        <v>0</v>
      </c>
      <c r="AM79" s="180" t="n">
        <f aca="false">AJ79*$D$19</f>
        <v>1520.42316058723</v>
      </c>
      <c r="AN79" s="180" t="n">
        <f aca="false">AJ79*$D$22</f>
        <v>140.956947765121</v>
      </c>
      <c r="AO79" s="180" t="n">
        <f aca="false">$D$23*MAX(0,AM79-AJ79*$D$18)</f>
        <v>0</v>
      </c>
      <c r="AP79" s="180" t="n">
        <f aca="false">IF(AND($D$27=1,OR(MONTH($B79)=5,MONTH($B79)=11)),MAX(0,$D$28*MAX(0,(AJ79+AM79-AN79-AO79+AK79-AL79)+AS78-AR79)-AS78),0)</f>
        <v>0</v>
      </c>
      <c r="AQ79" s="181" t="n">
        <f aca="false">AJ79+AM79-AN79-AO79+AK79-AL79-AP79</f>
        <v>170527.803530967</v>
      </c>
      <c r="AR79" s="180" t="n">
        <f aca="false">AR78+AK79-AL79</f>
        <v>150000</v>
      </c>
      <c r="AS79" s="180" t="n">
        <f aca="false">AS78+AP79</f>
        <v>2898.13972069013</v>
      </c>
      <c r="AT79" s="180" t="n">
        <f aca="false">AQ79+AS79-AR79</f>
        <v>23425.943251657</v>
      </c>
      <c r="AU79" s="180" t="n">
        <f aca="false">MAX(0,IFERROR(INDEX(TAB_IR,MATCH($C79,TAB_IR_DIAS,1),MATCH($D$8,TAB_IR_REGIMES,0)),0)*IF($D$26=2,AQ79,MAX(0,AT79))-AS79)</f>
        <v>1201.40034834985</v>
      </c>
      <c r="AV79" s="181" t="n">
        <f aca="false">MAX(0,AQ79-AU79-AQ79*$D$25)</f>
        <v>169326.403182617</v>
      </c>
      <c r="AW79" s="180" t="n">
        <f aca="false">AV79/$D79</f>
        <v>159652.114274157</v>
      </c>
      <c r="AY79" s="180" t="n">
        <f aca="false">BF78</f>
        <v>173326.610052325</v>
      </c>
      <c r="AZ79" s="180" t="n">
        <f aca="false">IF($E$9=0,0,IF($A79&gt;IN_PRAZO,0,IF(APORTE_CORRIGIDO="Sim",IN_APORTE*$D79,IN_APORTE))+IF(AND($E$35=1,PGBL_REINVESTE="Sim",$A79&gt;=13,$A79&lt;=IN_PRAZO,MONTH($B79)=5),PGBL_BENEFICIO,0))</f>
        <v>0</v>
      </c>
      <c r="BA79" s="180" t="n">
        <f aca="false">AZ79*$E$24</f>
        <v>0</v>
      </c>
      <c r="BB79" s="180" t="n">
        <f aca="false">AY79*$E$19</f>
        <v>1696.65004822073</v>
      </c>
      <c r="BC79" s="180" t="n">
        <f aca="false">AY79*$E$22</f>
        <v>216.658262565406</v>
      </c>
      <c r="BD79" s="180" t="n">
        <f aca="false">$E$23*MAX(0,BB79-AY79*$E$18)</f>
        <v>0</v>
      </c>
      <c r="BE79" s="180" t="n">
        <f aca="false">IF(AND($E$27=1,OR(MONTH($B79)=5,MONTH($B79)=11)),MAX(0,$E$28*MAX(0,(AY79+BB79-BC79-BD79+AZ79-BA79)+BH78-BG79)-BH78),0)</f>
        <v>0</v>
      </c>
      <c r="BF79" s="181" t="n">
        <f aca="false">AY79+BB79-BC79-BD79+AZ79-BA79-BE79</f>
        <v>174806.60183798</v>
      </c>
      <c r="BG79" s="180" t="n">
        <f aca="false">BG78+AZ79-BA79</f>
        <v>150000</v>
      </c>
      <c r="BH79" s="180" t="n">
        <f aca="false">BH78+BE79</f>
        <v>0</v>
      </c>
      <c r="BI79" s="180" t="n">
        <f aca="false">BF79+BH79-BG79</f>
        <v>24806.6018379803</v>
      </c>
      <c r="BJ79" s="180" t="n">
        <f aca="false">MAX(0,IFERROR(INDEX(TAB_IR,MATCH($C79,TAB_IR_DIAS,1),MATCH($E$8,TAB_IR_REGIMES,0)),0)*IF($E$26=2,BF79,MAX(0,BI79))-BH79)</f>
        <v>8682.31064329309</v>
      </c>
      <c r="BK79" s="181" t="n">
        <f aca="false">MAX(0,BF79-BJ79-BF79*$E$25)</f>
        <v>166124.291194687</v>
      </c>
      <c r="BL79" s="180" t="n">
        <f aca="false">BK79/$D79</f>
        <v>156632.951642655</v>
      </c>
      <c r="BN79" s="180" t="n">
        <f aca="false">BU78</f>
        <v>173326.610052325</v>
      </c>
      <c r="BO79" s="180" t="n">
        <f aca="false">IF($F$9=0,0,IF($A79&gt;IN_PRAZO,0,IF(APORTE_CORRIGIDO="Sim",IN_APORTE*$D79,IN_APORTE))+IF(AND($F$35=1,PGBL_REINVESTE="Sim",$A79&gt;=13,$A79&lt;=IN_PRAZO,MONTH($B79)=5),PGBL_BENEFICIO,0))</f>
        <v>0</v>
      </c>
      <c r="BP79" s="180" t="n">
        <f aca="false">BO79*$F$24</f>
        <v>0</v>
      </c>
      <c r="BQ79" s="180" t="n">
        <f aca="false">BN79*$F$19</f>
        <v>1696.65004822073</v>
      </c>
      <c r="BR79" s="180" t="n">
        <f aca="false">BN79*$F$22</f>
        <v>216.658262565406</v>
      </c>
      <c r="BS79" s="180" t="n">
        <f aca="false">$F$23*MAX(0,BQ79-BN79*$F$18)</f>
        <v>0</v>
      </c>
      <c r="BT79" s="180" t="n">
        <f aca="false">IF(AND($F$27=1,OR(MONTH($B79)=5,MONTH($B79)=11)),MAX(0,$F$28*MAX(0,(BN79+BQ79-BR79-BS79+BO79-BP79)+BW78-BV79)-BW78),0)</f>
        <v>0</v>
      </c>
      <c r="BU79" s="181" t="n">
        <f aca="false">BN79+BQ79-BR79-BS79+BO79-BP79-BT79</f>
        <v>174806.60183798</v>
      </c>
      <c r="BV79" s="180" t="n">
        <f aca="false">BV78+BO79-BP79</f>
        <v>150000</v>
      </c>
      <c r="BW79" s="180" t="n">
        <f aca="false">BW78+BT79</f>
        <v>0</v>
      </c>
      <c r="BX79" s="180" t="n">
        <f aca="false">BU79+BW79-BV79</f>
        <v>24806.6018379803</v>
      </c>
      <c r="BY79" s="180" t="n">
        <f aca="false">MAX(0,IFERROR(INDEX(TAB_IR,MATCH($C79,TAB_IR_DIAS,1),MATCH($F$8,TAB_IR_REGIMES,0)),0)*IF($F$26=2,BU79,MAX(0,BX79))-BW79)</f>
        <v>61182.3106432931</v>
      </c>
      <c r="BZ79" s="181" t="n">
        <f aca="false">MAX(0,BU79-BY79-BU79*$F$25)</f>
        <v>113624.291194687</v>
      </c>
      <c r="CA79" s="180" t="n">
        <f aca="false">BZ79/$D79</f>
        <v>107132.48484095</v>
      </c>
      <c r="CC79" s="180" t="n">
        <f aca="false">CJ78</f>
        <v>167091.464661404</v>
      </c>
      <c r="CD79" s="180" t="n">
        <f aca="false">IF($G$9=0,0,IF($A79&gt;IN_PRAZO,0,IF(APORTE_CORRIGIDO="Sim",IN_APORTE*$D79,IN_APORTE))+IF(AND($G$35=1,PGBL_REINVESTE="Sim",$A79&gt;=13,$A79&lt;=IN_PRAZO,MONTH($B79)=5),PGBL_BENEFICIO,0))</f>
        <v>0</v>
      </c>
      <c r="CE79" s="180" t="n">
        <f aca="false">CD79*$G$24</f>
        <v>0</v>
      </c>
      <c r="CF79" s="180" t="n">
        <f aca="false">CC79*$G$19</f>
        <v>1363.0027465884</v>
      </c>
      <c r="CG79" s="180" t="n">
        <f aca="false">CC79*$G$22</f>
        <v>139.242887217836</v>
      </c>
      <c r="CH79" s="180" t="n">
        <f aca="false">$G$23*MAX(0,CF79-CC79*$G$18)</f>
        <v>0</v>
      </c>
      <c r="CI79" s="180" t="n">
        <f aca="false">IF(AND($G$27=1,OR(MONTH($B79)=5,MONTH($B79)=11)),MAX(0,$G$28*MAX(0,(CC79+CF79-CG79-CH79+CD79-CE79)+CL78-CK79)-CL78),0)</f>
        <v>0</v>
      </c>
      <c r="CJ79" s="181" t="n">
        <f aca="false">CC79+CF79-CG79-CH79+CD79-CE79-CI79</f>
        <v>168315.224520774</v>
      </c>
      <c r="CK79" s="180" t="n">
        <f aca="false">CK78+CD79-CE79</f>
        <v>150000</v>
      </c>
      <c r="CL79" s="180" t="n">
        <f aca="false">CL78+CI79</f>
        <v>2588.92461424459</v>
      </c>
      <c r="CM79" s="180" t="n">
        <f aca="false">CJ79+CL79-CK79</f>
        <v>20904.1491350188</v>
      </c>
      <c r="CN79" s="180" t="n">
        <f aca="false">MAX(0,IFERROR(INDEX(TAB_IR,MATCH($C79,TAB_IR_DIAS,1),MATCH($G$8,TAB_IR_REGIMES,0)),0)*IF($G$26=2,CJ79,MAX(0,CM79))-CL79)</f>
        <v>1069.3014843837</v>
      </c>
      <c r="CO79" s="181" t="n">
        <f aca="false">MAX(0,CJ79-CN79-CJ79*$G$25)</f>
        <v>167245.923036391</v>
      </c>
      <c r="CP79" s="180" t="n">
        <f aca="false">CO79/$D79</f>
        <v>157690.500209207</v>
      </c>
    </row>
    <row r="80" customFormat="false" ht="12" hidden="false" customHeight="true" outlineLevel="0" collapsed="false">
      <c r="A80" s="177" t="n">
        <v>19</v>
      </c>
      <c r="B80" s="178" t="n">
        <f aca="false">EDATE(DATA_INICIO,$A80)</f>
        <v>46835</v>
      </c>
      <c r="C80" s="177" t="n">
        <f aca="false">$A80*30</f>
        <v>570</v>
      </c>
      <c r="D80" s="179" t="n">
        <f aca="false">(1+IPCA_CENARIO)^($A80/12)</f>
        <v>1.06406817433793</v>
      </c>
      <c r="F80" s="180" t="n">
        <f aca="false">M79</f>
        <v>177266.859067195</v>
      </c>
      <c r="G80" s="180" t="n">
        <f aca="false">IF($B$9=0,0,IF($A80&gt;IN_PRAZO,0,IF(APORTE_CORRIGIDO="Sim",IN_APORTE*$D80,IN_APORTE))+IF(AND($B$35=1,PGBL_REINVESTE="Sim",$A80&gt;=13,$A80&lt;=IN_PRAZO,MONTH($B80)=5),PGBL_BENEFICIO,0))</f>
        <v>0</v>
      </c>
      <c r="H80" s="180" t="n">
        <f aca="false">G80*$B$24</f>
        <v>0</v>
      </c>
      <c r="I80" s="180" t="n">
        <f aca="false">F80*$B$19</f>
        <v>1682.04851985253</v>
      </c>
      <c r="J80" s="180" t="n">
        <f aca="false">F80*$B$22</f>
        <v>29.5444765111991</v>
      </c>
      <c r="K80" s="180" t="n">
        <f aca="false">$B$23*MAX(0,I80-F80*$B$18)</f>
        <v>0</v>
      </c>
      <c r="L80" s="180" t="n">
        <f aca="false">IF(AND($B$27=1,OR(MONTH($B80)=5,MONTH($B80)=11)),MAX(0,$B$28*MAX(0,(F80+I80-J80-K80+G80-H80)+O79-N80)-O79),0)</f>
        <v>0</v>
      </c>
      <c r="M80" s="181" t="n">
        <f aca="false">F80+I80-J80-K80+G80-H80-L80</f>
        <v>178919.363110536</v>
      </c>
      <c r="N80" s="180" t="n">
        <f aca="false">N79+G80-H80</f>
        <v>150000</v>
      </c>
      <c r="O80" s="180" t="n">
        <f aca="false">O79+L80</f>
        <v>0</v>
      </c>
      <c r="P80" s="180" t="n">
        <f aca="false">M80+O80-N80</f>
        <v>28919.3631105362</v>
      </c>
      <c r="Q80" s="180" t="n">
        <f aca="false">MAX(0,IFERROR(INDEX(TAB_IR,MATCH($C80,TAB_IR_DIAS,1),MATCH($B$8,TAB_IR_REGIMES,0)),0)*IF($B$26=2,M80,MAX(0,P80))-O80)</f>
        <v>5060.88854434383</v>
      </c>
      <c r="R80" s="181" t="n">
        <f aca="false">MAX(0,M80-Q80-M80*$B$25)</f>
        <v>173858.474566192</v>
      </c>
      <c r="S80" s="180" t="n">
        <f aca="false">R80/$D80</f>
        <v>163390.352948362</v>
      </c>
      <c r="U80" s="180" t="n">
        <f aca="false">AB79</f>
        <v>173104.204910177</v>
      </c>
      <c r="V80" s="180" t="n">
        <f aca="false">IF($C$9=0,0,IF($A80&gt;IN_PRAZO,0,IF(APORTE_CORRIGIDO="Sim",IN_APORTE*$D80,IN_APORTE))+IF(AND($C$35=1,PGBL_REINVESTE="Sim",$A80&gt;=13,$A80&lt;=IN_PRAZO,MONTH($B80)=5),PGBL_BENEFICIO,0))</f>
        <v>0</v>
      </c>
      <c r="W80" s="180" t="n">
        <f aca="false">V80*$C$24</f>
        <v>0</v>
      </c>
      <c r="X80" s="180" t="n">
        <f aca="false">U80*$C$19</f>
        <v>1412.05002431864</v>
      </c>
      <c r="Y80" s="180" t="n">
        <f aca="false">U80*$C$22</f>
        <v>28.8507008183628</v>
      </c>
      <c r="Z80" s="180" t="n">
        <f aca="false">$C$23*MAX(0,X80-U80*$C$18)</f>
        <v>0</v>
      </c>
      <c r="AA80" s="180" t="n">
        <f aca="false">IF(AND($C$27=1,OR(MONTH($B80)=5,MONTH($B80)=11)),MAX(0,$C$28*MAX(0,(U80+X80-Y80-Z80+V80-W80)+AD79-AC80)-AD79),0)</f>
        <v>0</v>
      </c>
      <c r="AB80" s="181" t="n">
        <f aca="false">U80+X80-Y80-Z80+V80-W80-AA80</f>
        <v>174487.404233677</v>
      </c>
      <c r="AC80" s="180" t="n">
        <f aca="false">AC79+V80-W80</f>
        <v>150000</v>
      </c>
      <c r="AD80" s="180" t="n">
        <f aca="false">AD79+AA80</f>
        <v>0</v>
      </c>
      <c r="AE80" s="180" t="n">
        <f aca="false">AB80+AD80-AC80</f>
        <v>24487.4042336772</v>
      </c>
      <c r="AF80" s="180" t="n">
        <f aca="false">MAX(0,IFERROR(INDEX(TAB_IR,MATCH($C80,TAB_IR_DIAS,1),MATCH($C$8,TAB_IR_REGIMES,0)),0)*IF($C$26=2,AB80,MAX(0,AE80))-AD80)</f>
        <v>4285.29574089351</v>
      </c>
      <c r="AG80" s="181" t="n">
        <f aca="false">MAX(0,AB80-AF80-AB80*$C$25)</f>
        <v>170202.108492784</v>
      </c>
      <c r="AH80" s="180" t="n">
        <f aca="false">AG80/$D80</f>
        <v>159954.138839539</v>
      </c>
      <c r="AJ80" s="180" t="n">
        <f aca="false">AQ79</f>
        <v>170527.803530967</v>
      </c>
      <c r="AK80" s="180" t="n">
        <f aca="false">IF($D$9=0,0,IF($A80&gt;IN_PRAZO,0,IF(APORTE_CORRIGIDO="Sim",IN_APORTE*$D80,IN_APORTE))+IF(AND($D$35=1,PGBL_REINVESTE="Sim",$A80&gt;=13,$A80&lt;=IN_PRAZO,MONTH($B80)=5),PGBL_BENEFICIO,0))</f>
        <v>0</v>
      </c>
      <c r="AL80" s="180" t="n">
        <f aca="false">AK80*$D$24</f>
        <v>0</v>
      </c>
      <c r="AM80" s="180" t="n">
        <f aca="false">AJ80*$D$19</f>
        <v>1532.82276446438</v>
      </c>
      <c r="AN80" s="180" t="n">
        <f aca="false">AJ80*$D$22</f>
        <v>142.106502942472</v>
      </c>
      <c r="AO80" s="180" t="n">
        <f aca="false">$D$23*MAX(0,AM80-AJ80*$D$18)</f>
        <v>0</v>
      </c>
      <c r="AP80" s="180" t="n">
        <f aca="false">IF(AND($D$27=1,OR(MONTH($B80)=5,MONTH($B80)=11)),MAX(0,$D$28*MAX(0,(AJ80+AM80-AN80-AO80+AK80-AL80)+AS79-AR80)-AS79),0)</f>
        <v>0</v>
      </c>
      <c r="AQ80" s="181" t="n">
        <f aca="false">AJ80+AM80-AN80-AO80+AK80-AL80-AP80</f>
        <v>171918.519792489</v>
      </c>
      <c r="AR80" s="180" t="n">
        <f aca="false">AR79+AK80-AL80</f>
        <v>150000</v>
      </c>
      <c r="AS80" s="180" t="n">
        <f aca="false">AS79+AP80</f>
        <v>2898.13972069013</v>
      </c>
      <c r="AT80" s="180" t="n">
        <f aca="false">AQ80+AS80-AR80</f>
        <v>24816.6595131789</v>
      </c>
      <c r="AU80" s="180" t="n">
        <f aca="false">MAX(0,IFERROR(INDEX(TAB_IR,MATCH($C80,TAB_IR_DIAS,1),MATCH($D$8,TAB_IR_REGIMES,0)),0)*IF($D$26=2,AQ80,MAX(0,AT80))-AS80)</f>
        <v>1444.77569411618</v>
      </c>
      <c r="AV80" s="181" t="n">
        <f aca="false">MAX(0,AQ80-AU80-AQ80*$D$25)</f>
        <v>170473.744098373</v>
      </c>
      <c r="AW80" s="180" t="n">
        <f aca="false">AV80/$D80</f>
        <v>160209.419104601</v>
      </c>
      <c r="AY80" s="180" t="n">
        <f aca="false">BF79</f>
        <v>174806.60183798</v>
      </c>
      <c r="AZ80" s="180" t="n">
        <f aca="false">IF($E$9=0,0,IF($A80&gt;IN_PRAZO,0,IF(APORTE_CORRIGIDO="Sim",IN_APORTE*$D80,IN_APORTE))+IF(AND($E$35=1,PGBL_REINVESTE="Sim",$A80&gt;=13,$A80&lt;=IN_PRAZO,MONTH($B80)=5),PGBL_BENEFICIO,0))</f>
        <v>0</v>
      </c>
      <c r="BA80" s="180" t="n">
        <f aca="false">AZ80*$E$24</f>
        <v>0</v>
      </c>
      <c r="BB80" s="180" t="n">
        <f aca="false">AY80*$E$19</f>
        <v>1711.13731093094</v>
      </c>
      <c r="BC80" s="180" t="n">
        <f aca="false">AY80*$E$22</f>
        <v>218.508252297475</v>
      </c>
      <c r="BD80" s="180" t="n">
        <f aca="false">$E$23*MAX(0,BB80-AY80*$E$18)</f>
        <v>0</v>
      </c>
      <c r="BE80" s="180" t="n">
        <f aca="false">IF(AND($E$27=1,OR(MONTH($B80)=5,MONTH($B80)=11)),MAX(0,$E$28*MAX(0,(AY80+BB80-BC80-BD80+AZ80-BA80)+BH79-BG80)-BH79),0)</f>
        <v>0</v>
      </c>
      <c r="BF80" s="181" t="n">
        <f aca="false">AY80+BB80-BC80-BD80+AZ80-BA80-BE80</f>
        <v>176299.230896614</v>
      </c>
      <c r="BG80" s="180" t="n">
        <f aca="false">BG79+AZ80-BA80</f>
        <v>150000</v>
      </c>
      <c r="BH80" s="180" t="n">
        <f aca="false">BH79+BE80</f>
        <v>0</v>
      </c>
      <c r="BI80" s="180" t="n">
        <f aca="false">BF80+BH80-BG80</f>
        <v>26299.2308966137</v>
      </c>
      <c r="BJ80" s="180" t="n">
        <f aca="false">MAX(0,IFERROR(INDEX(TAB_IR,MATCH($C80,TAB_IR_DIAS,1),MATCH($E$8,TAB_IR_REGIMES,0)),0)*IF($E$26=2,BF80,MAX(0,BI80))-BH80)</f>
        <v>9204.73081381481</v>
      </c>
      <c r="BK80" s="181" t="n">
        <f aca="false">MAX(0,BF80-BJ80-BF80*$E$25)</f>
        <v>167094.500082799</v>
      </c>
      <c r="BL80" s="180" t="n">
        <f aca="false">BK80/$D80</f>
        <v>157033.641370551</v>
      </c>
      <c r="BN80" s="180" t="n">
        <f aca="false">BU79</f>
        <v>174806.60183798</v>
      </c>
      <c r="BO80" s="180" t="n">
        <f aca="false">IF($F$9=0,0,IF($A80&gt;IN_PRAZO,0,IF(APORTE_CORRIGIDO="Sim",IN_APORTE*$D80,IN_APORTE))+IF(AND($F$35=1,PGBL_REINVESTE="Sim",$A80&gt;=13,$A80&lt;=IN_PRAZO,MONTH($B80)=5),PGBL_BENEFICIO,0))</f>
        <v>0</v>
      </c>
      <c r="BP80" s="180" t="n">
        <f aca="false">BO80*$F$24</f>
        <v>0</v>
      </c>
      <c r="BQ80" s="180" t="n">
        <f aca="false">BN80*$F$19</f>
        <v>1711.13731093094</v>
      </c>
      <c r="BR80" s="180" t="n">
        <f aca="false">BN80*$F$22</f>
        <v>218.508252297475</v>
      </c>
      <c r="BS80" s="180" t="n">
        <f aca="false">$F$23*MAX(0,BQ80-BN80*$F$18)</f>
        <v>0</v>
      </c>
      <c r="BT80" s="180" t="n">
        <f aca="false">IF(AND($F$27=1,OR(MONTH($B80)=5,MONTH($B80)=11)),MAX(0,$F$28*MAX(0,(BN80+BQ80-BR80-BS80+BO80-BP80)+BW79-BV80)-BW79),0)</f>
        <v>0</v>
      </c>
      <c r="BU80" s="181" t="n">
        <f aca="false">BN80+BQ80-BR80-BS80+BO80-BP80-BT80</f>
        <v>176299.230896614</v>
      </c>
      <c r="BV80" s="180" t="n">
        <f aca="false">BV79+BO80-BP80</f>
        <v>150000</v>
      </c>
      <c r="BW80" s="180" t="n">
        <f aca="false">BW79+BT80</f>
        <v>0</v>
      </c>
      <c r="BX80" s="180" t="n">
        <f aca="false">BU80+BW80-BV80</f>
        <v>26299.2308966137</v>
      </c>
      <c r="BY80" s="180" t="n">
        <f aca="false">MAX(0,IFERROR(INDEX(TAB_IR,MATCH($C80,TAB_IR_DIAS,1),MATCH($F$8,TAB_IR_REGIMES,0)),0)*IF($F$26=2,BU80,MAX(0,BX80))-BW80)</f>
        <v>61704.7308138148</v>
      </c>
      <c r="BZ80" s="181" t="n">
        <f aca="false">MAX(0,BU80-BY80-BU80*$F$25)</f>
        <v>114594.500082799</v>
      </c>
      <c r="CA80" s="180" t="n">
        <f aca="false">BZ80/$D80</f>
        <v>107694.697432428</v>
      </c>
      <c r="CC80" s="180" t="n">
        <f aca="false">CJ79</f>
        <v>168315.224520774</v>
      </c>
      <c r="CD80" s="180" t="n">
        <f aca="false">IF($G$9=0,0,IF($A80&gt;IN_PRAZO,0,IF(APORTE_CORRIGIDO="Sim",IN_APORTE*$D80,IN_APORTE))+IF(AND($G$35=1,PGBL_REINVESTE="Sim",$A80&gt;=13,$A80&lt;=IN_PRAZO,MONTH($B80)=5),PGBL_BENEFICIO,0))</f>
        <v>0</v>
      </c>
      <c r="CE80" s="180" t="n">
        <f aca="false">CD80*$G$24</f>
        <v>0</v>
      </c>
      <c r="CF80" s="180" t="n">
        <f aca="false">CC80*$G$19</f>
        <v>1372.9852316475</v>
      </c>
      <c r="CG80" s="180" t="n">
        <f aca="false">CC80*$G$22</f>
        <v>140.262687100645</v>
      </c>
      <c r="CH80" s="180" t="n">
        <f aca="false">$G$23*MAX(0,CF80-CC80*$G$18)</f>
        <v>0</v>
      </c>
      <c r="CI80" s="180" t="n">
        <f aca="false">IF(AND($G$27=1,OR(MONTH($B80)=5,MONTH($B80)=11)),MAX(0,$G$28*MAX(0,(CC80+CF80-CG80-CH80+CD80-CE80)+CL79-CK80)-CL79),0)</f>
        <v>0</v>
      </c>
      <c r="CJ80" s="181" t="n">
        <f aca="false">CC80+CF80-CG80-CH80+CD80-CE80-CI80</f>
        <v>169547.947065321</v>
      </c>
      <c r="CK80" s="180" t="n">
        <f aca="false">CK79+CD80-CE80</f>
        <v>150000</v>
      </c>
      <c r="CL80" s="180" t="n">
        <f aca="false">CL79+CI80</f>
        <v>2588.92461424459</v>
      </c>
      <c r="CM80" s="180" t="n">
        <f aca="false">CJ80+CL80-CK80</f>
        <v>22136.8716795657</v>
      </c>
      <c r="CN80" s="180" t="n">
        <f aca="false">MAX(0,IFERROR(INDEX(TAB_IR,MATCH($C80,TAB_IR_DIAS,1),MATCH($G$8,TAB_IR_REGIMES,0)),0)*IF($G$26=2,CJ80,MAX(0,CM80))-CL80)</f>
        <v>1285.0279296794</v>
      </c>
      <c r="CO80" s="181" t="n">
        <f aca="false">MAX(0,CJ80-CN80-CJ80*$G$25)</f>
        <v>168262.919135642</v>
      </c>
      <c r="CP80" s="180" t="n">
        <f aca="false">CO80/$D80</f>
        <v>158131.709220922</v>
      </c>
    </row>
    <row r="81" customFormat="false" ht="12" hidden="false" customHeight="true" outlineLevel="0" collapsed="false">
      <c r="A81" s="177" t="n">
        <v>20</v>
      </c>
      <c r="B81" s="178" t="n">
        <f aca="false">EDATE(DATA_INICIO,$A81)</f>
        <v>46866</v>
      </c>
      <c r="C81" s="177" t="n">
        <f aca="false">$A81*30</f>
        <v>600</v>
      </c>
      <c r="D81" s="179" t="n">
        <f aca="false">(1+IPCA_CENARIO)^($A81/12)</f>
        <v>1.06755165665123</v>
      </c>
      <c r="F81" s="180" t="n">
        <f aca="false">M80</f>
        <v>178919.363110536</v>
      </c>
      <c r="G81" s="180" t="n">
        <f aca="false">IF($B$9=0,0,IF($A81&gt;IN_PRAZO,0,IF(APORTE_CORRIGIDO="Sim",IN_APORTE*$D81,IN_APORTE))+IF(AND($B$35=1,PGBL_REINVESTE="Sim",$A81&gt;=13,$A81&lt;=IN_PRAZO,MONTH($B81)=5),PGBL_BENEFICIO,0))</f>
        <v>0</v>
      </c>
      <c r="H81" s="180" t="n">
        <f aca="false">G81*$B$24</f>
        <v>0</v>
      </c>
      <c r="I81" s="180" t="n">
        <f aca="false">F81*$B$19</f>
        <v>1697.72878854335</v>
      </c>
      <c r="J81" s="180" t="n">
        <f aca="false">F81*$B$22</f>
        <v>29.819893851756</v>
      </c>
      <c r="K81" s="180" t="n">
        <f aca="false">$B$23*MAX(0,I81-F81*$B$18)</f>
        <v>0</v>
      </c>
      <c r="L81" s="180" t="n">
        <f aca="false">IF(AND($B$27=1,OR(MONTH($B81)=5,MONTH($B81)=11)),MAX(0,$B$28*MAX(0,(F81+I81-J81-K81+G81-H81)+O80-N81)-O80),0)</f>
        <v>0</v>
      </c>
      <c r="M81" s="181" t="n">
        <f aca="false">F81+I81-J81-K81+G81-H81-L81</f>
        <v>180587.272005228</v>
      </c>
      <c r="N81" s="180" t="n">
        <f aca="false">N80+G81-H81</f>
        <v>150000</v>
      </c>
      <c r="O81" s="180" t="n">
        <f aca="false">O80+L81</f>
        <v>0</v>
      </c>
      <c r="P81" s="180" t="n">
        <f aca="false">M81+O81-N81</f>
        <v>30587.2720052278</v>
      </c>
      <c r="Q81" s="180" t="n">
        <f aca="false">MAX(0,IFERROR(INDEX(TAB_IR,MATCH($C81,TAB_IR_DIAS,1),MATCH($B$8,TAB_IR_REGIMES,0)),0)*IF($B$26=2,M81,MAX(0,P81))-O81)</f>
        <v>5352.77260091486</v>
      </c>
      <c r="R81" s="181" t="n">
        <f aca="false">MAX(0,M81-Q81-M81*$B$25)</f>
        <v>175234.499404313</v>
      </c>
      <c r="S81" s="180" t="n">
        <f aca="false">R81/$D81</f>
        <v>164146.154720045</v>
      </c>
      <c r="U81" s="180" t="n">
        <f aca="false">AB80</f>
        <v>174487.404233677</v>
      </c>
      <c r="V81" s="180" t="n">
        <f aca="false">IF($C$9=0,0,IF($A81&gt;IN_PRAZO,0,IF(APORTE_CORRIGIDO="Sim",IN_APORTE*$D81,IN_APORTE))+IF(AND($C$35=1,PGBL_REINVESTE="Sim",$A81&gt;=13,$A81&lt;=IN_PRAZO,MONTH($B81)=5),PGBL_BENEFICIO,0))</f>
        <v>0</v>
      </c>
      <c r="W81" s="180" t="n">
        <f aca="false">V81*$C$24</f>
        <v>0</v>
      </c>
      <c r="X81" s="180" t="n">
        <f aca="false">U81*$C$19</f>
        <v>1423.33309303092</v>
      </c>
      <c r="Y81" s="180" t="n">
        <f aca="false">U81*$C$22</f>
        <v>29.0812340389462</v>
      </c>
      <c r="Z81" s="180" t="n">
        <f aca="false">$C$23*MAX(0,X81-U81*$C$18)</f>
        <v>0</v>
      </c>
      <c r="AA81" s="180" t="n">
        <f aca="false">IF(AND($C$27=1,OR(MONTH($B81)=5,MONTH($B81)=11)),MAX(0,$C$28*MAX(0,(U81+X81-Y81-Z81+V81-W81)+AD80-AC81)-AD80),0)</f>
        <v>0</v>
      </c>
      <c r="AB81" s="181" t="n">
        <f aca="false">U81+X81-Y81-Z81+V81-W81-AA81</f>
        <v>175881.656092669</v>
      </c>
      <c r="AC81" s="180" t="n">
        <f aca="false">AC80+V81-W81</f>
        <v>150000</v>
      </c>
      <c r="AD81" s="180" t="n">
        <f aca="false">AD80+AA81</f>
        <v>0</v>
      </c>
      <c r="AE81" s="180" t="n">
        <f aca="false">AB81+AD81-AC81</f>
        <v>25881.6560926692</v>
      </c>
      <c r="AF81" s="180" t="n">
        <f aca="false">MAX(0,IFERROR(INDEX(TAB_IR,MATCH($C81,TAB_IR_DIAS,1),MATCH($C$8,TAB_IR_REGIMES,0)),0)*IF($C$26=2,AB81,MAX(0,AE81))-AD81)</f>
        <v>4529.28981621711</v>
      </c>
      <c r="AG81" s="181" t="n">
        <f aca="false">MAX(0,AB81-AF81-AB81*$C$25)</f>
        <v>171352.366276452</v>
      </c>
      <c r="AH81" s="180" t="n">
        <f aca="false">AG81/$D81</f>
        <v>160509.672022769</v>
      </c>
      <c r="AJ81" s="180" t="n">
        <f aca="false">AQ80</f>
        <v>171918.519792489</v>
      </c>
      <c r="AK81" s="180" t="n">
        <f aca="false">IF($D$9=0,0,IF($A81&gt;IN_PRAZO,0,IF(APORTE_CORRIGIDO="Sim",IN_APORTE*$D81,IN_APORTE))+IF(AND($D$35=1,PGBL_REINVESTE="Sim",$A81&gt;=13,$A81&lt;=IN_PRAZO,MONTH($B81)=5),PGBL_BENEFICIO,0))</f>
        <v>0</v>
      </c>
      <c r="AL81" s="180" t="n">
        <f aca="false">AK81*$D$24</f>
        <v>0</v>
      </c>
      <c r="AM81" s="180" t="n">
        <f aca="false">AJ81*$D$19</f>
        <v>1545.32349162107</v>
      </c>
      <c r="AN81" s="180" t="n">
        <f aca="false">AJ81*$D$22</f>
        <v>143.265433160407</v>
      </c>
      <c r="AO81" s="180" t="n">
        <f aca="false">$D$23*MAX(0,AM81-AJ81*$D$18)</f>
        <v>0</v>
      </c>
      <c r="AP81" s="180" t="n">
        <f aca="false">IF(AND($D$27=1,OR(MONTH($B81)=5,MONTH($B81)=11)),MAX(0,$D$28*MAX(0,(AJ81+AM81-AN81-AO81+AK81-AL81)+AS80-AR81)-AS80),0)</f>
        <v>0</v>
      </c>
      <c r="AQ81" s="181" t="n">
        <f aca="false">AJ81+AM81-AN81-AO81+AK81-AL81-AP81</f>
        <v>173320.577850949</v>
      </c>
      <c r="AR81" s="180" t="n">
        <f aca="false">AR80+AK81-AL81</f>
        <v>150000</v>
      </c>
      <c r="AS81" s="180" t="n">
        <f aca="false">AS80+AP81</f>
        <v>2898.13972069013</v>
      </c>
      <c r="AT81" s="180" t="n">
        <f aca="false">AQ81+AS81-AR81</f>
        <v>26218.7175716396</v>
      </c>
      <c r="AU81" s="180" t="n">
        <f aca="false">MAX(0,IFERROR(INDEX(TAB_IR,MATCH($C81,TAB_IR_DIAS,1),MATCH($D$8,TAB_IR_REGIMES,0)),0)*IF($D$26=2,AQ81,MAX(0,AT81))-AS81)</f>
        <v>1690.13585434679</v>
      </c>
      <c r="AV81" s="181" t="n">
        <f aca="false">MAX(0,AQ81-AU81-AQ81*$D$25)</f>
        <v>171630.441996603</v>
      </c>
      <c r="AW81" s="180" t="n">
        <f aca="false">AV81/$D81</f>
        <v>160770.151895961</v>
      </c>
      <c r="AY81" s="180" t="n">
        <f aca="false">BF80</f>
        <v>176299.230896614</v>
      </c>
      <c r="AZ81" s="180" t="n">
        <f aca="false">IF($E$9=0,0,IF($A81&gt;IN_PRAZO,0,IF(APORTE_CORRIGIDO="Sim",IN_APORTE*$D81,IN_APORTE))+IF(AND($E$35=1,PGBL_REINVESTE="Sim",$A81&gt;=13,$A81&lt;=IN_PRAZO,MONTH($B81)=5),PGBL_BENEFICIO,0))</f>
        <v>0</v>
      </c>
      <c r="BA81" s="180" t="n">
        <f aca="false">AZ81*$E$24</f>
        <v>0</v>
      </c>
      <c r="BB81" s="180" t="n">
        <f aca="false">AY81*$E$19</f>
        <v>1725.74827668826</v>
      </c>
      <c r="BC81" s="180" t="n">
        <f aca="false">AY81*$E$22</f>
        <v>220.374038620767</v>
      </c>
      <c r="BD81" s="180" t="n">
        <f aca="false">$E$23*MAX(0,BB81-AY81*$E$18)</f>
        <v>0</v>
      </c>
      <c r="BE81" s="180" t="n">
        <f aca="false">IF(AND($E$27=1,OR(MONTH($B81)=5,MONTH($B81)=11)),MAX(0,$E$28*MAX(0,(AY81+BB81-BC81-BD81+AZ81-BA81)+BH80-BG81)-BH80),0)</f>
        <v>0</v>
      </c>
      <c r="BF81" s="181" t="n">
        <f aca="false">AY81+BB81-BC81-BD81+AZ81-BA81-BE81</f>
        <v>177804.605134681</v>
      </c>
      <c r="BG81" s="180" t="n">
        <f aca="false">BG80+AZ81-BA81</f>
        <v>150000</v>
      </c>
      <c r="BH81" s="180" t="n">
        <f aca="false">BH80+BE81</f>
        <v>0</v>
      </c>
      <c r="BI81" s="180" t="n">
        <f aca="false">BF81+BH81-BG81</f>
        <v>27804.6051346812</v>
      </c>
      <c r="BJ81" s="180" t="n">
        <f aca="false">MAX(0,IFERROR(INDEX(TAB_IR,MATCH($C81,TAB_IR_DIAS,1),MATCH($E$8,TAB_IR_REGIMES,0)),0)*IF($E$26=2,BF81,MAX(0,BI81))-BH81)</f>
        <v>9731.61179713843</v>
      </c>
      <c r="BK81" s="181" t="n">
        <f aca="false">MAX(0,BF81-BJ81-BF81*$E$25)</f>
        <v>168072.993337543</v>
      </c>
      <c r="BL81" s="180" t="n">
        <f aca="false">BK81/$D81</f>
        <v>157437.808550423</v>
      </c>
      <c r="BN81" s="180" t="n">
        <f aca="false">BU80</f>
        <v>176299.230896614</v>
      </c>
      <c r="BO81" s="180" t="n">
        <f aca="false">IF($F$9=0,0,IF($A81&gt;IN_PRAZO,0,IF(APORTE_CORRIGIDO="Sim",IN_APORTE*$D81,IN_APORTE))+IF(AND($F$35=1,PGBL_REINVESTE="Sim",$A81&gt;=13,$A81&lt;=IN_PRAZO,MONTH($B81)=5),PGBL_BENEFICIO,0))</f>
        <v>0</v>
      </c>
      <c r="BP81" s="180" t="n">
        <f aca="false">BO81*$F$24</f>
        <v>0</v>
      </c>
      <c r="BQ81" s="180" t="n">
        <f aca="false">BN81*$F$19</f>
        <v>1725.74827668826</v>
      </c>
      <c r="BR81" s="180" t="n">
        <f aca="false">BN81*$F$22</f>
        <v>220.374038620767</v>
      </c>
      <c r="BS81" s="180" t="n">
        <f aca="false">$F$23*MAX(0,BQ81-BN81*$F$18)</f>
        <v>0</v>
      </c>
      <c r="BT81" s="180" t="n">
        <f aca="false">IF(AND($F$27=1,OR(MONTH($B81)=5,MONTH($B81)=11)),MAX(0,$F$28*MAX(0,(BN81+BQ81-BR81-BS81+BO81-BP81)+BW80-BV81)-BW80),0)</f>
        <v>0</v>
      </c>
      <c r="BU81" s="181" t="n">
        <f aca="false">BN81+BQ81-BR81-BS81+BO81-BP81-BT81</f>
        <v>177804.605134681</v>
      </c>
      <c r="BV81" s="180" t="n">
        <f aca="false">BV80+BO81-BP81</f>
        <v>150000</v>
      </c>
      <c r="BW81" s="180" t="n">
        <f aca="false">BW80+BT81</f>
        <v>0</v>
      </c>
      <c r="BX81" s="180" t="n">
        <f aca="false">BU81+BW81-BV81</f>
        <v>27804.6051346812</v>
      </c>
      <c r="BY81" s="180" t="n">
        <f aca="false">MAX(0,IFERROR(INDEX(TAB_IR,MATCH($C81,TAB_IR_DIAS,1),MATCH($F$8,TAB_IR_REGIMES,0)),0)*IF($F$26=2,BU81,MAX(0,BX81))-BW81)</f>
        <v>62231.6117971384</v>
      </c>
      <c r="BZ81" s="181" t="n">
        <f aca="false">MAX(0,BU81-BY81-BU81*$F$25)</f>
        <v>115572.993337543</v>
      </c>
      <c r="CA81" s="180" t="n">
        <f aca="false">BZ81/$D81</f>
        <v>108259.860417509</v>
      </c>
      <c r="CC81" s="180" t="n">
        <f aca="false">CJ80</f>
        <v>169547.947065321</v>
      </c>
      <c r="CD81" s="180" t="n">
        <f aca="false">IF($G$9=0,0,IF($A81&gt;IN_PRAZO,0,IF(APORTE_CORRIGIDO="Sim",IN_APORTE*$D81,IN_APORTE))+IF(AND($G$35=1,PGBL_REINVESTE="Sim",$A81&gt;=13,$A81&lt;=IN_PRAZO,MONTH($B81)=5),PGBL_BENEFICIO,0))</f>
        <v>0</v>
      </c>
      <c r="CE81" s="180" t="n">
        <f aca="false">CD81*$G$24</f>
        <v>0</v>
      </c>
      <c r="CF81" s="180" t="n">
        <f aca="false">CC81*$G$19</f>
        <v>1383.04082735015</v>
      </c>
      <c r="CG81" s="180" t="n">
        <f aca="false">CC81*$G$22</f>
        <v>141.289955887768</v>
      </c>
      <c r="CH81" s="180" t="n">
        <f aca="false">$G$23*MAX(0,CF81-CC81*$G$18)</f>
        <v>0</v>
      </c>
      <c r="CI81" s="180" t="n">
        <f aca="false">IF(AND($G$27=1,OR(MONTH($B81)=5,MONTH($B81)=11)),MAX(0,$G$28*MAX(0,(CC81+CF81-CG81-CH81+CD81-CE81)+CL80-CK81)-CL80),0)</f>
        <v>0</v>
      </c>
      <c r="CJ81" s="181" t="n">
        <f aca="false">CC81+CF81-CG81-CH81+CD81-CE81-CI81</f>
        <v>170789.697936784</v>
      </c>
      <c r="CK81" s="180" t="n">
        <f aca="false">CK80+CD81-CE81</f>
        <v>150000</v>
      </c>
      <c r="CL81" s="180" t="n">
        <f aca="false">CL80+CI81</f>
        <v>2588.92461424459</v>
      </c>
      <c r="CM81" s="180" t="n">
        <f aca="false">CJ81+CL81-CK81</f>
        <v>23378.6225510281</v>
      </c>
      <c r="CN81" s="180" t="n">
        <f aca="false">MAX(0,IFERROR(INDEX(TAB_IR,MATCH($C81,TAB_IR_DIAS,1),MATCH($G$8,TAB_IR_REGIMES,0)),0)*IF($G$26=2,CJ81,MAX(0,CM81))-CL81)</f>
        <v>1502.33433218532</v>
      </c>
      <c r="CO81" s="181" t="n">
        <f aca="false">MAX(0,CJ81-CN81-CJ81*$G$25)</f>
        <v>169287.363604598</v>
      </c>
      <c r="CP81" s="180" t="n">
        <f aca="false">CO81/$D81</f>
        <v>158575.336893421</v>
      </c>
    </row>
    <row r="82" customFormat="false" ht="12" hidden="false" customHeight="true" outlineLevel="0" collapsed="false">
      <c r="A82" s="177" t="n">
        <v>21</v>
      </c>
      <c r="B82" s="178" t="n">
        <f aca="false">EDATE(DATA_INICIO,$A82)</f>
        <v>46896</v>
      </c>
      <c r="C82" s="177" t="n">
        <f aca="false">$A82*30</f>
        <v>630</v>
      </c>
      <c r="D82" s="179" t="n">
        <f aca="false">(1+IPCA_CENARIO)^($A82/12)</f>
        <v>1.07104654297916</v>
      </c>
      <c r="F82" s="180" t="n">
        <f aca="false">M81</f>
        <v>180587.272005228</v>
      </c>
      <c r="G82" s="180" t="n">
        <f aca="false">IF($B$9=0,0,IF($A82&gt;IN_PRAZO,0,IF(APORTE_CORRIGIDO="Sim",IN_APORTE*$D82,IN_APORTE))+IF(AND($B$35=1,PGBL_REINVESTE="Sim",$A82&gt;=13,$A82&lt;=IN_PRAZO,MONTH($B82)=5),PGBL_BENEFICIO,0))</f>
        <v>0</v>
      </c>
      <c r="H82" s="180" t="n">
        <f aca="false">G82*$B$24</f>
        <v>0</v>
      </c>
      <c r="I82" s="180" t="n">
        <f aca="false">F82*$B$19</f>
        <v>1713.55523067883</v>
      </c>
      <c r="J82" s="180" t="n">
        <f aca="false">F82*$B$22</f>
        <v>30.097878667538</v>
      </c>
      <c r="K82" s="180" t="n">
        <f aca="false">$B$23*MAX(0,I82-F82*$B$18)</f>
        <v>0</v>
      </c>
      <c r="L82" s="180" t="n">
        <f aca="false">IF(AND($B$27=1,OR(MONTH($B82)=5,MONTH($B82)=11)),MAX(0,$B$28*MAX(0,(F82+I82-J82-K82+G82-H82)+O81-N82)-O81),0)</f>
        <v>0</v>
      </c>
      <c r="M82" s="181" t="n">
        <f aca="false">F82+I82-J82-K82+G82-H82-L82</f>
        <v>182270.729357239</v>
      </c>
      <c r="N82" s="180" t="n">
        <f aca="false">N81+G82-H82</f>
        <v>150000</v>
      </c>
      <c r="O82" s="180" t="n">
        <f aca="false">O81+L82</f>
        <v>0</v>
      </c>
      <c r="P82" s="180" t="n">
        <f aca="false">M82+O82-N82</f>
        <v>32270.7293572391</v>
      </c>
      <c r="Q82" s="180" t="n">
        <f aca="false">MAX(0,IFERROR(INDEX(TAB_IR,MATCH($C82,TAB_IR_DIAS,1),MATCH($B$8,TAB_IR_REGIMES,0)),0)*IF($B$26=2,M82,MAX(0,P82))-O82)</f>
        <v>5647.37763751684</v>
      </c>
      <c r="R82" s="181" t="n">
        <f aca="false">MAX(0,M82-Q82-M82*$B$25)</f>
        <v>176623.351719722</v>
      </c>
      <c r="S82" s="180" t="n">
        <f aca="false">R82/$D82</f>
        <v>164907.260919248</v>
      </c>
      <c r="U82" s="180" t="n">
        <f aca="false">AB81</f>
        <v>175881.656092669</v>
      </c>
      <c r="V82" s="180" t="n">
        <f aca="false">IF($C$9=0,0,IF($A82&gt;IN_PRAZO,0,IF(APORTE_CORRIGIDO="Sim",IN_APORTE*$D82,IN_APORTE))+IF(AND($C$35=1,PGBL_REINVESTE="Sim",$A82&gt;=13,$A82&lt;=IN_PRAZO,MONTH($B82)=5),PGBL_BENEFICIO,0))</f>
        <v>0</v>
      </c>
      <c r="W82" s="180" t="n">
        <f aca="false">V82*$C$24</f>
        <v>0</v>
      </c>
      <c r="X82" s="180" t="n">
        <f aca="false">U82*$C$19</f>
        <v>1434.7063197669</v>
      </c>
      <c r="Y82" s="180" t="n">
        <f aca="false">U82*$C$22</f>
        <v>29.3136093487782</v>
      </c>
      <c r="Z82" s="180" t="n">
        <f aca="false">$C$23*MAX(0,X82-U82*$C$18)</f>
        <v>0</v>
      </c>
      <c r="AA82" s="180" t="n">
        <f aca="false">IF(AND($C$27=1,OR(MONTH($B82)=5,MONTH($B82)=11)),MAX(0,$C$28*MAX(0,(U82+X82-Y82-Z82+V82-W82)+AD81-AC82)-AD81),0)</f>
        <v>0</v>
      </c>
      <c r="AB82" s="181" t="n">
        <f aca="false">U82+X82-Y82-Z82+V82-W82-AA82</f>
        <v>177287.048803087</v>
      </c>
      <c r="AC82" s="180" t="n">
        <f aca="false">AC81+V82-W82</f>
        <v>150000</v>
      </c>
      <c r="AD82" s="180" t="n">
        <f aca="false">AD81+AA82</f>
        <v>0</v>
      </c>
      <c r="AE82" s="180" t="n">
        <f aca="false">AB82+AD82-AC82</f>
        <v>27287.0488030873</v>
      </c>
      <c r="AF82" s="180" t="n">
        <f aca="false">MAX(0,IFERROR(INDEX(TAB_IR,MATCH($C82,TAB_IR_DIAS,1),MATCH($C$8,TAB_IR_REGIMES,0)),0)*IF($C$26=2,AB82,MAX(0,AE82))-AD82)</f>
        <v>4775.23354054028</v>
      </c>
      <c r="AG82" s="181" t="n">
        <f aca="false">MAX(0,AB82-AF82-AB82*$C$25)</f>
        <v>172511.815262547</v>
      </c>
      <c r="AH82" s="180" t="n">
        <f aca="false">AG82/$D82</f>
        <v>161068.458129465</v>
      </c>
      <c r="AJ82" s="180" t="n">
        <f aca="false">AQ81</f>
        <v>173320.577850949</v>
      </c>
      <c r="AK82" s="180" t="n">
        <f aca="false">IF($D$9=0,0,IF($A82&gt;IN_PRAZO,0,IF(APORTE_CORRIGIDO="Sim",IN_APORTE*$D82,IN_APORTE))+IF(AND($D$35=1,PGBL_REINVESTE="Sim",$A82&gt;=13,$A82&lt;=IN_PRAZO,MONTH($B82)=5),PGBL_BENEFICIO,0))</f>
        <v>0</v>
      </c>
      <c r="AL82" s="180" t="n">
        <f aca="false">AK82*$D$24</f>
        <v>0</v>
      </c>
      <c r="AM82" s="180" t="n">
        <f aca="false">AJ82*$D$19</f>
        <v>1557.92616675445</v>
      </c>
      <c r="AN82" s="180" t="n">
        <f aca="false">AJ82*$D$22</f>
        <v>144.433814875791</v>
      </c>
      <c r="AO82" s="180" t="n">
        <f aca="false">$D$23*MAX(0,AM82-AJ82*$D$18)</f>
        <v>0</v>
      </c>
      <c r="AP82" s="180" t="n">
        <f aca="false">IF(AND($D$27=1,OR(MONTH($B82)=5,MONTH($B82)=11)),MAX(0,$D$28*MAX(0,(AJ82+AM82-AN82-AO82+AK82-AL82)+AS81-AR82)-AS81),0)</f>
        <v>1246.6917678376</v>
      </c>
      <c r="AQ82" s="181" t="n">
        <f aca="false">AJ82+AM82-AN82-AO82+AK82-AL82-AP82</f>
        <v>173487.37843499</v>
      </c>
      <c r="AR82" s="180" t="n">
        <f aca="false">AR81+AK82-AL82</f>
        <v>150000</v>
      </c>
      <c r="AS82" s="180" t="n">
        <f aca="false">AS81+AP82</f>
        <v>4144.83148852774</v>
      </c>
      <c r="AT82" s="180" t="n">
        <f aca="false">AQ82+AS82-AR82</f>
        <v>27632.2099235182</v>
      </c>
      <c r="AU82" s="180" t="n">
        <f aca="false">MAX(0,IFERROR(INDEX(TAB_IR,MATCH($C82,TAB_IR_DIAS,1),MATCH($D$8,TAB_IR_REGIMES,0)),0)*IF($D$26=2,AQ82,MAX(0,AT82))-AS82)</f>
        <v>690.805248087951</v>
      </c>
      <c r="AV82" s="181" t="n">
        <f aca="false">MAX(0,AQ82-AU82-AQ82*$D$25)</f>
        <v>172796.573186903</v>
      </c>
      <c r="AW82" s="180" t="n">
        <f aca="false">AV82/$D82</f>
        <v>161334.326990368</v>
      </c>
      <c r="AY82" s="180" t="n">
        <f aca="false">BF81</f>
        <v>177804.605134681</v>
      </c>
      <c r="AZ82" s="180" t="n">
        <f aca="false">IF($E$9=0,0,IF($A82&gt;IN_PRAZO,0,IF(APORTE_CORRIGIDO="Sim",IN_APORTE*$D82,IN_APORTE))+IF(AND($E$35=1,PGBL_REINVESTE="Sim",$A82&gt;=13,$A82&lt;=IN_PRAZO,MONTH($B82)=5),PGBL_BENEFICIO,0))</f>
        <v>0</v>
      </c>
      <c r="BA82" s="180" t="n">
        <f aca="false">AZ82*$E$24</f>
        <v>0</v>
      </c>
      <c r="BB82" s="180" t="n">
        <f aca="false">AY82*$E$19</f>
        <v>1740.48400176149</v>
      </c>
      <c r="BC82" s="180" t="n">
        <f aca="false">AY82*$E$22</f>
        <v>222.255756418352</v>
      </c>
      <c r="BD82" s="180" t="n">
        <f aca="false">$E$23*MAX(0,BB82-AY82*$E$18)</f>
        <v>0</v>
      </c>
      <c r="BE82" s="180" t="n">
        <f aca="false">IF(AND($E$27=1,OR(MONTH($B82)=5,MONTH($B82)=11)),MAX(0,$E$28*MAX(0,(AY82+BB82-BC82-BD82+AZ82-BA82)+BH81-BG82)-BH81),0)</f>
        <v>0</v>
      </c>
      <c r="BF82" s="181" t="n">
        <f aca="false">AY82+BB82-BC82-BD82+AZ82-BA82-BE82</f>
        <v>179322.833380024</v>
      </c>
      <c r="BG82" s="180" t="n">
        <f aca="false">BG81+AZ82-BA82</f>
        <v>150000</v>
      </c>
      <c r="BH82" s="180" t="n">
        <f aca="false">BH81+BE82</f>
        <v>0</v>
      </c>
      <c r="BI82" s="180" t="n">
        <f aca="false">BF82+BH82-BG82</f>
        <v>29322.8333800244</v>
      </c>
      <c r="BJ82" s="180" t="n">
        <f aca="false">MAX(0,IFERROR(INDEX(TAB_IR,MATCH($C82,TAB_IR_DIAS,1),MATCH($E$8,TAB_IR_REGIMES,0)),0)*IF($E$26=2,BF82,MAX(0,BI82))-BH82)</f>
        <v>10262.9916830085</v>
      </c>
      <c r="BK82" s="181" t="n">
        <f aca="false">MAX(0,BF82-BJ82-BF82*$E$25)</f>
        <v>169059.841697016</v>
      </c>
      <c r="BL82" s="180" t="n">
        <f aca="false">BK82/$D82</f>
        <v>157845.4669456</v>
      </c>
      <c r="BN82" s="180" t="n">
        <f aca="false">BU81</f>
        <v>177804.605134681</v>
      </c>
      <c r="BO82" s="180" t="n">
        <f aca="false">IF($F$9=0,0,IF($A82&gt;IN_PRAZO,0,IF(APORTE_CORRIGIDO="Sim",IN_APORTE*$D82,IN_APORTE))+IF(AND($F$35=1,PGBL_REINVESTE="Sim",$A82&gt;=13,$A82&lt;=IN_PRAZO,MONTH($B82)=5),PGBL_BENEFICIO,0))</f>
        <v>0</v>
      </c>
      <c r="BP82" s="180" t="n">
        <f aca="false">BO82*$F$24</f>
        <v>0</v>
      </c>
      <c r="BQ82" s="180" t="n">
        <f aca="false">BN82*$F$19</f>
        <v>1740.48400176149</v>
      </c>
      <c r="BR82" s="180" t="n">
        <f aca="false">BN82*$F$22</f>
        <v>222.255756418352</v>
      </c>
      <c r="BS82" s="180" t="n">
        <f aca="false">$F$23*MAX(0,BQ82-BN82*$F$18)</f>
        <v>0</v>
      </c>
      <c r="BT82" s="180" t="n">
        <f aca="false">IF(AND($F$27=1,OR(MONTH($B82)=5,MONTH($B82)=11)),MAX(0,$F$28*MAX(0,(BN82+BQ82-BR82-BS82+BO82-BP82)+BW81-BV82)-BW81),0)</f>
        <v>0</v>
      </c>
      <c r="BU82" s="181" t="n">
        <f aca="false">BN82+BQ82-BR82-BS82+BO82-BP82-BT82</f>
        <v>179322.833380024</v>
      </c>
      <c r="BV82" s="180" t="n">
        <f aca="false">BV81+BO82-BP82</f>
        <v>150000</v>
      </c>
      <c r="BW82" s="180" t="n">
        <f aca="false">BW81+BT82</f>
        <v>0</v>
      </c>
      <c r="BX82" s="180" t="n">
        <f aca="false">BU82+BW82-BV82</f>
        <v>29322.8333800244</v>
      </c>
      <c r="BY82" s="180" t="n">
        <f aca="false">MAX(0,IFERROR(INDEX(TAB_IR,MATCH($C82,TAB_IR_DIAS,1),MATCH($F$8,TAB_IR_REGIMES,0)),0)*IF($F$26=2,BU82,MAX(0,BX82))-BW82)</f>
        <v>62762.9916830085</v>
      </c>
      <c r="BZ82" s="181" t="n">
        <f aca="false">MAX(0,BU82-BY82-BU82*$F$25)</f>
        <v>116559.841697016</v>
      </c>
      <c r="CA82" s="180" t="n">
        <f aca="false">BZ82/$D82</f>
        <v>108827.989279345</v>
      </c>
      <c r="CC82" s="180" t="n">
        <f aca="false">CJ81</f>
        <v>170789.697936784</v>
      </c>
      <c r="CD82" s="180" t="n">
        <f aca="false">IF($G$9=0,0,IF($A82&gt;IN_PRAZO,0,IF(APORTE_CORRIGIDO="Sim",IN_APORTE*$D82,IN_APORTE))+IF(AND($G$35=1,PGBL_REINVESTE="Sim",$A82&gt;=13,$A82&lt;=IN_PRAZO,MONTH($B82)=5),PGBL_BENEFICIO,0))</f>
        <v>0</v>
      </c>
      <c r="CE82" s="180" t="n">
        <f aca="false">CD82*$G$24</f>
        <v>0</v>
      </c>
      <c r="CF82" s="180" t="n">
        <f aca="false">CC82*$G$19</f>
        <v>1393.17006915081</v>
      </c>
      <c r="CG82" s="180" t="n">
        <f aca="false">CC82*$G$22</f>
        <v>142.324748280653</v>
      </c>
      <c r="CH82" s="180" t="n">
        <f aca="false">$G$23*MAX(0,CF82-CC82*$G$18)</f>
        <v>0</v>
      </c>
      <c r="CI82" s="180" t="n">
        <f aca="false">IF(AND($G$27=1,OR(MONTH($B82)=5,MONTH($B82)=11)),MAX(0,$G$28*MAX(0,(CC82+CF82-CG82-CH82+CD82-CE82)+CL81-CK82)-CL81),0)</f>
        <v>1105.49556654014</v>
      </c>
      <c r="CJ82" s="181" t="n">
        <f aca="false">CC82+CF82-CG82-CH82+CD82-CE82-CI82</f>
        <v>170935.047691114</v>
      </c>
      <c r="CK82" s="180" t="n">
        <f aca="false">CK81+CD82-CE82</f>
        <v>150000</v>
      </c>
      <c r="CL82" s="180" t="n">
        <f aca="false">CL81+CI82</f>
        <v>3694.42018078474</v>
      </c>
      <c r="CM82" s="180" t="n">
        <f aca="false">CJ82+CL82-CK82</f>
        <v>24629.4678718982</v>
      </c>
      <c r="CN82" s="180" t="n">
        <f aca="false">MAX(0,IFERROR(INDEX(TAB_IR,MATCH($C82,TAB_IR_DIAS,1),MATCH($G$8,TAB_IR_REGIMES,0)),0)*IF($G$26=2,CJ82,MAX(0,CM82))-CL82)</f>
        <v>615.736696797456</v>
      </c>
      <c r="CO82" s="181" t="n">
        <f aca="false">MAX(0,CJ82-CN82-CJ82*$G$25)</f>
        <v>170319.310994316</v>
      </c>
      <c r="CP82" s="180" t="n">
        <f aca="false">CO82/$D82</f>
        <v>159021.390910395</v>
      </c>
    </row>
    <row r="83" customFormat="false" ht="12" hidden="false" customHeight="true" outlineLevel="0" collapsed="false">
      <c r="A83" s="177" t="n">
        <v>22</v>
      </c>
      <c r="B83" s="178" t="n">
        <f aca="false">EDATE(DATA_INICIO,$A83)</f>
        <v>46927</v>
      </c>
      <c r="C83" s="177" t="n">
        <f aca="false">$A83*30</f>
        <v>660</v>
      </c>
      <c r="D83" s="179" t="n">
        <f aca="false">(1+IPCA_CENARIO)^($A83/12)</f>
        <v>1.0745528706555</v>
      </c>
      <c r="F83" s="180" t="n">
        <f aca="false">M82</f>
        <v>182270.729357239</v>
      </c>
      <c r="G83" s="180" t="n">
        <f aca="false">IF($B$9=0,0,IF($A83&gt;IN_PRAZO,0,IF(APORTE_CORRIGIDO="Sim",IN_APORTE*$D83,IN_APORTE))+IF(AND($B$35=1,PGBL_REINVESTE="Sim",$A83&gt;=13,$A83&lt;=IN_PRAZO,MONTH($B83)=5),PGBL_BENEFICIO,0))</f>
        <v>0</v>
      </c>
      <c r="H83" s="180" t="n">
        <f aca="false">G83*$B$24</f>
        <v>0</v>
      </c>
      <c r="I83" s="180" t="n">
        <f aca="false">F83*$B$19</f>
        <v>1729.52920890627</v>
      </c>
      <c r="J83" s="180" t="n">
        <f aca="false">F83*$B$22</f>
        <v>30.3784548928732</v>
      </c>
      <c r="K83" s="180" t="n">
        <f aca="false">$B$23*MAX(0,I83-F83*$B$18)</f>
        <v>0</v>
      </c>
      <c r="L83" s="180" t="n">
        <f aca="false">IF(AND($B$27=1,OR(MONTH($B83)=5,MONTH($B83)=11)),MAX(0,$B$28*MAX(0,(F83+I83-J83-K83+G83-H83)+O82-N83)-O82),0)</f>
        <v>0</v>
      </c>
      <c r="M83" s="181" t="n">
        <f aca="false">F83+I83-J83-K83+G83-H83-L83</f>
        <v>183969.880111252</v>
      </c>
      <c r="N83" s="180" t="n">
        <f aca="false">N82+G83-H83</f>
        <v>150000</v>
      </c>
      <c r="O83" s="180" t="n">
        <f aca="false">O82+L83</f>
        <v>0</v>
      </c>
      <c r="P83" s="180" t="n">
        <f aca="false">M83+O83-N83</f>
        <v>33969.8801112525</v>
      </c>
      <c r="Q83" s="180" t="n">
        <f aca="false">MAX(0,IFERROR(INDEX(TAB_IR,MATCH($C83,TAB_IR_DIAS,1),MATCH($B$8,TAB_IR_REGIMES,0)),0)*IF($B$26=2,M83,MAX(0,P83))-O83)</f>
        <v>5944.72901946918</v>
      </c>
      <c r="R83" s="181" t="n">
        <f aca="false">MAX(0,M83-Q83-M83*$B$25)</f>
        <v>178025.151091783</v>
      </c>
      <c r="S83" s="180" t="n">
        <f aca="false">R83/$D83</f>
        <v>165673.701083861</v>
      </c>
      <c r="U83" s="180" t="n">
        <f aca="false">AB82</f>
        <v>177287.048803087</v>
      </c>
      <c r="V83" s="180" t="n">
        <f aca="false">IF($C$9=0,0,IF($A83&gt;IN_PRAZO,0,IF(APORTE_CORRIGIDO="Sim",IN_APORTE*$D83,IN_APORTE))+IF(AND($C$35=1,PGBL_REINVESTE="Sim",$A83&gt;=13,$A83&lt;=IN_PRAZO,MONTH($B83)=5),PGBL_BENEFICIO,0))</f>
        <v>0</v>
      </c>
      <c r="W83" s="180" t="n">
        <f aca="false">V83*$C$24</f>
        <v>0</v>
      </c>
      <c r="X83" s="180" t="n">
        <f aca="false">U83*$C$19</f>
        <v>1446.17042493958</v>
      </c>
      <c r="Y83" s="180" t="n">
        <f aca="false">U83*$C$22</f>
        <v>29.5478414671812</v>
      </c>
      <c r="Z83" s="180" t="n">
        <f aca="false">$C$23*MAX(0,X83-U83*$C$18)</f>
        <v>0</v>
      </c>
      <c r="AA83" s="180" t="n">
        <f aca="false">IF(AND($C$27=1,OR(MONTH($B83)=5,MONTH($B83)=11)),MAX(0,$C$28*MAX(0,(U83+X83-Y83-Z83+V83-W83)+AD82-AC83)-AD82),0)</f>
        <v>0</v>
      </c>
      <c r="AB83" s="181" t="n">
        <f aca="false">U83+X83-Y83-Z83+V83-W83-AA83</f>
        <v>178703.67138656</v>
      </c>
      <c r="AC83" s="180" t="n">
        <f aca="false">AC82+V83-W83</f>
        <v>150000</v>
      </c>
      <c r="AD83" s="180" t="n">
        <f aca="false">AD82+AA83</f>
        <v>0</v>
      </c>
      <c r="AE83" s="180" t="n">
        <f aca="false">AB83+AD83-AC83</f>
        <v>28703.6713865597</v>
      </c>
      <c r="AF83" s="180" t="n">
        <f aca="false">MAX(0,IFERROR(INDEX(TAB_IR,MATCH($C83,TAB_IR_DIAS,1),MATCH($C$8,TAB_IR_REGIMES,0)),0)*IF($C$26=2,AB83,MAX(0,AE83))-AD83)</f>
        <v>5023.14249264795</v>
      </c>
      <c r="AG83" s="181" t="n">
        <f aca="false">MAX(0,AB83-AF83-AB83*$C$25)</f>
        <v>173680.528893912</v>
      </c>
      <c r="AH83" s="180" t="n">
        <f aca="false">AG83/$D83</f>
        <v>161630.510360987</v>
      </c>
      <c r="AJ83" s="180" t="n">
        <f aca="false">AQ82</f>
        <v>173487.37843499</v>
      </c>
      <c r="AK83" s="180" t="n">
        <f aca="false">IF($D$9=0,0,IF($A83&gt;IN_PRAZO,0,IF(APORTE_CORRIGIDO="Sim",IN_APORTE*$D83,IN_APORTE))+IF(AND($D$35=1,PGBL_REINVESTE="Sim",$A83&gt;=13,$A83&lt;=IN_PRAZO,MONTH($B83)=5),PGBL_BENEFICIO,0))</f>
        <v>0</v>
      </c>
      <c r="AL83" s="180" t="n">
        <f aca="false">AK83*$D$24</f>
        <v>0</v>
      </c>
      <c r="AM83" s="180" t="n">
        <f aca="false">AJ83*$D$19</f>
        <v>1559.42548667208</v>
      </c>
      <c r="AN83" s="180" t="n">
        <f aca="false">AJ83*$D$22</f>
        <v>144.572815362492</v>
      </c>
      <c r="AO83" s="180" t="n">
        <f aca="false">$D$23*MAX(0,AM83-AJ83*$D$18)</f>
        <v>0</v>
      </c>
      <c r="AP83" s="180" t="n">
        <f aca="false">IF(AND($D$27=1,OR(MONTH($B83)=5,MONTH($B83)=11)),MAX(0,$D$28*MAX(0,(AJ83+AM83-AN83-AO83+AK83-AL83)+AS82-AR83)-AS82),0)</f>
        <v>0</v>
      </c>
      <c r="AQ83" s="181" t="n">
        <f aca="false">AJ83+AM83-AN83-AO83+AK83-AL83-AP83</f>
        <v>174902.2311063</v>
      </c>
      <c r="AR83" s="180" t="n">
        <f aca="false">AR82+AK83-AL83</f>
        <v>150000</v>
      </c>
      <c r="AS83" s="180" t="n">
        <f aca="false">AS82+AP83</f>
        <v>4144.83148852774</v>
      </c>
      <c r="AT83" s="180" t="n">
        <f aca="false">AQ83+AS83-AR83</f>
        <v>29047.0625948278</v>
      </c>
      <c r="AU83" s="180" t="n">
        <f aca="false">MAX(0,IFERROR(INDEX(TAB_IR,MATCH($C83,TAB_IR_DIAS,1),MATCH($D$8,TAB_IR_REGIMES,0)),0)*IF($D$26=2,AQ83,MAX(0,AT83))-AS83)</f>
        <v>938.404465567131</v>
      </c>
      <c r="AV83" s="181" t="n">
        <f aca="false">MAX(0,AQ83-AU83-AQ83*$D$25)</f>
        <v>173963.826640733</v>
      </c>
      <c r="AW83" s="180" t="n">
        <f aca="false">AV83/$D83</f>
        <v>161894.152806657</v>
      </c>
      <c r="AY83" s="180" t="n">
        <f aca="false">BF82</f>
        <v>179322.833380024</v>
      </c>
      <c r="AZ83" s="180" t="n">
        <f aca="false">IF($E$9=0,0,IF($A83&gt;IN_PRAZO,0,IF(APORTE_CORRIGIDO="Sim",IN_APORTE*$D83,IN_APORTE))+IF(AND($E$35=1,PGBL_REINVESTE="Sim",$A83&gt;=13,$A83&lt;=IN_PRAZO,MONTH($B83)=5),PGBL_BENEFICIO,0))</f>
        <v>0</v>
      </c>
      <c r="BA83" s="180" t="n">
        <f aca="false">AZ83*$E$24</f>
        <v>0</v>
      </c>
      <c r="BB83" s="180" t="n">
        <f aca="false">AY83*$E$19</f>
        <v>1755.34555143868</v>
      </c>
      <c r="BC83" s="180" t="n">
        <f aca="false">AY83*$E$22</f>
        <v>224.153541725031</v>
      </c>
      <c r="BD83" s="180" t="n">
        <f aca="false">$E$23*MAX(0,BB83-AY83*$E$18)</f>
        <v>0</v>
      </c>
      <c r="BE83" s="180" t="n">
        <f aca="false">IF(AND($E$27=1,OR(MONTH($B83)=5,MONTH($B83)=11)),MAX(0,$E$28*MAX(0,(AY83+BB83-BC83-BD83+AZ83-BA83)+BH82-BG83)-BH82),0)</f>
        <v>0</v>
      </c>
      <c r="BF83" s="181" t="n">
        <f aca="false">AY83+BB83-BC83-BD83+AZ83-BA83-BE83</f>
        <v>180854.025389738</v>
      </c>
      <c r="BG83" s="180" t="n">
        <f aca="false">BG82+AZ83-BA83</f>
        <v>150000</v>
      </c>
      <c r="BH83" s="180" t="n">
        <f aca="false">BH82+BE83</f>
        <v>0</v>
      </c>
      <c r="BI83" s="180" t="n">
        <f aca="false">BF83+BH83-BG83</f>
        <v>30854.025389738</v>
      </c>
      <c r="BJ83" s="180" t="n">
        <f aca="false">MAX(0,IFERROR(INDEX(TAB_IR,MATCH($C83,TAB_IR_DIAS,1),MATCH($E$8,TAB_IR_REGIMES,0)),0)*IF($E$26=2,BF83,MAX(0,BI83))-BH83)</f>
        <v>10798.9088864083</v>
      </c>
      <c r="BK83" s="181" t="n">
        <f aca="false">MAX(0,BF83-BJ83-BF83*$E$25)</f>
        <v>170055.11650333</v>
      </c>
      <c r="BL83" s="180" t="n">
        <f aca="false">BK83/$D83</f>
        <v>158256.630406276</v>
      </c>
      <c r="BN83" s="180" t="n">
        <f aca="false">BU82</f>
        <v>179322.833380024</v>
      </c>
      <c r="BO83" s="180" t="n">
        <f aca="false">IF($F$9=0,0,IF($A83&gt;IN_PRAZO,0,IF(APORTE_CORRIGIDO="Sim",IN_APORTE*$D83,IN_APORTE))+IF(AND($F$35=1,PGBL_REINVESTE="Sim",$A83&gt;=13,$A83&lt;=IN_PRAZO,MONTH($B83)=5),PGBL_BENEFICIO,0))</f>
        <v>0</v>
      </c>
      <c r="BP83" s="180" t="n">
        <f aca="false">BO83*$F$24</f>
        <v>0</v>
      </c>
      <c r="BQ83" s="180" t="n">
        <f aca="false">BN83*$F$19</f>
        <v>1755.34555143868</v>
      </c>
      <c r="BR83" s="180" t="n">
        <f aca="false">BN83*$F$22</f>
        <v>224.153541725031</v>
      </c>
      <c r="BS83" s="180" t="n">
        <f aca="false">$F$23*MAX(0,BQ83-BN83*$F$18)</f>
        <v>0</v>
      </c>
      <c r="BT83" s="180" t="n">
        <f aca="false">IF(AND($F$27=1,OR(MONTH($B83)=5,MONTH($B83)=11)),MAX(0,$F$28*MAX(0,(BN83+BQ83-BR83-BS83+BO83-BP83)+BW82-BV83)-BW82),0)</f>
        <v>0</v>
      </c>
      <c r="BU83" s="181" t="n">
        <f aca="false">BN83+BQ83-BR83-BS83+BO83-BP83-BT83</f>
        <v>180854.025389738</v>
      </c>
      <c r="BV83" s="180" t="n">
        <f aca="false">BV82+BO83-BP83</f>
        <v>150000</v>
      </c>
      <c r="BW83" s="180" t="n">
        <f aca="false">BW82+BT83</f>
        <v>0</v>
      </c>
      <c r="BX83" s="180" t="n">
        <f aca="false">BU83+BW83-BV83</f>
        <v>30854.025389738</v>
      </c>
      <c r="BY83" s="180" t="n">
        <f aca="false">MAX(0,IFERROR(INDEX(TAB_IR,MATCH($C83,TAB_IR_DIAS,1),MATCH($F$8,TAB_IR_REGIMES,0)),0)*IF($F$26=2,BU83,MAX(0,BX83))-BW83)</f>
        <v>63298.9088864083</v>
      </c>
      <c r="BZ83" s="181" t="n">
        <f aca="false">MAX(0,BU83-BY83-BU83*$F$25)</f>
        <v>117555.11650333</v>
      </c>
      <c r="CA83" s="180" t="n">
        <f aca="false">BZ83/$D83</f>
        <v>109399.09958234</v>
      </c>
      <c r="CC83" s="180" t="n">
        <f aca="false">CJ82</f>
        <v>170935.047691114</v>
      </c>
      <c r="CD83" s="180" t="n">
        <f aca="false">IF($G$9=0,0,IF($A83&gt;IN_PRAZO,0,IF(APORTE_CORRIGIDO="Sim",IN_APORTE*$D83,IN_APORTE))+IF(AND($G$35=1,PGBL_REINVESTE="Sim",$A83&gt;=13,$A83&lt;=IN_PRAZO,MONTH($B83)=5),PGBL_BENEFICIO,0))</f>
        <v>0</v>
      </c>
      <c r="CE83" s="180" t="n">
        <f aca="false">CD83*$G$24</f>
        <v>0</v>
      </c>
      <c r="CF83" s="180" t="n">
        <f aca="false">CC83*$G$19</f>
        <v>1394.35571986475</v>
      </c>
      <c r="CG83" s="180" t="n">
        <f aca="false">CC83*$G$22</f>
        <v>142.445873075928</v>
      </c>
      <c r="CH83" s="180" t="n">
        <f aca="false">$G$23*MAX(0,CF83-CC83*$G$18)</f>
        <v>0</v>
      </c>
      <c r="CI83" s="180" t="n">
        <f aca="false">IF(AND($G$27=1,OR(MONTH($B83)=5,MONTH($B83)=11)),MAX(0,$G$28*MAX(0,(CC83+CF83-CG83-CH83+CD83-CE83)+CL82-CK83)-CL82),0)</f>
        <v>0</v>
      </c>
      <c r="CJ83" s="181" t="n">
        <f aca="false">CC83+CF83-CG83-CH83+CD83-CE83-CI83</f>
        <v>172186.957537902</v>
      </c>
      <c r="CK83" s="180" t="n">
        <f aca="false">CK82+CD83-CE83</f>
        <v>150000</v>
      </c>
      <c r="CL83" s="180" t="n">
        <f aca="false">CL82+CI83</f>
        <v>3694.42018078474</v>
      </c>
      <c r="CM83" s="180" t="n">
        <f aca="false">CJ83+CL83-CK83</f>
        <v>25881.3777186871</v>
      </c>
      <c r="CN83" s="180" t="n">
        <f aca="false">MAX(0,IFERROR(INDEX(TAB_IR,MATCH($C83,TAB_IR_DIAS,1),MATCH($G$8,TAB_IR_REGIMES,0)),0)*IF($G$26=2,CJ83,MAX(0,CM83))-CL83)</f>
        <v>834.8209199855</v>
      </c>
      <c r="CO83" s="181" t="n">
        <f aca="false">MAX(0,CJ83-CN83-CJ83*$G$25)</f>
        <v>171352.136617917</v>
      </c>
      <c r="CP83" s="180" t="n">
        <f aca="false">CO83/$D83</f>
        <v>159463.662791566</v>
      </c>
    </row>
    <row r="84" customFormat="false" ht="12" hidden="false" customHeight="true" outlineLevel="0" collapsed="false">
      <c r="A84" s="177" t="n">
        <v>23</v>
      </c>
      <c r="B84" s="178" t="n">
        <f aca="false">EDATE(DATA_INICIO,$A84)</f>
        <v>46957</v>
      </c>
      <c r="C84" s="177" t="n">
        <f aca="false">$A84*30</f>
        <v>690</v>
      </c>
      <c r="D84" s="179" t="n">
        <f aca="false">(1+IPCA_CENARIO)^($A84/12)</f>
        <v>1.07807067713624</v>
      </c>
      <c r="F84" s="180" t="n">
        <f aca="false">M83</f>
        <v>183969.880111252</v>
      </c>
      <c r="G84" s="180" t="n">
        <f aca="false">IF($B$9=0,0,IF($A84&gt;IN_PRAZO,0,IF(APORTE_CORRIGIDO="Sim",IN_APORTE*$D84,IN_APORTE))+IF(AND($B$35=1,PGBL_REINVESTE="Sim",$A84&gt;=13,$A84&lt;=IN_PRAZO,MONTH($B84)=5),PGBL_BENEFICIO,0))</f>
        <v>0</v>
      </c>
      <c r="H84" s="180" t="n">
        <f aca="false">G84*$B$24</f>
        <v>0</v>
      </c>
      <c r="I84" s="180" t="n">
        <f aca="false">F84*$B$19</f>
        <v>1745.65209857574</v>
      </c>
      <c r="J84" s="180" t="n">
        <f aca="false">F84*$B$22</f>
        <v>30.6616466852087</v>
      </c>
      <c r="K84" s="180" t="n">
        <f aca="false">$B$23*MAX(0,I84-F84*$B$18)</f>
        <v>0</v>
      </c>
      <c r="L84" s="180" t="n">
        <f aca="false">IF(AND($B$27=1,OR(MONTH($B84)=5,MONTH($B84)=11)),MAX(0,$B$28*MAX(0,(F84+I84-J84-K84+G84-H84)+O83-N84)-O83),0)</f>
        <v>0</v>
      </c>
      <c r="M84" s="181" t="n">
        <f aca="false">F84+I84-J84-K84+G84-H84-L84</f>
        <v>185684.870563143</v>
      </c>
      <c r="N84" s="180" t="n">
        <f aca="false">N83+G84-H84</f>
        <v>150000</v>
      </c>
      <c r="O84" s="180" t="n">
        <f aca="false">O83+L84</f>
        <v>0</v>
      </c>
      <c r="P84" s="180" t="n">
        <f aca="false">M84+O84-N84</f>
        <v>35684.870563143</v>
      </c>
      <c r="Q84" s="180" t="n">
        <f aca="false">MAX(0,IFERROR(INDEX(TAB_IR,MATCH($C84,TAB_IR_DIAS,1),MATCH($B$8,TAB_IR_REGIMES,0)),0)*IF($B$26=2,M84,MAX(0,P84))-O84)</f>
        <v>6244.85234855003</v>
      </c>
      <c r="R84" s="181" t="n">
        <f aca="false">MAX(0,M84-Q84-M84*$B$25)</f>
        <v>179440.018214593</v>
      </c>
      <c r="S84" s="180" t="n">
        <f aca="false">R84/$D84</f>
        <v>166445.504937815</v>
      </c>
      <c r="U84" s="180" t="n">
        <f aca="false">AB83</f>
        <v>178703.67138656</v>
      </c>
      <c r="V84" s="180" t="n">
        <f aca="false">IF($C$9=0,0,IF($A84&gt;IN_PRAZO,0,IF(APORTE_CORRIGIDO="Sim",IN_APORTE*$D84,IN_APORTE))+IF(AND($C$35=1,PGBL_REINVESTE="Sim",$A84&gt;=13,$A84&lt;=IN_PRAZO,MONTH($B84)=5),PGBL_BENEFICIO,0))</f>
        <v>0</v>
      </c>
      <c r="W84" s="180" t="n">
        <f aca="false">V84*$C$24</f>
        <v>0</v>
      </c>
      <c r="X84" s="180" t="n">
        <f aca="false">U84*$C$19</f>
        <v>1457.72613471844</v>
      </c>
      <c r="Y84" s="180" t="n">
        <f aca="false">U84*$C$22</f>
        <v>29.7839452310933</v>
      </c>
      <c r="Z84" s="180" t="n">
        <f aca="false">$C$23*MAX(0,X84-U84*$C$18)</f>
        <v>0</v>
      </c>
      <c r="AA84" s="180" t="n">
        <f aca="false">IF(AND($C$27=1,OR(MONTH($B84)=5,MONTH($B84)=11)),MAX(0,$C$28*MAX(0,(U84+X84-Y84-Z84+V84-W84)+AD83-AC84)-AD83),0)</f>
        <v>0</v>
      </c>
      <c r="AB84" s="181" t="n">
        <f aca="false">U84+X84-Y84-Z84+V84-W84-AA84</f>
        <v>180131.613576047</v>
      </c>
      <c r="AC84" s="180" t="n">
        <f aca="false">AC83+V84-W84</f>
        <v>150000</v>
      </c>
      <c r="AD84" s="180" t="n">
        <f aca="false">AD83+AA84</f>
        <v>0</v>
      </c>
      <c r="AE84" s="180" t="n">
        <f aca="false">AB84+AD84-AC84</f>
        <v>30131.6135760471</v>
      </c>
      <c r="AF84" s="180" t="n">
        <f aca="false">MAX(0,IFERROR(INDEX(TAB_IR,MATCH($C84,TAB_IR_DIAS,1),MATCH($C$8,TAB_IR_REGIMES,0)),0)*IF($C$26=2,AB84,MAX(0,AE84))-AD84)</f>
        <v>5273.03237580824</v>
      </c>
      <c r="AG84" s="181" t="n">
        <f aca="false">MAX(0,AB84-AF84-AB84*$C$25)</f>
        <v>174858.581200239</v>
      </c>
      <c r="AH84" s="180" t="n">
        <f aca="false">AG84/$D84</f>
        <v>162195.841987586</v>
      </c>
      <c r="AJ84" s="180" t="n">
        <f aca="false">AQ83</f>
        <v>174902.2311063</v>
      </c>
      <c r="AK84" s="180" t="n">
        <f aca="false">IF($D$9=0,0,IF($A84&gt;IN_PRAZO,0,IF(APORTE_CORRIGIDO="Sim",IN_APORTE*$D84,IN_APORTE))+IF(AND($D$35=1,PGBL_REINVESTE="Sim",$A84&gt;=13,$A84&lt;=IN_PRAZO,MONTH($B84)=5),PGBL_BENEFICIO,0))</f>
        <v>0</v>
      </c>
      <c r="AL84" s="180" t="n">
        <f aca="false">AK84*$D$24</f>
        <v>0</v>
      </c>
      <c r="AM84" s="180" t="n">
        <f aca="false">AJ84*$D$19</f>
        <v>1572.14316870423</v>
      </c>
      <c r="AN84" s="180" t="n">
        <f aca="false">AJ84*$D$22</f>
        <v>145.75185925525</v>
      </c>
      <c r="AO84" s="180" t="n">
        <f aca="false">$D$23*MAX(0,AM84-AJ84*$D$18)</f>
        <v>0</v>
      </c>
      <c r="AP84" s="180" t="n">
        <f aca="false">IF(AND($D$27=1,OR(MONTH($B84)=5,MONTH($B84)=11)),MAX(0,$D$28*MAX(0,(AJ84+AM84-AN84-AO84+AK84-AL84)+AS83-AR84)-AS83),0)</f>
        <v>0</v>
      </c>
      <c r="AQ84" s="181" t="n">
        <f aca="false">AJ84+AM84-AN84-AO84+AK84-AL84-AP84</f>
        <v>176328.622415749</v>
      </c>
      <c r="AR84" s="180" t="n">
        <f aca="false">AR83+AK84-AL84</f>
        <v>150000</v>
      </c>
      <c r="AS84" s="180" t="n">
        <f aca="false">AS83+AP84</f>
        <v>4144.83148852774</v>
      </c>
      <c r="AT84" s="180" t="n">
        <f aca="false">AQ84+AS84-AR84</f>
        <v>30473.4539042768</v>
      </c>
      <c r="AU84" s="180" t="n">
        <f aca="false">MAX(0,IFERROR(INDEX(TAB_IR,MATCH($C84,TAB_IR_DIAS,1),MATCH($D$8,TAB_IR_REGIMES,0)),0)*IF($D$26=2,AQ84,MAX(0,AT84))-AS84)</f>
        <v>1188.0229447207</v>
      </c>
      <c r="AV84" s="181" t="n">
        <f aca="false">MAX(0,AQ84-AU84-AQ84*$D$25)</f>
        <v>175140.599471028</v>
      </c>
      <c r="AW84" s="180" t="n">
        <f aca="false">AV84/$D84</f>
        <v>162457.437332651</v>
      </c>
      <c r="AY84" s="180" t="n">
        <f aca="false">BF83</f>
        <v>180854.025389738</v>
      </c>
      <c r="AZ84" s="180" t="n">
        <f aca="false">IF($E$9=0,0,IF($A84&gt;IN_PRAZO,0,IF(APORTE_CORRIGIDO="Sim",IN_APORTE*$D84,IN_APORTE))+IF(AND($E$35=1,PGBL_REINVESTE="Sim",$A84&gt;=13,$A84&lt;=IN_PRAZO,MONTH($B84)=5),PGBL_BENEFICIO,0))</f>
        <v>0</v>
      </c>
      <c r="BA84" s="180" t="n">
        <f aca="false">AZ84*$E$24</f>
        <v>0</v>
      </c>
      <c r="BB84" s="180" t="n">
        <f aca="false">AY84*$E$19</f>
        <v>1770.33400010408</v>
      </c>
      <c r="BC84" s="180" t="n">
        <f aca="false">AY84*$E$22</f>
        <v>226.067531737173</v>
      </c>
      <c r="BD84" s="180" t="n">
        <f aca="false">$E$23*MAX(0,BB84-AY84*$E$18)</f>
        <v>0</v>
      </c>
      <c r="BE84" s="180" t="n">
        <f aca="false">IF(AND($E$27=1,OR(MONTH($B84)=5,MONTH($B84)=11)),MAX(0,$E$28*MAX(0,(AY84+BB84-BC84-BD84+AZ84-BA84)+BH83-BG84)-BH83),0)</f>
        <v>0</v>
      </c>
      <c r="BF84" s="181" t="n">
        <f aca="false">AY84+BB84-BC84-BD84+AZ84-BA84-BE84</f>
        <v>182398.291858105</v>
      </c>
      <c r="BG84" s="180" t="n">
        <f aca="false">BG83+AZ84-BA84</f>
        <v>150000</v>
      </c>
      <c r="BH84" s="180" t="n">
        <f aca="false">BH83+BE84</f>
        <v>0</v>
      </c>
      <c r="BI84" s="180" t="n">
        <f aca="false">BF84+BH84-BG84</f>
        <v>32398.2918581049</v>
      </c>
      <c r="BJ84" s="180" t="n">
        <f aca="false">MAX(0,IFERROR(INDEX(TAB_IR,MATCH($C84,TAB_IR_DIAS,1),MATCH($E$8,TAB_IR_REGIMES,0)),0)*IF($E$26=2,BF84,MAX(0,BI84))-BH84)</f>
        <v>11339.4021503367</v>
      </c>
      <c r="BK84" s="181" t="n">
        <f aca="false">MAX(0,BF84-BJ84-BF84*$E$25)</f>
        <v>171058.889707768</v>
      </c>
      <c r="BL84" s="180" t="n">
        <f aca="false">BK84/$D84</f>
        <v>158671.312869918</v>
      </c>
      <c r="BN84" s="180" t="n">
        <f aca="false">BU83</f>
        <v>180854.025389738</v>
      </c>
      <c r="BO84" s="180" t="n">
        <f aca="false">IF($F$9=0,0,IF($A84&gt;IN_PRAZO,0,IF(APORTE_CORRIGIDO="Sim",IN_APORTE*$D84,IN_APORTE))+IF(AND($F$35=1,PGBL_REINVESTE="Sim",$A84&gt;=13,$A84&lt;=IN_PRAZO,MONTH($B84)=5),PGBL_BENEFICIO,0))</f>
        <v>0</v>
      </c>
      <c r="BP84" s="180" t="n">
        <f aca="false">BO84*$F$24</f>
        <v>0</v>
      </c>
      <c r="BQ84" s="180" t="n">
        <f aca="false">BN84*$F$19</f>
        <v>1770.33400010408</v>
      </c>
      <c r="BR84" s="180" t="n">
        <f aca="false">BN84*$F$22</f>
        <v>226.067531737173</v>
      </c>
      <c r="BS84" s="180" t="n">
        <f aca="false">$F$23*MAX(0,BQ84-BN84*$F$18)</f>
        <v>0</v>
      </c>
      <c r="BT84" s="180" t="n">
        <f aca="false">IF(AND($F$27=1,OR(MONTH($B84)=5,MONTH($B84)=11)),MAX(0,$F$28*MAX(0,(BN84+BQ84-BR84-BS84+BO84-BP84)+BW83-BV84)-BW83),0)</f>
        <v>0</v>
      </c>
      <c r="BU84" s="181" t="n">
        <f aca="false">BN84+BQ84-BR84-BS84+BO84-BP84-BT84</f>
        <v>182398.291858105</v>
      </c>
      <c r="BV84" s="180" t="n">
        <f aca="false">BV83+BO84-BP84</f>
        <v>150000</v>
      </c>
      <c r="BW84" s="180" t="n">
        <f aca="false">BW83+BT84</f>
        <v>0</v>
      </c>
      <c r="BX84" s="180" t="n">
        <f aca="false">BU84+BW84-BV84</f>
        <v>32398.2918581049</v>
      </c>
      <c r="BY84" s="180" t="n">
        <f aca="false">MAX(0,IFERROR(INDEX(TAB_IR,MATCH($C84,TAB_IR_DIAS,1),MATCH($F$8,TAB_IR_REGIMES,0)),0)*IF($F$26=2,BU84,MAX(0,BX84))-BW84)</f>
        <v>63839.4021503367</v>
      </c>
      <c r="BZ84" s="181" t="n">
        <f aca="false">MAX(0,BU84-BY84-BU84*$F$25)</f>
        <v>118558.889707768</v>
      </c>
      <c r="CA84" s="180" t="n">
        <f aca="false">BZ84/$D84</f>
        <v>109973.206972576</v>
      </c>
      <c r="CC84" s="180" t="n">
        <f aca="false">CJ83</f>
        <v>172186.957537902</v>
      </c>
      <c r="CD84" s="180" t="n">
        <f aca="false">IF($G$9=0,0,IF($A84&gt;IN_PRAZO,0,IF(APORTE_CORRIGIDO="Sim",IN_APORTE*$D84,IN_APORTE))+IF(AND($G$35=1,PGBL_REINVESTE="Sim",$A84&gt;=13,$A84&lt;=IN_PRAZO,MONTH($B84)=5),PGBL_BENEFICIO,0))</f>
        <v>0</v>
      </c>
      <c r="CE84" s="180" t="n">
        <f aca="false">CD84*$G$24</f>
        <v>0</v>
      </c>
      <c r="CF84" s="180" t="n">
        <f aca="false">CC84*$G$19</f>
        <v>1404.5678307174</v>
      </c>
      <c r="CG84" s="180" t="n">
        <f aca="false">CC84*$G$22</f>
        <v>143.489131281585</v>
      </c>
      <c r="CH84" s="180" t="n">
        <f aca="false">$G$23*MAX(0,CF84-CC84*$G$18)</f>
        <v>0</v>
      </c>
      <c r="CI84" s="180" t="n">
        <f aca="false">IF(AND($G$27=1,OR(MONTH($B84)=5,MONTH($B84)=11)),MAX(0,$G$28*MAX(0,(CC84+CF84-CG84-CH84+CD84-CE84)+CL83-CK84)-CL83),0)</f>
        <v>0</v>
      </c>
      <c r="CJ84" s="181" t="n">
        <f aca="false">CC84+CF84-CG84-CH84+CD84-CE84-CI84</f>
        <v>173448.036237338</v>
      </c>
      <c r="CK84" s="180" t="n">
        <f aca="false">CK83+CD84-CE84</f>
        <v>150000</v>
      </c>
      <c r="CL84" s="180" t="n">
        <f aca="false">CL83+CI84</f>
        <v>3694.42018078474</v>
      </c>
      <c r="CM84" s="180" t="n">
        <f aca="false">CJ84+CL84-CK84</f>
        <v>27142.4564181229</v>
      </c>
      <c r="CN84" s="180" t="n">
        <f aca="false">MAX(0,IFERROR(INDEX(TAB_IR,MATCH($C84,TAB_IR_DIAS,1),MATCH($G$8,TAB_IR_REGIMES,0)),0)*IF($G$26=2,CJ84,MAX(0,CM84))-CL84)</f>
        <v>1055.50969238677</v>
      </c>
      <c r="CO84" s="181" t="n">
        <f aca="false">MAX(0,CJ84-CN84-CJ84*$G$25)</f>
        <v>172392.526544951</v>
      </c>
      <c r="CP84" s="180" t="n">
        <f aca="false">CO84/$D84</f>
        <v>159908.371687551</v>
      </c>
    </row>
    <row r="85" customFormat="false" ht="12" hidden="false" customHeight="true" outlineLevel="0" collapsed="false">
      <c r="A85" s="177" t="n">
        <v>24</v>
      </c>
      <c r="B85" s="178" t="n">
        <f aca="false">EDATE(DATA_INICIO,$A85)</f>
        <v>46988</v>
      </c>
      <c r="C85" s="177" t="n">
        <f aca="false">$A85*30</f>
        <v>720</v>
      </c>
      <c r="D85" s="179" t="n">
        <f aca="false">(1+IPCA_CENARIO)^($A85/12)</f>
        <v>1.0816</v>
      </c>
      <c r="F85" s="180" t="n">
        <f aca="false">M84</f>
        <v>185684.870563143</v>
      </c>
      <c r="G85" s="180" t="n">
        <f aca="false">IF($B$9=0,0,IF($A85&gt;IN_PRAZO,0,IF(APORTE_CORRIGIDO="Sim",IN_APORTE*$D85,IN_APORTE))+IF(AND($B$35=1,PGBL_REINVESTE="Sim",$A85&gt;=13,$A85&lt;=IN_PRAZO,MONTH($B85)=5),PGBL_BENEFICIO,0))</f>
        <v>0</v>
      </c>
      <c r="H85" s="180" t="n">
        <f aca="false">G85*$B$24</f>
        <v>0</v>
      </c>
      <c r="I85" s="180" t="n">
        <f aca="false">F85*$B$19</f>
        <v>1761.92528785852</v>
      </c>
      <c r="J85" s="180" t="n">
        <f aca="false">F85*$B$22</f>
        <v>30.9474784271905</v>
      </c>
      <c r="K85" s="180" t="n">
        <f aca="false">$B$23*MAX(0,I85-F85*$B$18)</f>
        <v>0</v>
      </c>
      <c r="L85" s="180" t="n">
        <f aca="false">IF(AND($B$27=1,OR(MONTH($B85)=5,MONTH($B85)=11)),MAX(0,$B$28*MAX(0,(F85+I85-J85-K85+G85-H85)+O84-N85)-O84),0)</f>
        <v>0</v>
      </c>
      <c r="M85" s="181" t="n">
        <f aca="false">F85+I85-J85-K85+G85-H85-L85</f>
        <v>187415.848372574</v>
      </c>
      <c r="N85" s="180" t="n">
        <f aca="false">N84+G85-H85</f>
        <v>150000</v>
      </c>
      <c r="O85" s="180" t="n">
        <f aca="false">O84+L85</f>
        <v>0</v>
      </c>
      <c r="P85" s="180" t="n">
        <f aca="false">M85+O85-N85</f>
        <v>37415.8483725743</v>
      </c>
      <c r="Q85" s="180" t="n">
        <f aca="false">MAX(0,IFERROR(INDEX(TAB_IR,MATCH($C85,TAB_IR_DIAS,1),MATCH($B$8,TAB_IR_REGIMES,0)),0)*IF($B$26=2,M85,MAX(0,P85))-O85)</f>
        <v>6547.77346520051</v>
      </c>
      <c r="R85" s="181" t="n">
        <f aca="false">MAX(0,M85-Q85-M85*$B$25)</f>
        <v>180868.074907374</v>
      </c>
      <c r="S85" s="180" t="n">
        <f aca="false">R85/$D85</f>
        <v>167222.702392173</v>
      </c>
      <c r="U85" s="180" t="n">
        <f aca="false">AB84</f>
        <v>180131.613576047</v>
      </c>
      <c r="V85" s="180" t="n">
        <f aca="false">IF($C$9=0,0,IF($A85&gt;IN_PRAZO,0,IF(APORTE_CORRIGIDO="Sim",IN_APORTE*$D85,IN_APORTE))+IF(AND($C$35=1,PGBL_REINVESTE="Sim",$A85&gt;=13,$A85&lt;=IN_PRAZO,MONTH($B85)=5),PGBL_BENEFICIO,0))</f>
        <v>0</v>
      </c>
      <c r="W85" s="180" t="n">
        <f aca="false">V85*$C$24</f>
        <v>0</v>
      </c>
      <c r="X85" s="180" t="n">
        <f aca="false">U85*$C$19</f>
        <v>1469.37418107548</v>
      </c>
      <c r="Y85" s="180" t="n">
        <f aca="false">U85*$C$22</f>
        <v>30.0219355960078</v>
      </c>
      <c r="Z85" s="180" t="n">
        <f aca="false">$C$23*MAX(0,X85-U85*$C$18)</f>
        <v>0</v>
      </c>
      <c r="AA85" s="180" t="n">
        <f aca="false">IF(AND($C$27=1,OR(MONTH($B85)=5,MONTH($B85)=11)),MAX(0,$C$28*MAX(0,(U85+X85-Y85-Z85+V85-W85)+AD84-AC85)-AD84),0)</f>
        <v>0</v>
      </c>
      <c r="AB85" s="181" t="n">
        <f aca="false">U85+X85-Y85-Z85+V85-W85-AA85</f>
        <v>181570.965821527</v>
      </c>
      <c r="AC85" s="180" t="n">
        <f aca="false">AC84+V85-W85</f>
        <v>150000</v>
      </c>
      <c r="AD85" s="180" t="n">
        <f aca="false">AD84+AA85</f>
        <v>0</v>
      </c>
      <c r="AE85" s="180" t="n">
        <f aca="false">AB85+AD85-AC85</f>
        <v>31570.9658215265</v>
      </c>
      <c r="AF85" s="180" t="n">
        <f aca="false">MAX(0,IFERROR(INDEX(TAB_IR,MATCH($C85,TAB_IR_DIAS,1),MATCH($C$8,TAB_IR_REGIMES,0)),0)*IF($C$26=2,AB85,MAX(0,AE85))-AD85)</f>
        <v>5524.91901876714</v>
      </c>
      <c r="AG85" s="181" t="n">
        <f aca="false">MAX(0,AB85-AF85-AB85*$C$25)</f>
        <v>176046.046802759</v>
      </c>
      <c r="AH85" s="180" t="n">
        <f aca="false">AG85/$D85</f>
        <v>162764.466348705</v>
      </c>
      <c r="AJ85" s="180" t="n">
        <f aca="false">AQ84</f>
        <v>176328.622415749</v>
      </c>
      <c r="AK85" s="180" t="n">
        <f aca="false">IF($D$9=0,0,IF($A85&gt;IN_PRAZO,0,IF(APORTE_CORRIGIDO="Sim",IN_APORTE*$D85,IN_APORTE))+IF(AND($D$35=1,PGBL_REINVESTE="Sim",$A85&gt;=13,$A85&lt;=IN_PRAZO,MONTH($B85)=5),PGBL_BENEFICIO,0))</f>
        <v>0</v>
      </c>
      <c r="AL85" s="180" t="n">
        <f aca="false">AK85*$D$24</f>
        <v>0</v>
      </c>
      <c r="AM85" s="180" t="n">
        <f aca="false">AJ85*$D$19</f>
        <v>1584.96456805897</v>
      </c>
      <c r="AN85" s="180" t="n">
        <f aca="false">AJ85*$D$22</f>
        <v>146.940518679791</v>
      </c>
      <c r="AO85" s="180" t="n">
        <f aca="false">$D$23*MAX(0,AM85-AJ85*$D$18)</f>
        <v>0</v>
      </c>
      <c r="AP85" s="180" t="n">
        <f aca="false">IF(AND($D$27=1,OR(MONTH($B85)=5,MONTH($B85)=11)),MAX(0,$D$28*MAX(0,(AJ85+AM85-AN85-AO85+AK85-AL85)+AS84-AR85)-AS84),0)</f>
        <v>0</v>
      </c>
      <c r="AQ85" s="181" t="n">
        <f aca="false">AJ85+AM85-AN85-AO85+AK85-AL85-AP85</f>
        <v>177766.646465128</v>
      </c>
      <c r="AR85" s="180" t="n">
        <f aca="false">AR84+AK85-AL85</f>
        <v>150000</v>
      </c>
      <c r="AS85" s="180" t="n">
        <f aca="false">AS84+AP85</f>
        <v>4144.83148852774</v>
      </c>
      <c r="AT85" s="180" t="n">
        <f aca="false">AQ85+AS85-AR85</f>
        <v>31911.477953656</v>
      </c>
      <c r="AU85" s="180" t="n">
        <f aca="false">MAX(0,IFERROR(INDEX(TAB_IR,MATCH($C85,TAB_IR_DIAS,1),MATCH($D$8,TAB_IR_REGIMES,0)),0)*IF($D$26=2,AQ85,MAX(0,AT85))-AS85)</f>
        <v>1439.67715336206</v>
      </c>
      <c r="AV85" s="181" t="n">
        <f aca="false">MAX(0,AQ85-AU85-AQ85*$D$25)</f>
        <v>176326.969311766</v>
      </c>
      <c r="AW85" s="180" t="n">
        <f aca="false">AV85/$D85</f>
        <v>163024.194999784</v>
      </c>
      <c r="AY85" s="180" t="n">
        <f aca="false">BF84</f>
        <v>182398.291858105</v>
      </c>
      <c r="AZ85" s="180" t="n">
        <f aca="false">IF($E$9=0,0,IF($A85&gt;IN_PRAZO,0,IF(APORTE_CORRIGIDO="Sim",IN_APORTE*$D85,IN_APORTE))+IF(AND($E$35=1,PGBL_REINVESTE="Sim",$A85&gt;=13,$A85&lt;=IN_PRAZO,MONTH($B85)=5),PGBL_BENEFICIO,0))</f>
        <v>0</v>
      </c>
      <c r="BA85" s="180" t="n">
        <f aca="false">AZ85*$E$24</f>
        <v>0</v>
      </c>
      <c r="BB85" s="180" t="n">
        <f aca="false">AY85*$E$19</f>
        <v>1785.45043131582</v>
      </c>
      <c r="BC85" s="180" t="n">
        <f aca="false">AY85*$E$22</f>
        <v>227.997864822631</v>
      </c>
      <c r="BD85" s="180" t="n">
        <f aca="false">$E$23*MAX(0,BB85-AY85*$E$18)</f>
        <v>0</v>
      </c>
      <c r="BE85" s="180" t="n">
        <f aca="false">IF(AND($E$27=1,OR(MONTH($B85)=5,MONTH($B85)=11)),MAX(0,$E$28*MAX(0,(AY85+BB85-BC85-BD85+AZ85-BA85)+BH84-BG85)-BH84),0)</f>
        <v>0</v>
      </c>
      <c r="BF85" s="181" t="n">
        <f aca="false">AY85+BB85-BC85-BD85+AZ85-BA85-BE85</f>
        <v>183955.744424598</v>
      </c>
      <c r="BG85" s="180" t="n">
        <f aca="false">BG84+AZ85-BA85</f>
        <v>150000</v>
      </c>
      <c r="BH85" s="180" t="n">
        <f aca="false">BH84+BE85</f>
        <v>0</v>
      </c>
      <c r="BI85" s="180" t="n">
        <f aca="false">BF85+BH85-BG85</f>
        <v>33955.7444245981</v>
      </c>
      <c r="BJ85" s="180" t="n">
        <f aca="false">MAX(0,IFERROR(INDEX(TAB_IR,MATCH($C85,TAB_IR_DIAS,1),MATCH($E$8,TAB_IR_REGIMES,0)),0)*IF($E$26=2,BF85,MAX(0,BI85))-BH85)</f>
        <v>11884.5105486093</v>
      </c>
      <c r="BK85" s="181" t="n">
        <f aca="false">MAX(0,BF85-BJ85-BF85*$E$25)</f>
        <v>172071.233875989</v>
      </c>
      <c r="BL85" s="180" t="n">
        <f aca="false">BK85/$D85</f>
        <v>159089.528361676</v>
      </c>
      <c r="BN85" s="180" t="n">
        <f aca="false">BU84</f>
        <v>182398.291858105</v>
      </c>
      <c r="BO85" s="180" t="n">
        <f aca="false">IF($F$9=0,0,IF($A85&gt;IN_PRAZO,0,IF(APORTE_CORRIGIDO="Sim",IN_APORTE*$D85,IN_APORTE))+IF(AND($F$35=1,PGBL_REINVESTE="Sim",$A85&gt;=13,$A85&lt;=IN_PRAZO,MONTH($B85)=5),PGBL_BENEFICIO,0))</f>
        <v>0</v>
      </c>
      <c r="BP85" s="180" t="n">
        <f aca="false">BO85*$F$24</f>
        <v>0</v>
      </c>
      <c r="BQ85" s="180" t="n">
        <f aca="false">BN85*$F$19</f>
        <v>1785.45043131582</v>
      </c>
      <c r="BR85" s="180" t="n">
        <f aca="false">BN85*$F$22</f>
        <v>227.997864822631</v>
      </c>
      <c r="BS85" s="180" t="n">
        <f aca="false">$F$23*MAX(0,BQ85-BN85*$F$18)</f>
        <v>0</v>
      </c>
      <c r="BT85" s="180" t="n">
        <f aca="false">IF(AND($F$27=1,OR(MONTH($B85)=5,MONTH($B85)=11)),MAX(0,$F$28*MAX(0,(BN85+BQ85-BR85-BS85+BO85-BP85)+BW84-BV85)-BW84),0)</f>
        <v>0</v>
      </c>
      <c r="BU85" s="181" t="n">
        <f aca="false">BN85+BQ85-BR85-BS85+BO85-BP85-BT85</f>
        <v>183955.744424598</v>
      </c>
      <c r="BV85" s="180" t="n">
        <f aca="false">BV84+BO85-BP85</f>
        <v>150000</v>
      </c>
      <c r="BW85" s="180" t="n">
        <f aca="false">BW84+BT85</f>
        <v>0</v>
      </c>
      <c r="BX85" s="180" t="n">
        <f aca="false">BU85+BW85-BV85</f>
        <v>33955.7444245981</v>
      </c>
      <c r="BY85" s="180" t="n">
        <f aca="false">MAX(0,IFERROR(INDEX(TAB_IR,MATCH($C85,TAB_IR_DIAS,1),MATCH($F$8,TAB_IR_REGIMES,0)),0)*IF($F$26=2,BU85,MAX(0,BX85))-BW85)</f>
        <v>64384.5105486093</v>
      </c>
      <c r="BZ85" s="181" t="n">
        <f aca="false">MAX(0,BU85-BY85-BU85*$F$25)</f>
        <v>119571.233875989</v>
      </c>
      <c r="CA85" s="180" t="n">
        <f aca="false">BZ85/$D85</f>
        <v>110550.327178244</v>
      </c>
      <c r="CC85" s="180" t="n">
        <f aca="false">CJ84</f>
        <v>173448.036237338</v>
      </c>
      <c r="CD85" s="180" t="n">
        <f aca="false">IF($G$9=0,0,IF($A85&gt;IN_PRAZO,0,IF(APORTE_CORRIGIDO="Sim",IN_APORTE*$D85,IN_APORTE))+IF(AND($G$35=1,PGBL_REINVESTE="Sim",$A85&gt;=13,$A85&lt;=IN_PRAZO,MONTH($B85)=5),PGBL_BENEFICIO,0))</f>
        <v>0</v>
      </c>
      <c r="CE85" s="180" t="n">
        <f aca="false">CD85*$G$24</f>
        <v>0</v>
      </c>
      <c r="CF85" s="180" t="n">
        <f aca="false">CC85*$G$19</f>
        <v>1414.85473396813</v>
      </c>
      <c r="CG85" s="180" t="n">
        <f aca="false">CC85*$G$22</f>
        <v>144.540030197782</v>
      </c>
      <c r="CH85" s="180" t="n">
        <f aca="false">$G$23*MAX(0,CF85-CC85*$G$18)</f>
        <v>0</v>
      </c>
      <c r="CI85" s="180" t="n">
        <f aca="false">IF(AND($G$27=1,OR(MONTH($B85)=5,MONTH($B85)=11)),MAX(0,$G$28*MAX(0,(CC85+CF85-CG85-CH85+CD85-CE85)+CL84-CK85)-CL84),0)</f>
        <v>0</v>
      </c>
      <c r="CJ85" s="181" t="n">
        <f aca="false">CC85+CF85-CG85-CH85+CD85-CE85-CI85</f>
        <v>174718.350941108</v>
      </c>
      <c r="CK85" s="180" t="n">
        <f aca="false">CK84+CD85-CE85</f>
        <v>150000</v>
      </c>
      <c r="CL85" s="180" t="n">
        <f aca="false">CL84+CI85</f>
        <v>3694.42018078474</v>
      </c>
      <c r="CM85" s="180" t="n">
        <f aca="false">CJ85+CL85-CK85</f>
        <v>28412.7711218932</v>
      </c>
      <c r="CN85" s="180" t="n">
        <f aca="false">MAX(0,IFERROR(INDEX(TAB_IR,MATCH($C85,TAB_IR_DIAS,1),MATCH($G$8,TAB_IR_REGIMES,0)),0)*IF($G$26=2,CJ85,MAX(0,CM85))-CL85)</f>
        <v>1277.81476554657</v>
      </c>
      <c r="CO85" s="181" t="n">
        <f aca="false">MAX(0,CJ85-CN85-CJ85*$G$25)</f>
        <v>173440.536175562</v>
      </c>
      <c r="CP85" s="180" t="n">
        <f aca="false">CO85/$D85</f>
        <v>160355.525310246</v>
      </c>
    </row>
    <row r="86" customFormat="false" ht="12" hidden="false" customHeight="true" outlineLevel="0" collapsed="false">
      <c r="A86" s="177" t="n">
        <v>25</v>
      </c>
      <c r="B86" s="178" t="n">
        <f aca="false">EDATE(DATA_INICIO,$A86)</f>
        <v>47019</v>
      </c>
      <c r="C86" s="177" t="n">
        <f aca="false">$A86*30</f>
        <v>750</v>
      </c>
      <c r="D86" s="179" t="n">
        <f aca="false">(1+IPCA_CENARIO)^($A86/12)</f>
        <v>1.08514087694843</v>
      </c>
      <c r="F86" s="180" t="n">
        <f aca="false">M85</f>
        <v>187415.848372574</v>
      </c>
      <c r="G86" s="180" t="n">
        <f aca="false">IF($B$9=0,0,IF($A86&gt;IN_PRAZO,0,IF(APORTE_CORRIGIDO="Sim",IN_APORTE*$D86,IN_APORTE))+IF(AND($B$35=1,PGBL_REINVESTE="Sim",$A86&gt;=13,$A86&lt;=IN_PRAZO,MONTH($B86)=5),PGBL_BENEFICIO,0))</f>
        <v>0</v>
      </c>
      <c r="H86" s="180" t="n">
        <f aca="false">G86*$B$24</f>
        <v>0</v>
      </c>
      <c r="I86" s="180" t="n">
        <f aca="false">F86*$B$19</f>
        <v>1778.35017786657</v>
      </c>
      <c r="J86" s="180" t="n">
        <f aca="false">F86*$B$22</f>
        <v>31.2359747287624</v>
      </c>
      <c r="K86" s="180" t="n">
        <f aca="false">$B$23*MAX(0,I86-F86*$B$18)</f>
        <v>0</v>
      </c>
      <c r="L86" s="180" t="n">
        <f aca="false">IF(AND($B$27=1,OR(MONTH($B86)=5,MONTH($B86)=11)),MAX(0,$B$28*MAX(0,(F86+I86-J86-K86+G86-H86)+O85-N86)-O85),0)</f>
        <v>0</v>
      </c>
      <c r="M86" s="181" t="n">
        <f aca="false">F86+I86-J86-K86+G86-H86-L86</f>
        <v>189162.962575712</v>
      </c>
      <c r="N86" s="180" t="n">
        <f aca="false">N85+G86-H86</f>
        <v>150000</v>
      </c>
      <c r="O86" s="180" t="n">
        <f aca="false">O85+L86</f>
        <v>0</v>
      </c>
      <c r="P86" s="180" t="n">
        <f aca="false">M86+O86-N86</f>
        <v>39162.9625757122</v>
      </c>
      <c r="Q86" s="180" t="n">
        <f aca="false">MAX(0,IFERROR(INDEX(TAB_IR,MATCH($C86,TAB_IR_DIAS,1),MATCH($B$8,TAB_IR_REGIMES,0)),0)*IF($B$26=2,M86,MAX(0,P86))-O86)</f>
        <v>5874.44438635682</v>
      </c>
      <c r="R86" s="181" t="n">
        <f aca="false">MAX(0,M86-Q86-M86*$B$25)</f>
        <v>183288.518189355</v>
      </c>
      <c r="S86" s="180" t="n">
        <f aca="false">R86/$D86</f>
        <v>168907.578806532</v>
      </c>
      <c r="U86" s="180" t="n">
        <f aca="false">AB85</f>
        <v>181570.965821527</v>
      </c>
      <c r="V86" s="180" t="n">
        <f aca="false">IF($C$9=0,0,IF($A86&gt;IN_PRAZO,0,IF(APORTE_CORRIGIDO="Sim",IN_APORTE*$D86,IN_APORTE))+IF(AND($C$35=1,PGBL_REINVESTE="Sim",$A86&gt;=13,$A86&lt;=IN_PRAZO,MONTH($B86)=5),PGBL_BENEFICIO,0))</f>
        <v>0</v>
      </c>
      <c r="W86" s="180" t="n">
        <f aca="false">V86*$C$24</f>
        <v>0</v>
      </c>
      <c r="X86" s="180" t="n">
        <f aca="false">U86*$C$19</f>
        <v>1481.11530183154</v>
      </c>
      <c r="Y86" s="180" t="n">
        <f aca="false">U86*$C$22</f>
        <v>30.2618276369211</v>
      </c>
      <c r="Z86" s="180" t="n">
        <f aca="false">$C$23*MAX(0,X86-U86*$C$18)</f>
        <v>0</v>
      </c>
      <c r="AA86" s="180" t="n">
        <f aca="false">IF(AND($C$27=1,OR(MONTH($B86)=5,MONTH($B86)=11)),MAX(0,$C$28*MAX(0,(U86+X86-Y86-Z86+V86-W86)+AD85-AC86)-AD85),0)</f>
        <v>0</v>
      </c>
      <c r="AB86" s="181" t="n">
        <f aca="false">U86+X86-Y86-Z86+V86-W86-AA86</f>
        <v>183021.819295721</v>
      </c>
      <c r="AC86" s="180" t="n">
        <f aca="false">AC85+V86-W86</f>
        <v>150000</v>
      </c>
      <c r="AD86" s="180" t="n">
        <f aca="false">AD85+AA86</f>
        <v>0</v>
      </c>
      <c r="AE86" s="180" t="n">
        <f aca="false">AB86+AD86-AC86</f>
        <v>33021.8192957212</v>
      </c>
      <c r="AF86" s="180" t="n">
        <f aca="false">MAX(0,IFERROR(INDEX(TAB_IR,MATCH($C86,TAB_IR_DIAS,1),MATCH($C$8,TAB_IR_REGIMES,0)),0)*IF($C$26=2,AB86,MAX(0,AE86))-AD86)</f>
        <v>4953.27289435817</v>
      </c>
      <c r="AG86" s="181" t="n">
        <f aca="false">MAX(0,AB86-AF86-AB86*$C$25)</f>
        <v>178068.546401363</v>
      </c>
      <c r="AH86" s="180" t="n">
        <f aca="false">AG86/$D86</f>
        <v>164097.169486526</v>
      </c>
      <c r="AJ86" s="180" t="n">
        <f aca="false">AQ85</f>
        <v>177766.646465128</v>
      </c>
      <c r="AK86" s="180" t="n">
        <f aca="false">IF($D$9=0,0,IF($A86&gt;IN_PRAZO,0,IF(APORTE_CORRIGIDO="Sim",IN_APORTE*$D86,IN_APORTE))+IF(AND($D$35=1,PGBL_REINVESTE="Sim",$A86&gt;=13,$A86&lt;=IN_PRAZO,MONTH($B86)=5),PGBL_BENEFICIO,0))</f>
        <v>0</v>
      </c>
      <c r="AL86" s="180" t="n">
        <f aca="false">AK86*$D$24</f>
        <v>0</v>
      </c>
      <c r="AM86" s="180" t="n">
        <f aca="false">AJ86*$D$19</f>
        <v>1597.8905305888</v>
      </c>
      <c r="AN86" s="180" t="n">
        <f aca="false">AJ86*$D$22</f>
        <v>148.138872054274</v>
      </c>
      <c r="AO86" s="180" t="n">
        <f aca="false">$D$23*MAX(0,AM86-AJ86*$D$18)</f>
        <v>0</v>
      </c>
      <c r="AP86" s="180" t="n">
        <f aca="false">IF(AND($D$27=1,OR(MONTH($B86)=5,MONTH($B86)=11)),MAX(0,$D$28*MAX(0,(AJ86+AM86-AN86-AO86+AK86-AL86)+AS85-AR86)-AS85),0)</f>
        <v>0</v>
      </c>
      <c r="AQ86" s="181" t="n">
        <f aca="false">AJ86+AM86-AN86-AO86+AK86-AL86-AP86</f>
        <v>179216.398123663</v>
      </c>
      <c r="AR86" s="180" t="n">
        <f aca="false">AR85+AK86-AL86</f>
        <v>150000</v>
      </c>
      <c r="AS86" s="180" t="n">
        <f aca="false">AS85+AP86</f>
        <v>4144.83148852774</v>
      </c>
      <c r="AT86" s="180" t="n">
        <f aca="false">AQ86+AS86-AR86</f>
        <v>33361.2296121905</v>
      </c>
      <c r="AU86" s="180" t="n">
        <f aca="false">MAX(0,IFERROR(INDEX(TAB_IR,MATCH($C86,TAB_IR_DIAS,1),MATCH($D$8,TAB_IR_REGIMES,0)),0)*IF($D$26=2,AQ86,MAX(0,AT86))-AS86)</f>
        <v>859.352953300841</v>
      </c>
      <c r="AV86" s="181" t="n">
        <f aca="false">MAX(0,AQ86-AU86-AQ86*$D$25)</f>
        <v>178357.045170362</v>
      </c>
      <c r="AW86" s="180" t="n">
        <f aca="false">AV86/$D86</f>
        <v>164363.032449692</v>
      </c>
      <c r="AY86" s="180" t="n">
        <f aca="false">BF85</f>
        <v>183955.744424598</v>
      </c>
      <c r="AZ86" s="180" t="n">
        <f aca="false">IF($E$9=0,0,IF($A86&gt;IN_PRAZO,0,IF(APORTE_CORRIGIDO="Sim",IN_APORTE*$D86,IN_APORTE))+IF(AND($E$35=1,PGBL_REINVESTE="Sim",$A86&gt;=13,$A86&lt;=IN_PRAZO,MONTH($B86)=5),PGBL_BENEFICIO,0))</f>
        <v>0</v>
      </c>
      <c r="BA86" s="180" t="n">
        <f aca="false">AZ86*$E$24</f>
        <v>0</v>
      </c>
      <c r="BB86" s="180" t="n">
        <f aca="false">AY86*$E$19</f>
        <v>1800.69593788428</v>
      </c>
      <c r="BC86" s="180" t="n">
        <f aca="false">AY86*$E$22</f>
        <v>229.944680530748</v>
      </c>
      <c r="BD86" s="180" t="n">
        <f aca="false">$E$23*MAX(0,BB86-AY86*$E$18)</f>
        <v>0</v>
      </c>
      <c r="BE86" s="180" t="n">
        <f aca="false">IF(AND($E$27=1,OR(MONTH($B86)=5,MONTH($B86)=11)),MAX(0,$E$28*MAX(0,(AY86+BB86-BC86-BD86+AZ86-BA86)+BH85-BG86)-BH85),0)</f>
        <v>0</v>
      </c>
      <c r="BF86" s="181" t="n">
        <f aca="false">AY86+BB86-BC86-BD86+AZ86-BA86-BE86</f>
        <v>185526.495681952</v>
      </c>
      <c r="BG86" s="180" t="n">
        <f aca="false">BG85+AZ86-BA86</f>
        <v>150000</v>
      </c>
      <c r="BH86" s="180" t="n">
        <f aca="false">BH85+BE86</f>
        <v>0</v>
      </c>
      <c r="BI86" s="180" t="n">
        <f aca="false">BF86+BH86-BG86</f>
        <v>35526.4956819516</v>
      </c>
      <c r="BJ86" s="180" t="n">
        <f aca="false">MAX(0,IFERROR(INDEX(TAB_IR,MATCH($C86,TAB_IR_DIAS,1),MATCH($E$8,TAB_IR_REGIMES,0)),0)*IF($E$26=2,BF86,MAX(0,BI86))-BH86)</f>
        <v>10657.9487045855</v>
      </c>
      <c r="BK86" s="181" t="n">
        <f aca="false">MAX(0,BF86-BJ86-BF86*$E$25)</f>
        <v>174868.546977366</v>
      </c>
      <c r="BL86" s="180" t="n">
        <f aca="false">BK86/$D86</f>
        <v>161148.2441516</v>
      </c>
      <c r="BN86" s="180" t="n">
        <f aca="false">BU85</f>
        <v>183955.744424598</v>
      </c>
      <c r="BO86" s="180" t="n">
        <f aca="false">IF($F$9=0,0,IF($A86&gt;IN_PRAZO,0,IF(APORTE_CORRIGIDO="Sim",IN_APORTE*$D86,IN_APORTE))+IF(AND($F$35=1,PGBL_REINVESTE="Sim",$A86&gt;=13,$A86&lt;=IN_PRAZO,MONTH($B86)=5),PGBL_BENEFICIO,0))</f>
        <v>0</v>
      </c>
      <c r="BP86" s="180" t="n">
        <f aca="false">BO86*$F$24</f>
        <v>0</v>
      </c>
      <c r="BQ86" s="180" t="n">
        <f aca="false">BN86*$F$19</f>
        <v>1800.69593788428</v>
      </c>
      <c r="BR86" s="180" t="n">
        <f aca="false">BN86*$F$22</f>
        <v>229.944680530748</v>
      </c>
      <c r="BS86" s="180" t="n">
        <f aca="false">$F$23*MAX(0,BQ86-BN86*$F$18)</f>
        <v>0</v>
      </c>
      <c r="BT86" s="180" t="n">
        <f aca="false">IF(AND($F$27=1,OR(MONTH($B86)=5,MONTH($B86)=11)),MAX(0,$F$28*MAX(0,(BN86+BQ86-BR86-BS86+BO86-BP86)+BW85-BV86)-BW85),0)</f>
        <v>0</v>
      </c>
      <c r="BU86" s="181" t="n">
        <f aca="false">BN86+BQ86-BR86-BS86+BO86-BP86-BT86</f>
        <v>185526.495681952</v>
      </c>
      <c r="BV86" s="180" t="n">
        <f aca="false">BV85+BO86-BP86</f>
        <v>150000</v>
      </c>
      <c r="BW86" s="180" t="n">
        <f aca="false">BW85+BT86</f>
        <v>0</v>
      </c>
      <c r="BX86" s="180" t="n">
        <f aca="false">BU86+BW86-BV86</f>
        <v>35526.4956819516</v>
      </c>
      <c r="BY86" s="180" t="n">
        <f aca="false">MAX(0,IFERROR(INDEX(TAB_IR,MATCH($C86,TAB_IR_DIAS,1),MATCH($F$8,TAB_IR_REGIMES,0)),0)*IF($F$26=2,BU86,MAX(0,BX86))-BW86)</f>
        <v>55657.9487045855</v>
      </c>
      <c r="BZ86" s="181" t="n">
        <f aca="false">MAX(0,BU86-BY86-BU86*$F$25)</f>
        <v>129868.546977366</v>
      </c>
      <c r="CA86" s="180" t="n">
        <f aca="false">BZ86/$D86</f>
        <v>119678.974164696</v>
      </c>
      <c r="CC86" s="180" t="n">
        <f aca="false">CJ85</f>
        <v>174718.350941108</v>
      </c>
      <c r="CD86" s="180" t="n">
        <f aca="false">IF($G$9=0,0,IF($A86&gt;IN_PRAZO,0,IF(APORTE_CORRIGIDO="Sim",IN_APORTE*$D86,IN_APORTE))+IF(AND($G$35=1,PGBL_REINVESTE="Sim",$A86&gt;=13,$A86&lt;=IN_PRAZO,MONTH($B86)=5),PGBL_BENEFICIO,0))</f>
        <v>0</v>
      </c>
      <c r="CE86" s="180" t="n">
        <f aca="false">CD86*$G$24</f>
        <v>0</v>
      </c>
      <c r="CF86" s="180" t="n">
        <f aca="false">CC86*$G$19</f>
        <v>1425.2169773884</v>
      </c>
      <c r="CG86" s="180" t="n">
        <f aca="false">CC86*$G$22</f>
        <v>145.598625784257</v>
      </c>
      <c r="CH86" s="180" t="n">
        <f aca="false">$G$23*MAX(0,CF86-CC86*$G$18)</f>
        <v>0</v>
      </c>
      <c r="CI86" s="180" t="n">
        <f aca="false">IF(AND($G$27=1,OR(MONTH($B86)=5,MONTH($B86)=11)),MAX(0,$G$28*MAX(0,(CC86+CF86-CG86-CH86+CD86-CE86)+CL85-CK86)-CL85),0)</f>
        <v>0</v>
      </c>
      <c r="CJ86" s="181" t="n">
        <f aca="false">CC86+CF86-CG86-CH86+CD86-CE86-CI86</f>
        <v>175997.969292713</v>
      </c>
      <c r="CK86" s="180" t="n">
        <f aca="false">CK85+CD86-CE86</f>
        <v>150000</v>
      </c>
      <c r="CL86" s="180" t="n">
        <f aca="false">CL85+CI86</f>
        <v>3694.42018078474</v>
      </c>
      <c r="CM86" s="180" t="n">
        <f aca="false">CJ86+CL86-CK86</f>
        <v>29692.3894734973</v>
      </c>
      <c r="CN86" s="180" t="n">
        <f aca="false">MAX(0,IFERROR(INDEX(TAB_IR,MATCH($C86,TAB_IR_DIAS,1),MATCH($G$8,TAB_IR_REGIMES,0)),0)*IF($G$26=2,CJ86,MAX(0,CM86))-CL86)</f>
        <v>759.438240239867</v>
      </c>
      <c r="CO86" s="181" t="n">
        <f aca="false">MAX(0,CJ86-CN86-CJ86*$G$25)</f>
        <v>175238.531052473</v>
      </c>
      <c r="CP86" s="180" t="n">
        <f aca="false">CO86/$D86</f>
        <v>161489.19902941</v>
      </c>
    </row>
    <row r="87" customFormat="false" ht="12" hidden="false" customHeight="true" outlineLevel="0" collapsed="false">
      <c r="A87" s="177" t="n">
        <v>26</v>
      </c>
      <c r="B87" s="178" t="n">
        <f aca="false">EDATE(DATA_INICIO,$A87)</f>
        <v>47049</v>
      </c>
      <c r="C87" s="177" t="n">
        <f aca="false">$A87*30</f>
        <v>780</v>
      </c>
      <c r="D87" s="179" t="n">
        <f aca="false">(1+IPCA_CENARIO)^($A87/12)</f>
        <v>1.08869334580658</v>
      </c>
      <c r="F87" s="180" t="n">
        <f aca="false">M86</f>
        <v>189162.962575712</v>
      </c>
      <c r="G87" s="180" t="n">
        <f aca="false">IF($B$9=0,0,IF($A87&gt;IN_PRAZO,0,IF(APORTE_CORRIGIDO="Sim",IN_APORTE*$D87,IN_APORTE))+IF(AND($B$35=1,PGBL_REINVESTE="Sim",$A87&gt;=13,$A87&lt;=IN_PRAZO,MONTH($B87)=5),PGBL_BENEFICIO,0))</f>
        <v>0</v>
      </c>
      <c r="H87" s="180" t="n">
        <f aca="false">G87*$B$24</f>
        <v>0</v>
      </c>
      <c r="I87" s="180" t="n">
        <f aca="false">F87*$B$19</f>
        <v>1794.92818277321</v>
      </c>
      <c r="J87" s="180" t="n">
        <f aca="false">F87*$B$22</f>
        <v>31.5271604292854</v>
      </c>
      <c r="K87" s="180" t="n">
        <f aca="false">$B$23*MAX(0,I87-F87*$B$18)</f>
        <v>0</v>
      </c>
      <c r="L87" s="180" t="n">
        <f aca="false">IF(AND($B$27=1,OR(MONTH($B87)=5,MONTH($B87)=11)),MAX(0,$B$28*MAX(0,(F87+I87-J87-K87+G87-H87)+O86-N87)-O86),0)</f>
        <v>0</v>
      </c>
      <c r="M87" s="181" t="n">
        <f aca="false">F87+I87-J87-K87+G87-H87-L87</f>
        <v>190926.363598056</v>
      </c>
      <c r="N87" s="180" t="n">
        <f aca="false">N86+G87-H87</f>
        <v>150000</v>
      </c>
      <c r="O87" s="180" t="n">
        <f aca="false">O86+L87</f>
        <v>0</v>
      </c>
      <c r="P87" s="180" t="n">
        <f aca="false">M87+O87-N87</f>
        <v>40926.3635980561</v>
      </c>
      <c r="Q87" s="180" t="n">
        <f aca="false">MAX(0,IFERROR(INDEX(TAB_IR,MATCH($C87,TAB_IR_DIAS,1),MATCH($B$8,TAB_IR_REGIMES,0)),0)*IF($B$26=2,M87,MAX(0,P87))-O87)</f>
        <v>6138.95453970841</v>
      </c>
      <c r="R87" s="181" t="n">
        <f aca="false">MAX(0,M87-Q87-M87*$B$25)</f>
        <v>184787.409058348</v>
      </c>
      <c r="S87" s="180" t="n">
        <f aca="false">R87/$D87</f>
        <v>169733.203358053</v>
      </c>
      <c r="U87" s="180" t="n">
        <f aca="false">AB86</f>
        <v>183021.819295721</v>
      </c>
      <c r="V87" s="180" t="n">
        <f aca="false">IF($C$9=0,0,IF($A87&gt;IN_PRAZO,0,IF(APORTE_CORRIGIDO="Sim",IN_APORTE*$D87,IN_APORTE))+IF(AND($C$35=1,PGBL_REINVESTE="Sim",$A87&gt;=13,$A87&lt;=IN_PRAZO,MONTH($B87)=5),PGBL_BENEFICIO,0))</f>
        <v>0</v>
      </c>
      <c r="W87" s="180" t="n">
        <f aca="false">V87*$C$24</f>
        <v>0</v>
      </c>
      <c r="X87" s="180" t="n">
        <f aca="false">U87*$C$19</f>
        <v>1492.95024070308</v>
      </c>
      <c r="Y87" s="180" t="n">
        <f aca="false">U87*$C$22</f>
        <v>30.5036365492869</v>
      </c>
      <c r="Z87" s="180" t="n">
        <f aca="false">$C$23*MAX(0,X87-U87*$C$18)</f>
        <v>0</v>
      </c>
      <c r="AA87" s="180" t="n">
        <f aca="false">IF(AND($C$27=1,OR(MONTH($B87)=5,MONTH($B87)=11)),MAX(0,$C$28*MAX(0,(U87+X87-Y87-Z87+V87-W87)+AD86-AC87)-AD86),0)</f>
        <v>0</v>
      </c>
      <c r="AB87" s="181" t="n">
        <f aca="false">U87+X87-Y87-Z87+V87-W87-AA87</f>
        <v>184484.265899875</v>
      </c>
      <c r="AC87" s="180" t="n">
        <f aca="false">AC86+V87-W87</f>
        <v>150000</v>
      </c>
      <c r="AD87" s="180" t="n">
        <f aca="false">AD86+AA87</f>
        <v>0</v>
      </c>
      <c r="AE87" s="180" t="n">
        <f aca="false">AB87+AD87-AC87</f>
        <v>34484.265899875</v>
      </c>
      <c r="AF87" s="180" t="n">
        <f aca="false">MAX(0,IFERROR(INDEX(TAB_IR,MATCH($C87,TAB_IR_DIAS,1),MATCH($C$8,TAB_IR_REGIMES,0)),0)*IF($C$26=2,AB87,MAX(0,AE87))-AD87)</f>
        <v>5172.63988498125</v>
      </c>
      <c r="AG87" s="181" t="n">
        <f aca="false">MAX(0,AB87-AF87-AB87*$C$25)</f>
        <v>179311.626014894</v>
      </c>
      <c r="AH87" s="180" t="n">
        <f aca="false">AG87/$D87</f>
        <v>164703.519779527</v>
      </c>
      <c r="AJ87" s="180" t="n">
        <f aca="false">AQ86</f>
        <v>179216.398123663</v>
      </c>
      <c r="AK87" s="180" t="n">
        <f aca="false">IF($D$9=0,0,IF($A87&gt;IN_PRAZO,0,IF(APORTE_CORRIGIDO="Sim",IN_APORTE*$D87,IN_APORTE))+IF(AND($D$35=1,PGBL_REINVESTE="Sim",$A87&gt;=13,$A87&lt;=IN_PRAZO,MONTH($B87)=5),PGBL_BENEFICIO,0))</f>
        <v>0</v>
      </c>
      <c r="AL87" s="180" t="n">
        <f aca="false">AK87*$D$24</f>
        <v>0</v>
      </c>
      <c r="AM87" s="180" t="n">
        <f aca="false">AJ87*$D$19</f>
        <v>1610.92190904444</v>
      </c>
      <c r="AN87" s="180" t="n">
        <f aca="false">AJ87*$D$22</f>
        <v>149.346998436386</v>
      </c>
      <c r="AO87" s="180" t="n">
        <f aca="false">$D$23*MAX(0,AM87-AJ87*$D$18)</f>
        <v>0</v>
      </c>
      <c r="AP87" s="180" t="n">
        <f aca="false">IF(AND($D$27=1,OR(MONTH($B87)=5,MONTH($B87)=11)),MAX(0,$D$28*MAX(0,(AJ87+AM87-AN87-AO87+AK87-AL87)+AS86-AR87)-AS86),0)</f>
        <v>0</v>
      </c>
      <c r="AQ87" s="181" t="n">
        <f aca="false">AJ87+AM87-AN87-AO87+AK87-AL87-AP87</f>
        <v>180677.973034271</v>
      </c>
      <c r="AR87" s="180" t="n">
        <f aca="false">AR86+AK87-AL87</f>
        <v>150000</v>
      </c>
      <c r="AS87" s="180" t="n">
        <f aca="false">AS86+AP87</f>
        <v>4144.83148852774</v>
      </c>
      <c r="AT87" s="180" t="n">
        <f aca="false">AQ87+AS87-AR87</f>
        <v>34822.8045227986</v>
      </c>
      <c r="AU87" s="180" t="n">
        <f aca="false">MAX(0,IFERROR(INDEX(TAB_IR,MATCH($C87,TAB_IR_DIAS,1),MATCH($D$8,TAB_IR_REGIMES,0)),0)*IF($D$26=2,AQ87,MAX(0,AT87))-AS87)</f>
        <v>1078.58918989205</v>
      </c>
      <c r="AV87" s="181" t="n">
        <f aca="false">MAX(0,AQ87-AU87-AQ87*$D$25)</f>
        <v>179599.383844379</v>
      </c>
      <c r="AW87" s="180" t="n">
        <f aca="false">AV87/$D87</f>
        <v>164967.834639715</v>
      </c>
      <c r="AY87" s="180" t="n">
        <f aca="false">BF86</f>
        <v>185526.495681952</v>
      </c>
      <c r="AZ87" s="180" t="n">
        <f aca="false">IF($E$9=0,0,IF($A87&gt;IN_PRAZO,0,IF(APORTE_CORRIGIDO="Sim",IN_APORTE*$D87,IN_APORTE))+IF(AND($E$35=1,PGBL_REINVESTE="Sim",$A87&gt;=13,$A87&lt;=IN_PRAZO,MONTH($B87)=5),PGBL_BENEFICIO,0))</f>
        <v>0</v>
      </c>
      <c r="BA87" s="180" t="n">
        <f aca="false">AZ87*$E$24</f>
        <v>0</v>
      </c>
      <c r="BB87" s="180" t="n">
        <f aca="false">AY87*$E$19</f>
        <v>1816.07162195107</v>
      </c>
      <c r="BC87" s="180" t="n">
        <f aca="false">AY87*$E$22</f>
        <v>231.90811960244</v>
      </c>
      <c r="BD87" s="180" t="n">
        <f aca="false">$E$23*MAX(0,BB87-AY87*$E$18)</f>
        <v>0</v>
      </c>
      <c r="BE87" s="180" t="n">
        <f aca="false">IF(AND($E$27=1,OR(MONTH($B87)=5,MONTH($B87)=11)),MAX(0,$E$28*MAX(0,(AY87+BB87-BC87-BD87+AZ87-BA87)+BH86-BG87)-BH86),0)</f>
        <v>0</v>
      </c>
      <c r="BF87" s="181" t="n">
        <f aca="false">AY87+BB87-BC87-BD87+AZ87-BA87-BE87</f>
        <v>187110.6591843</v>
      </c>
      <c r="BG87" s="180" t="n">
        <f aca="false">BG86+AZ87-BA87</f>
        <v>150000</v>
      </c>
      <c r="BH87" s="180" t="n">
        <f aca="false">BH86+BE87</f>
        <v>0</v>
      </c>
      <c r="BI87" s="180" t="n">
        <f aca="false">BF87+BH87-BG87</f>
        <v>37110.6591843003</v>
      </c>
      <c r="BJ87" s="180" t="n">
        <f aca="false">MAX(0,IFERROR(INDEX(TAB_IR,MATCH($C87,TAB_IR_DIAS,1),MATCH($E$8,TAB_IR_REGIMES,0)),0)*IF($E$26=2,BF87,MAX(0,BI87))-BH87)</f>
        <v>11133.1977552901</v>
      </c>
      <c r="BK87" s="181" t="n">
        <f aca="false">MAX(0,BF87-BJ87-BF87*$E$25)</f>
        <v>175977.46142901</v>
      </c>
      <c r="BL87" s="180" t="n">
        <f aca="false">BK87/$D87</f>
        <v>161640.981922814</v>
      </c>
      <c r="BN87" s="180" t="n">
        <f aca="false">BU86</f>
        <v>185526.495681952</v>
      </c>
      <c r="BO87" s="180" t="n">
        <f aca="false">IF($F$9=0,0,IF($A87&gt;IN_PRAZO,0,IF(APORTE_CORRIGIDO="Sim",IN_APORTE*$D87,IN_APORTE))+IF(AND($F$35=1,PGBL_REINVESTE="Sim",$A87&gt;=13,$A87&lt;=IN_PRAZO,MONTH($B87)=5),PGBL_BENEFICIO,0))</f>
        <v>0</v>
      </c>
      <c r="BP87" s="180" t="n">
        <f aca="false">BO87*$F$24</f>
        <v>0</v>
      </c>
      <c r="BQ87" s="180" t="n">
        <f aca="false">BN87*$F$19</f>
        <v>1816.07162195107</v>
      </c>
      <c r="BR87" s="180" t="n">
        <f aca="false">BN87*$F$22</f>
        <v>231.90811960244</v>
      </c>
      <c r="BS87" s="180" t="n">
        <f aca="false">$F$23*MAX(0,BQ87-BN87*$F$18)</f>
        <v>0</v>
      </c>
      <c r="BT87" s="180" t="n">
        <f aca="false">IF(AND($F$27=1,OR(MONTH($B87)=5,MONTH($B87)=11)),MAX(0,$F$28*MAX(0,(BN87+BQ87-BR87-BS87+BO87-BP87)+BW86-BV87)-BW86),0)</f>
        <v>0</v>
      </c>
      <c r="BU87" s="181" t="n">
        <f aca="false">BN87+BQ87-BR87-BS87+BO87-BP87-BT87</f>
        <v>187110.6591843</v>
      </c>
      <c r="BV87" s="180" t="n">
        <f aca="false">BV86+BO87-BP87</f>
        <v>150000</v>
      </c>
      <c r="BW87" s="180" t="n">
        <f aca="false">BW86+BT87</f>
        <v>0</v>
      </c>
      <c r="BX87" s="180" t="n">
        <f aca="false">BU87+BW87-BV87</f>
        <v>37110.6591843003</v>
      </c>
      <c r="BY87" s="180" t="n">
        <f aca="false">MAX(0,IFERROR(INDEX(TAB_IR,MATCH($C87,TAB_IR_DIAS,1),MATCH($F$8,TAB_IR_REGIMES,0)),0)*IF($F$26=2,BU87,MAX(0,BX87))-BW87)</f>
        <v>56133.1977552901</v>
      </c>
      <c r="BZ87" s="181" t="n">
        <f aca="false">MAX(0,BU87-BY87-BU87*$F$25)</f>
        <v>130977.46142901</v>
      </c>
      <c r="CA87" s="180" t="n">
        <f aca="false">BZ87/$D87</f>
        <v>120307.028543444</v>
      </c>
      <c r="CC87" s="180" t="n">
        <f aca="false">CJ86</f>
        <v>175997.969292713</v>
      </c>
      <c r="CD87" s="180" t="n">
        <f aca="false">IF($G$9=0,0,IF($A87&gt;IN_PRAZO,0,IF(APORTE_CORRIGIDO="Sim",IN_APORTE*$D87,IN_APORTE))+IF(AND($G$35=1,PGBL_REINVESTE="Sim",$A87&gt;=13,$A87&lt;=IN_PRAZO,MONTH($B87)=5),PGBL_BENEFICIO,0))</f>
        <v>0</v>
      </c>
      <c r="CE87" s="180" t="n">
        <f aca="false">CD87*$G$24</f>
        <v>0</v>
      </c>
      <c r="CF87" s="180" t="n">
        <f aca="false">CC87*$G$19</f>
        <v>1435.65511276148</v>
      </c>
      <c r="CG87" s="180" t="n">
        <f aca="false">CC87*$G$22</f>
        <v>146.664974410594</v>
      </c>
      <c r="CH87" s="180" t="n">
        <f aca="false">$G$23*MAX(0,CF87-CC87*$G$18)</f>
        <v>0</v>
      </c>
      <c r="CI87" s="180" t="n">
        <f aca="false">IF(AND($G$27=1,OR(MONTH($B87)=5,MONTH($B87)=11)),MAX(0,$G$28*MAX(0,(CC87+CF87-CG87-CH87+CD87-CE87)+CL86-CK87)-CL86),0)</f>
        <v>0</v>
      </c>
      <c r="CJ87" s="181" t="n">
        <f aca="false">CC87+CF87-CG87-CH87+CD87-CE87-CI87</f>
        <v>177286.959431064</v>
      </c>
      <c r="CK87" s="180" t="n">
        <f aca="false">CK86+CD87-CE87</f>
        <v>150000</v>
      </c>
      <c r="CL87" s="180" t="n">
        <f aca="false">CL86+CI87</f>
        <v>3694.42018078474</v>
      </c>
      <c r="CM87" s="180" t="n">
        <f aca="false">CJ87+CL87-CK87</f>
        <v>30981.3796118482</v>
      </c>
      <c r="CN87" s="180" t="n">
        <f aca="false">MAX(0,IFERROR(INDEX(TAB_IR,MATCH($C87,TAB_IR_DIAS,1),MATCH($G$8,TAB_IR_REGIMES,0)),0)*IF($G$26=2,CJ87,MAX(0,CM87))-CL87)</f>
        <v>952.786760992502</v>
      </c>
      <c r="CO87" s="181" t="n">
        <f aca="false">MAX(0,CJ87-CN87-CJ87*$G$25)</f>
        <v>176334.172670071</v>
      </c>
      <c r="CP87" s="180" t="n">
        <f aca="false">CO87/$D87</f>
        <v>161968.632718546</v>
      </c>
    </row>
    <row r="88" customFormat="false" ht="12" hidden="false" customHeight="true" outlineLevel="0" collapsed="false">
      <c r="A88" s="177" t="n">
        <v>27</v>
      </c>
      <c r="B88" s="178" t="n">
        <f aca="false">EDATE(DATA_INICIO,$A88)</f>
        <v>47080</v>
      </c>
      <c r="C88" s="177" t="n">
        <f aca="false">$A88*30</f>
        <v>810</v>
      </c>
      <c r="D88" s="179" t="n">
        <f aca="false">(1+IPCA_CENARIO)^($A88/12)</f>
        <v>1.09225744452336</v>
      </c>
      <c r="F88" s="180" t="n">
        <f aca="false">M87</f>
        <v>190926.363598056</v>
      </c>
      <c r="G88" s="180" t="n">
        <f aca="false">IF($B$9=0,0,IF($A88&gt;IN_PRAZO,0,IF(APORTE_CORRIGIDO="Sim",IN_APORTE*$D88,IN_APORTE))+IF(AND($B$35=1,PGBL_REINVESTE="Sim",$A88&gt;=13,$A88&lt;=IN_PRAZO,MONTH($B88)=5),PGBL_BENEFICIO,0))</f>
        <v>0</v>
      </c>
      <c r="H88" s="180" t="n">
        <f aca="false">G88*$B$24</f>
        <v>0</v>
      </c>
      <c r="I88" s="180" t="n">
        <f aca="false">F88*$B$19</f>
        <v>1811.66072993487</v>
      </c>
      <c r="J88" s="180" t="n">
        <f aca="false">F88*$B$22</f>
        <v>31.821060599676</v>
      </c>
      <c r="K88" s="180" t="n">
        <f aca="false">$B$23*MAX(0,I88-F88*$B$18)</f>
        <v>0</v>
      </c>
      <c r="L88" s="180" t="n">
        <f aca="false">IF(AND($B$27=1,OR(MONTH($B88)=5,MONTH($B88)=11)),MAX(0,$B$28*MAX(0,(F88+I88-J88-K88+G88-H88)+O87-N88)-O87),0)</f>
        <v>0</v>
      </c>
      <c r="M88" s="181" t="n">
        <f aca="false">F88+I88-J88-K88+G88-H88-L88</f>
        <v>192706.203267391</v>
      </c>
      <c r="N88" s="180" t="n">
        <f aca="false">N87+G88-H88</f>
        <v>150000</v>
      </c>
      <c r="O88" s="180" t="n">
        <f aca="false">O87+L88</f>
        <v>0</v>
      </c>
      <c r="P88" s="180" t="n">
        <f aca="false">M88+O88-N88</f>
        <v>42706.2032673913</v>
      </c>
      <c r="Q88" s="180" t="n">
        <f aca="false">MAX(0,IFERROR(INDEX(TAB_IR,MATCH($C88,TAB_IR_DIAS,1),MATCH($B$8,TAB_IR_REGIMES,0)),0)*IF($B$26=2,M88,MAX(0,P88))-O88)</f>
        <v>6405.93049010869</v>
      </c>
      <c r="R88" s="181" t="n">
        <f aca="false">MAX(0,M88-Q88-M88*$B$25)</f>
        <v>186300.272777283</v>
      </c>
      <c r="S88" s="180" t="n">
        <f aca="false">R88/$D88</f>
        <v>170564.433972414</v>
      </c>
      <c r="U88" s="180" t="n">
        <f aca="false">AB87</f>
        <v>184484.265899875</v>
      </c>
      <c r="V88" s="180" t="n">
        <f aca="false">IF($C$9=0,0,IF($A88&gt;IN_PRAZO,0,IF(APORTE_CORRIGIDO="Sim",IN_APORTE*$D88,IN_APORTE))+IF(AND($C$35=1,PGBL_REINVESTE="Sim",$A88&gt;=13,$A88&lt;=IN_PRAZO,MONTH($B88)=5),PGBL_BENEFICIO,0))</f>
        <v>0</v>
      </c>
      <c r="W88" s="180" t="n">
        <f aca="false">V88*$C$24</f>
        <v>0</v>
      </c>
      <c r="X88" s="180" t="n">
        <f aca="false">U88*$C$19</f>
        <v>1504.87974734928</v>
      </c>
      <c r="Y88" s="180" t="n">
        <f aca="false">U88*$C$22</f>
        <v>30.7473776499792</v>
      </c>
      <c r="Z88" s="180" t="n">
        <f aca="false">$C$23*MAX(0,X88-U88*$C$18)</f>
        <v>0</v>
      </c>
      <c r="AA88" s="180" t="n">
        <f aca="false">IF(AND($C$27=1,OR(MONTH($B88)=5,MONTH($B88)=11)),MAX(0,$C$28*MAX(0,(U88+X88-Y88-Z88+V88-W88)+AD87-AC88)-AD87),0)</f>
        <v>0</v>
      </c>
      <c r="AB88" s="181" t="n">
        <f aca="false">U88+X88-Y88-Z88+V88-W88-AA88</f>
        <v>185958.398269574</v>
      </c>
      <c r="AC88" s="180" t="n">
        <f aca="false">AC87+V88-W88</f>
        <v>150000</v>
      </c>
      <c r="AD88" s="180" t="n">
        <f aca="false">AD87+AA88</f>
        <v>0</v>
      </c>
      <c r="AE88" s="180" t="n">
        <f aca="false">AB88+AD88-AC88</f>
        <v>35958.3982695743</v>
      </c>
      <c r="AF88" s="180" t="n">
        <f aca="false">MAX(0,IFERROR(INDEX(TAB_IR,MATCH($C88,TAB_IR_DIAS,1),MATCH($C$8,TAB_IR_REGIMES,0)),0)*IF($C$26=2,AB88,MAX(0,AE88))-AD88)</f>
        <v>5393.75974043614</v>
      </c>
      <c r="AG88" s="181" t="n">
        <f aca="false">MAX(0,AB88-AF88-AB88*$C$25)</f>
        <v>180564.638529138</v>
      </c>
      <c r="AH88" s="180" t="n">
        <f aca="false">AG88/$D88</f>
        <v>165313.25964817</v>
      </c>
      <c r="AJ88" s="180" t="n">
        <f aca="false">AQ87</f>
        <v>180677.973034271</v>
      </c>
      <c r="AK88" s="180" t="n">
        <f aca="false">IF($D$9=0,0,IF($A88&gt;IN_PRAZO,0,IF(APORTE_CORRIGIDO="Sim",IN_APORTE*$D88,IN_APORTE))+IF(AND($D$35=1,PGBL_REINVESTE="Sim",$A88&gt;=13,$A88&lt;=IN_PRAZO,MONTH($B88)=5),PGBL_BENEFICIO,0))</f>
        <v>0</v>
      </c>
      <c r="AL88" s="180" t="n">
        <f aca="false">AK88*$D$24</f>
        <v>0</v>
      </c>
      <c r="AM88" s="180" t="n">
        <f aca="false">AJ88*$D$19</f>
        <v>1624.05956313112</v>
      </c>
      <c r="AN88" s="180" t="n">
        <f aca="false">AJ88*$D$22</f>
        <v>150.564977528559</v>
      </c>
      <c r="AO88" s="180" t="n">
        <f aca="false">$D$23*MAX(0,AM88-AJ88*$D$18)</f>
        <v>0</v>
      </c>
      <c r="AP88" s="180" t="n">
        <f aca="false">IF(AND($D$27=1,OR(MONTH($B88)=5,MONTH($B88)=11)),MAX(0,$D$28*MAX(0,(AJ88+AM88-AN88-AO88+AK88-AL88)+AS87-AR88)-AS87),0)</f>
        <v>1299.61337773244</v>
      </c>
      <c r="AQ88" s="181" t="n">
        <f aca="false">AJ88+AM88-AN88-AO88+AK88-AL88-AP88</f>
        <v>180851.854242141</v>
      </c>
      <c r="AR88" s="180" t="n">
        <f aca="false">AR87+AK88-AL88</f>
        <v>150000</v>
      </c>
      <c r="AS88" s="180" t="n">
        <f aca="false">AS87+AP88</f>
        <v>5444.44486626017</v>
      </c>
      <c r="AT88" s="180" t="n">
        <f aca="false">AQ88+AS88-AR88</f>
        <v>36296.2991084011</v>
      </c>
      <c r="AU88" s="180" t="n">
        <f aca="false">MAX(0,IFERROR(INDEX(TAB_IR,MATCH($C88,TAB_IR_DIAS,1),MATCH($D$8,TAB_IR_REGIMES,0)),0)*IF($D$26=2,AQ88,MAX(0,AT88))-AS88)</f>
        <v>0</v>
      </c>
      <c r="AV88" s="181" t="n">
        <f aca="false">MAX(0,AQ88-AU88-AQ88*$D$25)</f>
        <v>180851.854242141</v>
      </c>
      <c r="AW88" s="180" t="n">
        <f aca="false">AV88/$D88</f>
        <v>165576.21570715</v>
      </c>
      <c r="AY88" s="180" t="n">
        <f aca="false">BF87</f>
        <v>187110.6591843</v>
      </c>
      <c r="AZ88" s="180" t="n">
        <f aca="false">IF($E$9=0,0,IF($A88&gt;IN_PRAZO,0,IF(APORTE_CORRIGIDO="Sim",IN_APORTE*$D88,IN_APORTE))+IF(AND($E$35=1,PGBL_REINVESTE="Sim",$A88&gt;=13,$A88&lt;=IN_PRAZO,MONTH($B88)=5),PGBL_BENEFICIO,0))</f>
        <v>0</v>
      </c>
      <c r="BA88" s="180" t="n">
        <f aca="false">AZ88*$E$24</f>
        <v>0</v>
      </c>
      <c r="BB88" s="180" t="n">
        <f aca="false">AY88*$E$19</f>
        <v>1831.57859506869</v>
      </c>
      <c r="BC88" s="180" t="n">
        <f aca="false">AY88*$E$22</f>
        <v>233.888323980375</v>
      </c>
      <c r="BD88" s="180" t="n">
        <f aca="false">$E$23*MAX(0,BB88-AY88*$E$18)</f>
        <v>0</v>
      </c>
      <c r="BE88" s="180" t="n">
        <f aca="false">IF(AND($E$27=1,OR(MONTH($B88)=5,MONTH($B88)=11)),MAX(0,$E$28*MAX(0,(AY88+BB88-BC88-BD88+AZ88-BA88)+BH87-BG88)-BH87),0)</f>
        <v>0</v>
      </c>
      <c r="BF88" s="181" t="n">
        <f aca="false">AY88+BB88-BC88-BD88+AZ88-BA88-BE88</f>
        <v>188708.349455389</v>
      </c>
      <c r="BG88" s="180" t="n">
        <f aca="false">BG87+AZ88-BA88</f>
        <v>150000</v>
      </c>
      <c r="BH88" s="180" t="n">
        <f aca="false">BH87+BE88</f>
        <v>0</v>
      </c>
      <c r="BI88" s="180" t="n">
        <f aca="false">BF88+BH88-BG88</f>
        <v>38708.3494553886</v>
      </c>
      <c r="BJ88" s="180" t="n">
        <f aca="false">MAX(0,IFERROR(INDEX(TAB_IR,MATCH($C88,TAB_IR_DIAS,1),MATCH($E$8,TAB_IR_REGIMES,0)),0)*IF($E$26=2,BF88,MAX(0,BI88))-BH88)</f>
        <v>11612.5048366166</v>
      </c>
      <c r="BK88" s="181" t="n">
        <f aca="false">MAX(0,BF88-BJ88-BF88*$E$25)</f>
        <v>177095.844618772</v>
      </c>
      <c r="BL88" s="180" t="n">
        <f aca="false">BK88/$D88</f>
        <v>162137.457159701</v>
      </c>
      <c r="BN88" s="180" t="n">
        <f aca="false">BU87</f>
        <v>187110.6591843</v>
      </c>
      <c r="BO88" s="180" t="n">
        <f aca="false">IF($F$9=0,0,IF($A88&gt;IN_PRAZO,0,IF(APORTE_CORRIGIDO="Sim",IN_APORTE*$D88,IN_APORTE))+IF(AND($F$35=1,PGBL_REINVESTE="Sim",$A88&gt;=13,$A88&lt;=IN_PRAZO,MONTH($B88)=5),PGBL_BENEFICIO,0))</f>
        <v>0</v>
      </c>
      <c r="BP88" s="180" t="n">
        <f aca="false">BO88*$F$24</f>
        <v>0</v>
      </c>
      <c r="BQ88" s="180" t="n">
        <f aca="false">BN88*$F$19</f>
        <v>1831.57859506869</v>
      </c>
      <c r="BR88" s="180" t="n">
        <f aca="false">BN88*$F$22</f>
        <v>233.888323980375</v>
      </c>
      <c r="BS88" s="180" t="n">
        <f aca="false">$F$23*MAX(0,BQ88-BN88*$F$18)</f>
        <v>0</v>
      </c>
      <c r="BT88" s="180" t="n">
        <f aca="false">IF(AND($F$27=1,OR(MONTH($B88)=5,MONTH($B88)=11)),MAX(0,$F$28*MAX(0,(BN88+BQ88-BR88-BS88+BO88-BP88)+BW87-BV88)-BW87),0)</f>
        <v>0</v>
      </c>
      <c r="BU88" s="181" t="n">
        <f aca="false">BN88+BQ88-BR88-BS88+BO88-BP88-BT88</f>
        <v>188708.349455389</v>
      </c>
      <c r="BV88" s="180" t="n">
        <f aca="false">BV87+BO88-BP88</f>
        <v>150000</v>
      </c>
      <c r="BW88" s="180" t="n">
        <f aca="false">BW87+BT88</f>
        <v>0</v>
      </c>
      <c r="BX88" s="180" t="n">
        <f aca="false">BU88+BW88-BV88</f>
        <v>38708.3494553886</v>
      </c>
      <c r="BY88" s="180" t="n">
        <f aca="false">MAX(0,IFERROR(INDEX(TAB_IR,MATCH($C88,TAB_IR_DIAS,1),MATCH($F$8,TAB_IR_REGIMES,0)),0)*IF($F$26=2,BU88,MAX(0,BX88))-BW88)</f>
        <v>56612.5048366166</v>
      </c>
      <c r="BZ88" s="181" t="n">
        <f aca="false">MAX(0,BU88-BY88-BU88*$F$25)</f>
        <v>132095.844618772</v>
      </c>
      <c r="CA88" s="180" t="n">
        <f aca="false">BZ88/$D88</f>
        <v>120938.37884201</v>
      </c>
      <c r="CC88" s="180" t="n">
        <f aca="false">CJ87</f>
        <v>177286.959431064</v>
      </c>
      <c r="CD88" s="180" t="n">
        <f aca="false">IF($G$9=0,0,IF($A88&gt;IN_PRAZO,0,IF(APORTE_CORRIGIDO="Sim",IN_APORTE*$D88,IN_APORTE))+IF(AND($G$35=1,PGBL_REINVESTE="Sim",$A88&gt;=13,$A88&lt;=IN_PRAZO,MONTH($B88)=5),PGBL_BENEFICIO,0))</f>
        <v>0</v>
      </c>
      <c r="CE88" s="180" t="n">
        <f aca="false">CD88*$G$24</f>
        <v>0</v>
      </c>
      <c r="CF88" s="180" t="n">
        <f aca="false">CC88*$G$19</f>
        <v>1446.16969591184</v>
      </c>
      <c r="CG88" s="180" t="n">
        <f aca="false">CC88*$G$22</f>
        <v>147.73913285922</v>
      </c>
      <c r="CH88" s="180" t="n">
        <f aca="false">$G$23*MAX(0,CF88-CC88*$G$18)</f>
        <v>0</v>
      </c>
      <c r="CI88" s="180" t="n">
        <f aca="false">IF(AND($G$27=1,OR(MONTH($B88)=5,MONTH($B88)=11)),MAX(0,$G$28*MAX(0,(CC88+CF88-CG88-CH88+CD88-CE88)+CL87-CK88)-CL87),0)</f>
        <v>1147.55134545039</v>
      </c>
      <c r="CJ88" s="181" t="n">
        <f aca="false">CC88+CF88-CG88-CH88+CD88-CE88-CI88</f>
        <v>177437.838648666</v>
      </c>
      <c r="CK88" s="180" t="n">
        <f aca="false">CK87+CD88-CE88</f>
        <v>150000</v>
      </c>
      <c r="CL88" s="180" t="n">
        <f aca="false">CL87+CI88</f>
        <v>4841.97152623513</v>
      </c>
      <c r="CM88" s="180" t="n">
        <f aca="false">CJ88+CL88-CK88</f>
        <v>32279.8101749009</v>
      </c>
      <c r="CN88" s="180" t="n">
        <f aca="false">MAX(0,IFERROR(INDEX(TAB_IR,MATCH($C88,TAB_IR_DIAS,1),MATCH($G$8,TAB_IR_REGIMES,0)),0)*IF($G$26=2,CJ88,MAX(0,CM88))-CL88)</f>
        <v>0</v>
      </c>
      <c r="CO88" s="181" t="n">
        <f aca="false">MAX(0,CJ88-CN88-CJ88*$G$25)</f>
        <v>177437.838648666</v>
      </c>
      <c r="CP88" s="180" t="n">
        <f aca="false">CO88/$D88</f>
        <v>162450.564689074</v>
      </c>
    </row>
    <row r="89" customFormat="false" ht="12" hidden="false" customHeight="true" outlineLevel="0" collapsed="false">
      <c r="A89" s="177" t="n">
        <v>28</v>
      </c>
      <c r="B89" s="178" t="n">
        <f aca="false">EDATE(DATA_INICIO,$A89)</f>
        <v>47110</v>
      </c>
      <c r="C89" s="177" t="n">
        <f aca="false">$A89*30</f>
        <v>840</v>
      </c>
      <c r="D89" s="179" t="n">
        <f aca="false">(1+IPCA_CENARIO)^($A89/12)</f>
        <v>1.0958332111719</v>
      </c>
      <c r="F89" s="180" t="n">
        <f aca="false">M88</f>
        <v>192706.203267391</v>
      </c>
      <c r="G89" s="180" t="n">
        <f aca="false">IF($B$9=0,0,IF($A89&gt;IN_PRAZO,0,IF(APORTE_CORRIGIDO="Sim",IN_APORTE*$D89,IN_APORTE))+IF(AND($B$35=1,PGBL_REINVESTE="Sim",$A89&gt;=13,$A89&lt;=IN_PRAZO,MONTH($B89)=5),PGBL_BENEFICIO,0))</f>
        <v>0</v>
      </c>
      <c r="H89" s="180" t="n">
        <f aca="false">G89*$B$24</f>
        <v>0</v>
      </c>
      <c r="I89" s="180" t="n">
        <f aca="false">F89*$B$19</f>
        <v>1828.54926001395</v>
      </c>
      <c r="J89" s="180" t="n">
        <f aca="false">F89*$B$22</f>
        <v>32.1177005445652</v>
      </c>
      <c r="K89" s="180" t="n">
        <f aca="false">$B$23*MAX(0,I89-F89*$B$18)</f>
        <v>0</v>
      </c>
      <c r="L89" s="180" t="n">
        <f aca="false">IF(AND($B$27=1,OR(MONTH($B89)=5,MONTH($B89)=11)),MAX(0,$B$28*MAX(0,(F89+I89-J89-K89+G89-H89)+O88-N89)-O88),0)</f>
        <v>0</v>
      </c>
      <c r="M89" s="181" t="n">
        <f aca="false">F89+I89-J89-K89+G89-H89-L89</f>
        <v>194502.634826861</v>
      </c>
      <c r="N89" s="180" t="n">
        <f aca="false">N88+G89-H89</f>
        <v>150000</v>
      </c>
      <c r="O89" s="180" t="n">
        <f aca="false">O88+L89</f>
        <v>0</v>
      </c>
      <c r="P89" s="180" t="n">
        <f aca="false">M89+O89-N89</f>
        <v>44502.6348268607</v>
      </c>
      <c r="Q89" s="180" t="n">
        <f aca="false">MAX(0,IFERROR(INDEX(TAB_IR,MATCH($C89,TAB_IR_DIAS,1),MATCH($B$8,TAB_IR_REGIMES,0)),0)*IF($B$26=2,M89,MAX(0,P89))-O89)</f>
        <v>6675.3952240291</v>
      </c>
      <c r="R89" s="181" t="n">
        <f aca="false">MAX(0,M89-Q89-M89*$B$25)</f>
        <v>187827.239602832</v>
      </c>
      <c r="S89" s="180" t="n">
        <f aca="false">R89/$D89</f>
        <v>171401.302395248</v>
      </c>
      <c r="U89" s="180" t="n">
        <f aca="false">AB88</f>
        <v>185958.398269574</v>
      </c>
      <c r="V89" s="180" t="n">
        <f aca="false">IF($C$9=0,0,IF($A89&gt;IN_PRAZO,0,IF(APORTE_CORRIGIDO="Sim",IN_APORTE*$D89,IN_APORTE))+IF(AND($C$35=1,PGBL_REINVESTE="Sim",$A89&gt;=13,$A89&lt;=IN_PRAZO,MONTH($B89)=5),PGBL_BENEFICIO,0))</f>
        <v>0</v>
      </c>
      <c r="W89" s="180" t="n">
        <f aca="false">V89*$C$24</f>
        <v>0</v>
      </c>
      <c r="X89" s="180" t="n">
        <f aca="false">U89*$C$19</f>
        <v>1516.90457741948</v>
      </c>
      <c r="Y89" s="180" t="n">
        <f aca="false">U89*$C$22</f>
        <v>30.9930663782624</v>
      </c>
      <c r="Z89" s="180" t="n">
        <f aca="false">$C$23*MAX(0,X89-U89*$C$18)</f>
        <v>0</v>
      </c>
      <c r="AA89" s="180" t="n">
        <f aca="false">IF(AND($C$27=1,OR(MONTH($B89)=5,MONTH($B89)=11)),MAX(0,$C$28*MAX(0,(U89+X89-Y89-Z89+V89-W89)+AD88-AC89)-AD88),0)</f>
        <v>0</v>
      </c>
      <c r="AB89" s="181" t="n">
        <f aca="false">U89+X89-Y89-Z89+V89-W89-AA89</f>
        <v>187444.309780616</v>
      </c>
      <c r="AC89" s="180" t="n">
        <f aca="false">AC88+V89-W89</f>
        <v>150000</v>
      </c>
      <c r="AD89" s="180" t="n">
        <f aca="false">AD88+AA89</f>
        <v>0</v>
      </c>
      <c r="AE89" s="180" t="n">
        <f aca="false">AB89+AD89-AC89</f>
        <v>37444.3097806155</v>
      </c>
      <c r="AF89" s="180" t="n">
        <f aca="false">MAX(0,IFERROR(INDEX(TAB_IR,MATCH($C89,TAB_IR_DIAS,1),MATCH($C$8,TAB_IR_REGIMES,0)),0)*IF($C$26=2,AB89,MAX(0,AE89))-AD89)</f>
        <v>5616.64646709232</v>
      </c>
      <c r="AG89" s="181" t="n">
        <f aca="false">MAX(0,AB89-AF89-AB89*$C$25)</f>
        <v>181827.663313523</v>
      </c>
      <c r="AH89" s="180" t="n">
        <f aca="false">AG89/$D89</f>
        <v>165926.403269959</v>
      </c>
      <c r="AJ89" s="180" t="n">
        <f aca="false">AQ88</f>
        <v>180851.854242141</v>
      </c>
      <c r="AK89" s="180" t="n">
        <f aca="false">IF($D$9=0,0,IF($A89&gt;IN_PRAZO,0,IF(APORTE_CORRIGIDO="Sim",IN_APORTE*$D89,IN_APORTE))+IF(AND($D$35=1,PGBL_REINVESTE="Sim",$A89&gt;=13,$A89&lt;=IN_PRAZO,MONTH($B89)=5),PGBL_BENEFICIO,0))</f>
        <v>0</v>
      </c>
      <c r="AL89" s="180" t="n">
        <f aca="false">AK89*$D$24</f>
        <v>0</v>
      </c>
      <c r="AM89" s="180" t="n">
        <f aca="false">AJ89*$D$19</f>
        <v>1625.62252863127</v>
      </c>
      <c r="AN89" s="180" t="n">
        <f aca="false">AJ89*$D$22</f>
        <v>150.709878535118</v>
      </c>
      <c r="AO89" s="180" t="n">
        <f aca="false">$D$23*MAX(0,AM89-AJ89*$D$18)</f>
        <v>0</v>
      </c>
      <c r="AP89" s="180" t="n">
        <f aca="false">IF(AND($D$27=1,OR(MONTH($B89)=5,MONTH($B89)=11)),MAX(0,$D$28*MAX(0,(AJ89+AM89-AN89-AO89+AK89-AL89)+AS88-AR89)-AS88),0)</f>
        <v>0</v>
      </c>
      <c r="AQ89" s="181" t="n">
        <f aca="false">AJ89+AM89-AN89-AO89+AK89-AL89-AP89</f>
        <v>182326.766892237</v>
      </c>
      <c r="AR89" s="180" t="n">
        <f aca="false">AR88+AK89-AL89</f>
        <v>150000</v>
      </c>
      <c r="AS89" s="180" t="n">
        <f aca="false">AS88+AP89</f>
        <v>5444.44486626017</v>
      </c>
      <c r="AT89" s="180" t="n">
        <f aca="false">AQ89+AS89-AR89</f>
        <v>37771.2117584973</v>
      </c>
      <c r="AU89" s="180" t="n">
        <f aca="false">MAX(0,IFERROR(INDEX(TAB_IR,MATCH($C89,TAB_IR_DIAS,1),MATCH($D$8,TAB_IR_REGIMES,0)),0)*IF($D$26=2,AQ89,MAX(0,AT89))-AS89)</f>
        <v>221.236897514421</v>
      </c>
      <c r="AV89" s="181" t="n">
        <f aca="false">MAX(0,AQ89-AU89-AQ89*$D$25)</f>
        <v>182105.529994723</v>
      </c>
      <c r="AW89" s="180" t="n">
        <f aca="false">AV89/$D89</f>
        <v>166179.969851412</v>
      </c>
      <c r="AY89" s="180" t="n">
        <f aca="false">BF88</f>
        <v>188708.349455389</v>
      </c>
      <c r="AZ89" s="180" t="n">
        <f aca="false">IF($E$9=0,0,IF($A89&gt;IN_PRAZO,0,IF(APORTE_CORRIGIDO="Sim",IN_APORTE*$D89,IN_APORTE))+IF(AND($E$35=1,PGBL_REINVESTE="Sim",$A89&gt;=13,$A89&lt;=IN_PRAZO,MONTH($B89)=5),PGBL_BENEFICIO,0))</f>
        <v>0</v>
      </c>
      <c r="BA89" s="180" t="n">
        <f aca="false">AZ89*$E$24</f>
        <v>0</v>
      </c>
      <c r="BB89" s="180" t="n">
        <f aca="false">AY89*$E$19</f>
        <v>1847.21797828091</v>
      </c>
      <c r="BC89" s="180" t="n">
        <f aca="false">AY89*$E$22</f>
        <v>235.885436819236</v>
      </c>
      <c r="BD89" s="180" t="n">
        <f aca="false">$E$23*MAX(0,BB89-AY89*$E$18)</f>
        <v>0</v>
      </c>
      <c r="BE89" s="180" t="n">
        <f aca="false">IF(AND($E$27=1,OR(MONTH($B89)=5,MONTH($B89)=11)),MAX(0,$E$28*MAX(0,(AY89+BB89-BC89-BD89+AZ89-BA89)+BH88-BG89)-BH88),0)</f>
        <v>0</v>
      </c>
      <c r="BF89" s="181" t="n">
        <f aca="false">AY89+BB89-BC89-BD89+AZ89-BA89-BE89</f>
        <v>190319.68199685</v>
      </c>
      <c r="BG89" s="180" t="n">
        <f aca="false">BG88+AZ89-BA89</f>
        <v>150000</v>
      </c>
      <c r="BH89" s="180" t="n">
        <f aca="false">BH88+BE89</f>
        <v>0</v>
      </c>
      <c r="BI89" s="180" t="n">
        <f aca="false">BF89+BH89-BG89</f>
        <v>40319.6819968502</v>
      </c>
      <c r="BJ89" s="180" t="n">
        <f aca="false">MAX(0,IFERROR(INDEX(TAB_IR,MATCH($C89,TAB_IR_DIAS,1),MATCH($E$8,TAB_IR_REGIMES,0)),0)*IF($E$26=2,BF89,MAX(0,BI89))-BH89)</f>
        <v>12095.9045990551</v>
      </c>
      <c r="BK89" s="181" t="n">
        <f aca="false">MAX(0,BF89-BJ89-BF89*$E$25)</f>
        <v>178223.777397795</v>
      </c>
      <c r="BL89" s="180" t="n">
        <f aca="false">BK89/$D89</f>
        <v>162637.685717884</v>
      </c>
      <c r="BN89" s="180" t="n">
        <f aca="false">BU88</f>
        <v>188708.349455389</v>
      </c>
      <c r="BO89" s="180" t="n">
        <f aca="false">IF($F$9=0,0,IF($A89&gt;IN_PRAZO,0,IF(APORTE_CORRIGIDO="Sim",IN_APORTE*$D89,IN_APORTE))+IF(AND($F$35=1,PGBL_REINVESTE="Sim",$A89&gt;=13,$A89&lt;=IN_PRAZO,MONTH($B89)=5),PGBL_BENEFICIO,0))</f>
        <v>0</v>
      </c>
      <c r="BP89" s="180" t="n">
        <f aca="false">BO89*$F$24</f>
        <v>0</v>
      </c>
      <c r="BQ89" s="180" t="n">
        <f aca="false">BN89*$F$19</f>
        <v>1847.21797828091</v>
      </c>
      <c r="BR89" s="180" t="n">
        <f aca="false">BN89*$F$22</f>
        <v>235.885436819236</v>
      </c>
      <c r="BS89" s="180" t="n">
        <f aca="false">$F$23*MAX(0,BQ89-BN89*$F$18)</f>
        <v>0</v>
      </c>
      <c r="BT89" s="180" t="n">
        <f aca="false">IF(AND($F$27=1,OR(MONTH($B89)=5,MONTH($B89)=11)),MAX(0,$F$28*MAX(0,(BN89+BQ89-BR89-BS89+BO89-BP89)+BW88-BV89)-BW88),0)</f>
        <v>0</v>
      </c>
      <c r="BU89" s="181" t="n">
        <f aca="false">BN89+BQ89-BR89-BS89+BO89-BP89-BT89</f>
        <v>190319.68199685</v>
      </c>
      <c r="BV89" s="180" t="n">
        <f aca="false">BV88+BO89-BP89</f>
        <v>150000</v>
      </c>
      <c r="BW89" s="180" t="n">
        <f aca="false">BW88+BT89</f>
        <v>0</v>
      </c>
      <c r="BX89" s="180" t="n">
        <f aca="false">BU89+BW89-BV89</f>
        <v>40319.6819968502</v>
      </c>
      <c r="BY89" s="180" t="n">
        <f aca="false">MAX(0,IFERROR(INDEX(TAB_IR,MATCH($C89,TAB_IR_DIAS,1),MATCH($F$8,TAB_IR_REGIMES,0)),0)*IF($F$26=2,BU89,MAX(0,BX89))-BW89)</f>
        <v>57095.9045990551</v>
      </c>
      <c r="BZ89" s="181" t="n">
        <f aca="false">MAX(0,BU89-BY89-BU89*$F$25)</f>
        <v>133223.777397795</v>
      </c>
      <c r="CA89" s="180" t="n">
        <f aca="false">BZ89/$D89</f>
        <v>121573.042356805</v>
      </c>
      <c r="CC89" s="180" t="n">
        <f aca="false">CJ88</f>
        <v>177437.838648666</v>
      </c>
      <c r="CD89" s="180" t="n">
        <f aca="false">IF($G$9=0,0,IF($A89&gt;IN_PRAZO,0,IF(APORTE_CORRIGIDO="Sim",IN_APORTE*$D89,IN_APORTE))+IF(AND($G$35=1,PGBL_REINVESTE="Sim",$A89&gt;=13,$A89&lt;=IN_PRAZO,MONTH($B89)=5),PGBL_BENEFICIO,0))</f>
        <v>0</v>
      </c>
      <c r="CE89" s="180" t="n">
        <f aca="false">CD89*$G$24</f>
        <v>0</v>
      </c>
      <c r="CF89" s="180" t="n">
        <f aca="false">CC89*$G$19</f>
        <v>1447.40045170425</v>
      </c>
      <c r="CG89" s="180" t="n">
        <f aca="false">CC89*$G$22</f>
        <v>147.864865540555</v>
      </c>
      <c r="CH89" s="180" t="n">
        <f aca="false">$G$23*MAX(0,CF89-CC89*$G$18)</f>
        <v>0</v>
      </c>
      <c r="CI89" s="180" t="n">
        <f aca="false">IF(AND($G$27=1,OR(MONTH($B89)=5,MONTH($B89)=11)),MAX(0,$G$28*MAX(0,(CC89+CF89-CG89-CH89+CD89-CE89)+CL88-CK89)-CL88),0)</f>
        <v>0</v>
      </c>
      <c r="CJ89" s="181" t="n">
        <f aca="false">CC89+CF89-CG89-CH89+CD89-CE89-CI89</f>
        <v>178737.374234829</v>
      </c>
      <c r="CK89" s="180" t="n">
        <f aca="false">CK88+CD89-CE89</f>
        <v>150000</v>
      </c>
      <c r="CL89" s="180" t="n">
        <f aca="false">CL88+CI89</f>
        <v>4841.97152623513</v>
      </c>
      <c r="CM89" s="180" t="n">
        <f aca="false">CJ89+CL89-CK89</f>
        <v>33579.3457610646</v>
      </c>
      <c r="CN89" s="180" t="n">
        <f aca="false">MAX(0,IFERROR(INDEX(TAB_IR,MATCH($C89,TAB_IR_DIAS,1),MATCH($G$8,TAB_IR_REGIMES,0)),0)*IF($G$26=2,CJ89,MAX(0,CM89))-CL89)</f>
        <v>194.930337924554</v>
      </c>
      <c r="CO89" s="181" t="n">
        <f aca="false">MAX(0,CJ89-CN89-CJ89*$G$25)</f>
        <v>178542.443896905</v>
      </c>
      <c r="CP89" s="180" t="n">
        <f aca="false">CO89/$D89</f>
        <v>162928.484076485</v>
      </c>
    </row>
    <row r="90" customFormat="false" ht="12" hidden="false" customHeight="true" outlineLevel="0" collapsed="false">
      <c r="A90" s="177" t="n">
        <v>29</v>
      </c>
      <c r="B90" s="178" t="n">
        <f aca="false">EDATE(DATA_INICIO,$A90)</f>
        <v>47141</v>
      </c>
      <c r="C90" s="177" t="n">
        <f aca="false">$A90*30</f>
        <v>870</v>
      </c>
      <c r="D90" s="179" t="n">
        <f aca="false">(1+IPCA_CENARIO)^($A90/12)</f>
        <v>1.09942068394997</v>
      </c>
      <c r="F90" s="180" t="n">
        <f aca="false">M89</f>
        <v>194502.634826861</v>
      </c>
      <c r="G90" s="180" t="n">
        <f aca="false">IF($B$9=0,0,IF($A90&gt;IN_PRAZO,0,IF(APORTE_CORRIGIDO="Sim",IN_APORTE*$D90,IN_APORTE))+IF(AND($B$35=1,PGBL_REINVESTE="Sim",$A90&gt;=13,$A90&lt;=IN_PRAZO,MONTH($B90)=5),PGBL_BENEFICIO,0))</f>
        <v>0</v>
      </c>
      <c r="H90" s="180" t="n">
        <f aca="false">G90*$B$24</f>
        <v>0</v>
      </c>
      <c r="I90" s="180" t="n">
        <f aca="false">F90*$B$19</f>
        <v>1845.5952271029</v>
      </c>
      <c r="J90" s="180" t="n">
        <f aca="false">F90*$B$22</f>
        <v>32.4171058044768</v>
      </c>
      <c r="K90" s="180" t="n">
        <f aca="false">$B$23*MAX(0,I90-F90*$B$18)</f>
        <v>0</v>
      </c>
      <c r="L90" s="180" t="n">
        <f aca="false">IF(AND($B$27=1,OR(MONTH($B90)=5,MONTH($B90)=11)),MAX(0,$B$28*MAX(0,(F90+I90-J90-K90+G90-H90)+O89-N90)-O89),0)</f>
        <v>0</v>
      </c>
      <c r="M90" s="181" t="n">
        <f aca="false">F90+I90-J90-K90+G90-H90-L90</f>
        <v>196315.812948159</v>
      </c>
      <c r="N90" s="180" t="n">
        <f aca="false">N89+G90-H90</f>
        <v>150000</v>
      </c>
      <c r="O90" s="180" t="n">
        <f aca="false">O89+L90</f>
        <v>0</v>
      </c>
      <c r="P90" s="180" t="n">
        <f aca="false">M90+O90-N90</f>
        <v>46315.8129481591</v>
      </c>
      <c r="Q90" s="180" t="n">
        <f aca="false">MAX(0,IFERROR(INDEX(TAB_IR,MATCH($C90,TAB_IR_DIAS,1),MATCH($B$8,TAB_IR_REGIMES,0)),0)*IF($B$26=2,M90,MAX(0,P90))-O90)</f>
        <v>6947.37194222386</v>
      </c>
      <c r="R90" s="181" t="n">
        <f aca="false">MAX(0,M90-Q90-M90*$B$25)</f>
        <v>189368.441005935</v>
      </c>
      <c r="S90" s="180" t="n">
        <f aca="false">R90/$D90</f>
        <v>172243.840570269</v>
      </c>
      <c r="U90" s="180" t="n">
        <f aca="false">AB89</f>
        <v>187444.309780616</v>
      </c>
      <c r="V90" s="180" t="n">
        <f aca="false">IF($C$9=0,0,IF($A90&gt;IN_PRAZO,0,IF(APORTE_CORRIGIDO="Sim",IN_APORTE*$D90,IN_APORTE))+IF(AND($C$35=1,PGBL_REINVESTE="Sim",$A90&gt;=13,$A90&lt;=IN_PRAZO,MONTH($B90)=5),PGBL_BENEFICIO,0))</f>
        <v>0</v>
      </c>
      <c r="W90" s="180" t="n">
        <f aca="false">V90*$C$24</f>
        <v>0</v>
      </c>
      <c r="X90" s="180" t="n">
        <f aca="false">U90*$C$19</f>
        <v>1529.02549260112</v>
      </c>
      <c r="Y90" s="180" t="n">
        <f aca="false">U90*$C$22</f>
        <v>31.2407182967693</v>
      </c>
      <c r="Z90" s="180" t="n">
        <f aca="false">$C$23*MAX(0,X90-U90*$C$18)</f>
        <v>0</v>
      </c>
      <c r="AA90" s="180" t="n">
        <f aca="false">IF(AND($C$27=1,OR(MONTH($B90)=5,MONTH($B90)=11)),MAX(0,$C$28*MAX(0,(U90+X90-Y90-Z90+V90-W90)+AD89-AC90)-AD89),0)</f>
        <v>0</v>
      </c>
      <c r="AB90" s="181" t="n">
        <f aca="false">U90+X90-Y90-Z90+V90-W90-AA90</f>
        <v>188942.09455492</v>
      </c>
      <c r="AC90" s="180" t="n">
        <f aca="false">AC89+V90-W90</f>
        <v>150000</v>
      </c>
      <c r="AD90" s="180" t="n">
        <f aca="false">AD89+AA90</f>
        <v>0</v>
      </c>
      <c r="AE90" s="180" t="n">
        <f aca="false">AB90+AD90-AC90</f>
        <v>38942.0945549199</v>
      </c>
      <c r="AF90" s="180" t="n">
        <f aca="false">MAX(0,IFERROR(INDEX(TAB_IR,MATCH($C90,TAB_IR_DIAS,1),MATCH($C$8,TAB_IR_REGIMES,0)),0)*IF($C$26=2,AB90,MAX(0,AE90))-AD90)</f>
        <v>5841.31418323798</v>
      </c>
      <c r="AG90" s="181" t="n">
        <f aca="false">MAX(0,AB90-AF90-AB90*$C$25)</f>
        <v>183100.780371682</v>
      </c>
      <c r="AH90" s="180" t="n">
        <f aca="false">AG90/$D90</f>
        <v>166542.964894786</v>
      </c>
      <c r="AJ90" s="180" t="n">
        <f aca="false">AQ89</f>
        <v>182326.766892237</v>
      </c>
      <c r="AK90" s="180" t="n">
        <f aca="false">IF($D$9=0,0,IF($A90&gt;IN_PRAZO,0,IF(APORTE_CORRIGIDO="Sim",IN_APORTE*$D90,IN_APORTE))+IF(AND($D$35=1,PGBL_REINVESTE="Sim",$A90&gt;=13,$A90&lt;=IN_PRAZO,MONTH($B90)=5),PGBL_BENEFICIO,0))</f>
        <v>0</v>
      </c>
      <c r="AL90" s="180" t="n">
        <f aca="false">AK90*$D$24</f>
        <v>0</v>
      </c>
      <c r="AM90" s="180" t="n">
        <f aca="false">AJ90*$D$19</f>
        <v>1638.88007161753</v>
      </c>
      <c r="AN90" s="180" t="n">
        <f aca="false">AJ90*$D$22</f>
        <v>151.938972410198</v>
      </c>
      <c r="AO90" s="180" t="n">
        <f aca="false">$D$23*MAX(0,AM90-AJ90*$D$18)</f>
        <v>0</v>
      </c>
      <c r="AP90" s="180" t="n">
        <f aca="false">IF(AND($D$27=1,OR(MONTH($B90)=5,MONTH($B90)=11)),MAX(0,$D$28*MAX(0,(AJ90+AM90-AN90-AO90+AK90-AL90)+AS89-AR90)-AS89),0)</f>
        <v>0</v>
      </c>
      <c r="AQ90" s="181" t="n">
        <f aca="false">AJ90+AM90-AN90-AO90+AK90-AL90-AP90</f>
        <v>183813.707991444</v>
      </c>
      <c r="AR90" s="180" t="n">
        <f aca="false">AR89+AK90-AL90</f>
        <v>150000</v>
      </c>
      <c r="AS90" s="180" t="n">
        <f aca="false">AS89+AP90</f>
        <v>5444.44486626017</v>
      </c>
      <c r="AT90" s="180" t="n">
        <f aca="false">AQ90+AS90-AR90</f>
        <v>39258.1528577046</v>
      </c>
      <c r="AU90" s="180" t="n">
        <f aca="false">MAX(0,IFERROR(INDEX(TAB_IR,MATCH($C90,TAB_IR_DIAS,1),MATCH($D$8,TAB_IR_REGIMES,0)),0)*IF($D$26=2,AQ90,MAX(0,AT90))-AS90)</f>
        <v>444.27806239552</v>
      </c>
      <c r="AV90" s="181" t="n">
        <f aca="false">MAX(0,AQ90-AU90-AQ90*$D$25)</f>
        <v>183369.429929049</v>
      </c>
      <c r="AW90" s="180" t="n">
        <f aca="false">AV90/$D90</f>
        <v>166787.320455209</v>
      </c>
      <c r="AY90" s="180" t="n">
        <f aca="false">BF89</f>
        <v>190319.68199685</v>
      </c>
      <c r="AZ90" s="180" t="n">
        <f aca="false">IF($E$9=0,0,IF($A90&gt;IN_PRAZO,0,IF(APORTE_CORRIGIDO="Sim",IN_APORTE*$D90,IN_APORTE))+IF(AND($E$35=1,PGBL_REINVESTE="Sim",$A90&gt;=13,$A90&lt;=IN_PRAZO,MONTH($B90)=5),PGBL_BENEFICIO,0))</f>
        <v>0</v>
      </c>
      <c r="BA90" s="180" t="n">
        <f aca="false">AZ90*$E$24</f>
        <v>0</v>
      </c>
      <c r="BB90" s="180" t="n">
        <f aca="false">AY90*$E$19</f>
        <v>1862.99090220381</v>
      </c>
      <c r="BC90" s="180" t="n">
        <f aca="false">AY90*$E$22</f>
        <v>237.899602496063</v>
      </c>
      <c r="BD90" s="180" t="n">
        <f aca="false">$E$23*MAX(0,BB90-AY90*$E$18)</f>
        <v>0</v>
      </c>
      <c r="BE90" s="180" t="n">
        <f aca="false">IF(AND($E$27=1,OR(MONTH($B90)=5,MONTH($B90)=11)),MAX(0,$E$28*MAX(0,(AY90+BB90-BC90-BD90+AZ90-BA90)+BH89-BG90)-BH89),0)</f>
        <v>0</v>
      </c>
      <c r="BF90" s="181" t="n">
        <f aca="false">AY90+BB90-BC90-BD90+AZ90-BA90-BE90</f>
        <v>191944.773296558</v>
      </c>
      <c r="BG90" s="180" t="n">
        <f aca="false">BG89+AZ90-BA90</f>
        <v>150000</v>
      </c>
      <c r="BH90" s="180" t="n">
        <f aca="false">BH89+BE90</f>
        <v>0</v>
      </c>
      <c r="BI90" s="180" t="n">
        <f aca="false">BF90+BH90-BG90</f>
        <v>41944.773296558</v>
      </c>
      <c r="BJ90" s="180" t="n">
        <f aca="false">MAX(0,IFERROR(INDEX(TAB_IR,MATCH($C90,TAB_IR_DIAS,1),MATCH($E$8,TAB_IR_REGIMES,0)),0)*IF($E$26=2,BF90,MAX(0,BI90))-BH90)</f>
        <v>12583.4319889674</v>
      </c>
      <c r="BK90" s="181" t="n">
        <f aca="false">MAX(0,BF90-BJ90-BF90*$E$25)</f>
        <v>179361.341307591</v>
      </c>
      <c r="BL90" s="180" t="n">
        <f aca="false">BK90/$D90</f>
        <v>163141.683548453</v>
      </c>
      <c r="BN90" s="180" t="n">
        <f aca="false">BU89</f>
        <v>190319.68199685</v>
      </c>
      <c r="BO90" s="180" t="n">
        <f aca="false">IF($F$9=0,0,IF($A90&gt;IN_PRAZO,0,IF(APORTE_CORRIGIDO="Sim",IN_APORTE*$D90,IN_APORTE))+IF(AND($F$35=1,PGBL_REINVESTE="Sim",$A90&gt;=13,$A90&lt;=IN_PRAZO,MONTH($B90)=5),PGBL_BENEFICIO,0))</f>
        <v>0</v>
      </c>
      <c r="BP90" s="180" t="n">
        <f aca="false">BO90*$F$24</f>
        <v>0</v>
      </c>
      <c r="BQ90" s="180" t="n">
        <f aca="false">BN90*$F$19</f>
        <v>1862.99090220381</v>
      </c>
      <c r="BR90" s="180" t="n">
        <f aca="false">BN90*$F$22</f>
        <v>237.899602496063</v>
      </c>
      <c r="BS90" s="180" t="n">
        <f aca="false">$F$23*MAX(0,BQ90-BN90*$F$18)</f>
        <v>0</v>
      </c>
      <c r="BT90" s="180" t="n">
        <f aca="false">IF(AND($F$27=1,OR(MONTH($B90)=5,MONTH($B90)=11)),MAX(0,$F$28*MAX(0,(BN90+BQ90-BR90-BS90+BO90-BP90)+BW89-BV90)-BW89),0)</f>
        <v>0</v>
      </c>
      <c r="BU90" s="181" t="n">
        <f aca="false">BN90+BQ90-BR90-BS90+BO90-BP90-BT90</f>
        <v>191944.773296558</v>
      </c>
      <c r="BV90" s="180" t="n">
        <f aca="false">BV89+BO90-BP90</f>
        <v>150000</v>
      </c>
      <c r="BW90" s="180" t="n">
        <f aca="false">BW89+BT90</f>
        <v>0</v>
      </c>
      <c r="BX90" s="180" t="n">
        <f aca="false">BU90+BW90-BV90</f>
        <v>41944.773296558</v>
      </c>
      <c r="BY90" s="180" t="n">
        <f aca="false">MAX(0,IFERROR(INDEX(TAB_IR,MATCH($C90,TAB_IR_DIAS,1),MATCH($F$8,TAB_IR_REGIMES,0)),0)*IF($F$26=2,BU90,MAX(0,BX90))-BW90)</f>
        <v>57583.4319889674</v>
      </c>
      <c r="BZ90" s="181" t="n">
        <f aca="false">MAX(0,BU90-BY90-BU90*$F$25)</f>
        <v>134361.341307591</v>
      </c>
      <c r="CA90" s="180" t="n">
        <f aca="false">BZ90/$D90</f>
        <v>122211.03647501</v>
      </c>
      <c r="CC90" s="180" t="n">
        <f aca="false">CJ89</f>
        <v>178737.374234829</v>
      </c>
      <c r="CD90" s="180" t="n">
        <f aca="false">IF($G$9=0,0,IF($A90&gt;IN_PRAZO,0,IF(APORTE_CORRIGIDO="Sim",IN_APORTE*$D90,IN_APORTE))+IF(AND($G$35=1,PGBL_REINVESTE="Sim",$A90&gt;=13,$A90&lt;=IN_PRAZO,MONTH($B90)=5),PGBL_BENEFICIO,0))</f>
        <v>0</v>
      </c>
      <c r="CE90" s="180" t="n">
        <f aca="false">CD90*$G$24</f>
        <v>0</v>
      </c>
      <c r="CF90" s="180" t="n">
        <f aca="false">CC90*$G$19</f>
        <v>1458.0010564498</v>
      </c>
      <c r="CG90" s="180" t="n">
        <f aca="false">CC90*$G$22</f>
        <v>148.947811862358</v>
      </c>
      <c r="CH90" s="180" t="n">
        <f aca="false">$G$23*MAX(0,CF90-CC90*$G$18)</f>
        <v>0</v>
      </c>
      <c r="CI90" s="180" t="n">
        <f aca="false">IF(AND($G$27=1,OR(MONTH($B90)=5,MONTH($B90)=11)),MAX(0,$G$28*MAX(0,(CC90+CF90-CG90-CH90+CD90-CE90)+CL89-CK90)-CL89),0)</f>
        <v>0</v>
      </c>
      <c r="CJ90" s="181" t="n">
        <f aca="false">CC90+CF90-CG90-CH90+CD90-CE90-CI90</f>
        <v>180046.427479417</v>
      </c>
      <c r="CK90" s="180" t="n">
        <f aca="false">CK89+CD90-CE90</f>
        <v>150000</v>
      </c>
      <c r="CL90" s="180" t="n">
        <f aca="false">CL89+CI90</f>
        <v>4841.97152623513</v>
      </c>
      <c r="CM90" s="180" t="n">
        <f aca="false">CJ90+CL90-CK90</f>
        <v>34888.399005652</v>
      </c>
      <c r="CN90" s="180" t="n">
        <f aca="false">MAX(0,IFERROR(INDEX(TAB_IR,MATCH($C90,TAB_IR_DIAS,1),MATCH($G$8,TAB_IR_REGIMES,0)),0)*IF($G$26=2,CJ90,MAX(0,CM90))-CL90)</f>
        <v>391.28832461267</v>
      </c>
      <c r="CO90" s="181" t="n">
        <f aca="false">MAX(0,CJ90-CN90-CJ90*$G$25)</f>
        <v>179655.139154804</v>
      </c>
      <c r="CP90" s="180" t="n">
        <f aca="false">CO90/$D90</f>
        <v>163408.913237237</v>
      </c>
    </row>
    <row r="91" customFormat="false" ht="12" hidden="false" customHeight="true" outlineLevel="0" collapsed="false">
      <c r="A91" s="177" t="n">
        <v>30</v>
      </c>
      <c r="B91" s="178" t="n">
        <f aca="false">EDATE(DATA_INICIO,$A91)</f>
        <v>47172</v>
      </c>
      <c r="C91" s="177" t="n">
        <f aca="false">$A91*30</f>
        <v>900</v>
      </c>
      <c r="D91" s="179" t="n">
        <f aca="false">(1+IPCA_CENARIO)^($A91/12)</f>
        <v>1.10301990118039</v>
      </c>
      <c r="F91" s="180" t="n">
        <f aca="false">M90</f>
        <v>196315.812948159</v>
      </c>
      <c r="G91" s="180" t="n">
        <f aca="false">IF($B$9=0,0,IF($A91&gt;IN_PRAZO,0,IF(APORTE_CORRIGIDO="Sim",IN_APORTE*$D91,IN_APORTE))+IF(AND($B$35=1,PGBL_REINVESTE="Sim",$A91&gt;=13,$A91&lt;=IN_PRAZO,MONTH($B91)=5),PGBL_BENEFICIO,0))</f>
        <v>0</v>
      </c>
      <c r="H91" s="180" t="n">
        <f aca="false">G91*$B$24</f>
        <v>0</v>
      </c>
      <c r="I91" s="180" t="n">
        <f aca="false">F91*$B$19</f>
        <v>1862.80009884942</v>
      </c>
      <c r="J91" s="180" t="n">
        <f aca="false">F91*$B$22</f>
        <v>32.7193021580265</v>
      </c>
      <c r="K91" s="180" t="n">
        <f aca="false">$B$23*MAX(0,I91-F91*$B$18)</f>
        <v>0</v>
      </c>
      <c r="L91" s="180" t="n">
        <f aca="false">IF(AND($B$27=1,OR(MONTH($B91)=5,MONTH($B91)=11)),MAX(0,$B$28*MAX(0,(F91+I91-J91-K91+G91-H91)+O90-N91)-O90),0)</f>
        <v>0</v>
      </c>
      <c r="M91" s="181" t="n">
        <f aca="false">F91+I91-J91-K91+G91-H91-L91</f>
        <v>198145.89374485</v>
      </c>
      <c r="N91" s="180" t="n">
        <f aca="false">N90+G91-H91</f>
        <v>150000</v>
      </c>
      <c r="O91" s="180" t="n">
        <f aca="false">O90+L91</f>
        <v>0</v>
      </c>
      <c r="P91" s="180" t="n">
        <f aca="false">M91+O91-N91</f>
        <v>48145.8937448505</v>
      </c>
      <c r="Q91" s="180" t="n">
        <f aca="false">MAX(0,IFERROR(INDEX(TAB_IR,MATCH($C91,TAB_IR_DIAS,1),MATCH($B$8,TAB_IR_REGIMES,0)),0)*IF($B$26=2,M91,MAX(0,P91))-O91)</f>
        <v>7221.88406172757</v>
      </c>
      <c r="R91" s="181" t="n">
        <f aca="false">MAX(0,M91-Q91-M91*$B$25)</f>
        <v>190924.009683123</v>
      </c>
      <c r="S91" s="180" t="n">
        <f aca="false">R91/$D91</f>
        <v>173092.080640437</v>
      </c>
      <c r="U91" s="180" t="n">
        <f aca="false">AB90</f>
        <v>188942.09455492</v>
      </c>
      <c r="V91" s="180" t="n">
        <f aca="false">IF($C$9=0,0,IF($A91&gt;IN_PRAZO,0,IF(APORTE_CORRIGIDO="Sim",IN_APORTE*$D91,IN_APORTE))+IF(AND($C$35=1,PGBL_REINVESTE="Sim",$A91&gt;=13,$A91&lt;=IN_PRAZO,MONTH($B91)=5),PGBL_BENEFICIO,0))</f>
        <v>0</v>
      </c>
      <c r="W91" s="180" t="n">
        <f aca="false">V91*$C$24</f>
        <v>0</v>
      </c>
      <c r="X91" s="180" t="n">
        <f aca="false">U91*$C$19</f>
        <v>1541.24326066792</v>
      </c>
      <c r="Y91" s="180" t="n">
        <f aca="false">U91*$C$22</f>
        <v>31.4903490924866</v>
      </c>
      <c r="Z91" s="180" t="n">
        <f aca="false">$C$23*MAX(0,X91-U91*$C$18)</f>
        <v>0</v>
      </c>
      <c r="AA91" s="180" t="n">
        <f aca="false">IF(AND($C$27=1,OR(MONTH($B91)=5,MONTH($B91)=11)),MAX(0,$C$28*MAX(0,(U91+X91-Y91-Z91+V91-W91)+AD90-AC91)-AD90),0)</f>
        <v>0</v>
      </c>
      <c r="AB91" s="181" t="n">
        <f aca="false">U91+X91-Y91-Z91+V91-W91-AA91</f>
        <v>190451.847466495</v>
      </c>
      <c r="AC91" s="180" t="n">
        <f aca="false">AC90+V91-W91</f>
        <v>150000</v>
      </c>
      <c r="AD91" s="180" t="n">
        <f aca="false">AD90+AA91</f>
        <v>0</v>
      </c>
      <c r="AE91" s="180" t="n">
        <f aca="false">AB91+AD91-AC91</f>
        <v>40451.8474664953</v>
      </c>
      <c r="AF91" s="180" t="n">
        <f aca="false">MAX(0,IFERROR(INDEX(TAB_IR,MATCH($C91,TAB_IR_DIAS,1),MATCH($C$8,TAB_IR_REGIMES,0)),0)*IF($C$26=2,AB91,MAX(0,AE91))-AD91)</f>
        <v>6067.77711997429</v>
      </c>
      <c r="AG91" s="181" t="n">
        <f aca="false">MAX(0,AB91-AF91-AB91*$C$25)</f>
        <v>184384.070346521</v>
      </c>
      <c r="AH91" s="180" t="n">
        <f aca="false">AG91/$D91</f>
        <v>167162.95884526</v>
      </c>
      <c r="AJ91" s="180" t="n">
        <f aca="false">AQ90</f>
        <v>183813.707991444</v>
      </c>
      <c r="AK91" s="180" t="n">
        <f aca="false">IF($D$9=0,0,IF($A91&gt;IN_PRAZO,0,IF(APORTE_CORRIGIDO="Sim",IN_APORTE*$D91,IN_APORTE))+IF(AND($D$35=1,PGBL_REINVESTE="Sim",$A91&gt;=13,$A91&lt;=IN_PRAZO,MONTH($B91)=5),PGBL_BENEFICIO,0))</f>
        <v>0</v>
      </c>
      <c r="AL91" s="180" t="n">
        <f aca="false">AK91*$D$24</f>
        <v>0</v>
      </c>
      <c r="AM91" s="180" t="n">
        <f aca="false">AJ91*$D$19</f>
        <v>1652.24573468882</v>
      </c>
      <c r="AN91" s="180" t="n">
        <f aca="false">AJ91*$D$22</f>
        <v>153.17808999287</v>
      </c>
      <c r="AO91" s="180" t="n">
        <f aca="false">$D$23*MAX(0,AM91-AJ91*$D$18)</f>
        <v>0</v>
      </c>
      <c r="AP91" s="180" t="n">
        <f aca="false">IF(AND($D$27=1,OR(MONTH($B91)=5,MONTH($B91)=11)),MAX(0,$D$28*MAX(0,(AJ91+AM91-AN91-AO91+AK91-AL91)+AS90-AR91)-AS90),0)</f>
        <v>0</v>
      </c>
      <c r="AQ91" s="181" t="n">
        <f aca="false">AJ91+AM91-AN91-AO91+AK91-AL91-AP91</f>
        <v>185312.77563614</v>
      </c>
      <c r="AR91" s="180" t="n">
        <f aca="false">AR90+AK91-AL91</f>
        <v>150000</v>
      </c>
      <c r="AS91" s="180" t="n">
        <f aca="false">AS90+AP91</f>
        <v>5444.44486626017</v>
      </c>
      <c r="AT91" s="180" t="n">
        <f aca="false">AQ91+AS91-AR91</f>
        <v>40757.2205024006</v>
      </c>
      <c r="AU91" s="180" t="n">
        <f aca="false">MAX(0,IFERROR(INDEX(TAB_IR,MATCH($C91,TAB_IR_DIAS,1),MATCH($D$8,TAB_IR_REGIMES,0)),0)*IF($D$26=2,AQ91,MAX(0,AT91))-AS91)</f>
        <v>669.138209099913</v>
      </c>
      <c r="AV91" s="181" t="n">
        <f aca="false">MAX(0,AQ91-AU91-AQ91*$D$25)</f>
        <v>184643.637427041</v>
      </c>
      <c r="AW91" s="180" t="n">
        <f aca="false">AV91/$D91</f>
        <v>167398.282868192</v>
      </c>
      <c r="AY91" s="180" t="n">
        <f aca="false">BF90</f>
        <v>191944.773296558</v>
      </c>
      <c r="AZ91" s="180" t="n">
        <f aca="false">IF($E$9=0,0,IF($A91&gt;IN_PRAZO,0,IF(APORTE_CORRIGIDO="Sim",IN_APORTE*$D91,IN_APORTE))+IF(AND($E$35=1,PGBL_REINVESTE="Sim",$A91&gt;=13,$A91&lt;=IN_PRAZO,MONTH($B91)=5),PGBL_BENEFICIO,0))</f>
        <v>0</v>
      </c>
      <c r="BA91" s="180" t="n">
        <f aca="false">AZ91*$E$24</f>
        <v>0</v>
      </c>
      <c r="BB91" s="180" t="n">
        <f aca="false">AY91*$E$19</f>
        <v>1878.89850710753</v>
      </c>
      <c r="BC91" s="180" t="n">
        <f aca="false">AY91*$E$22</f>
        <v>239.930966620698</v>
      </c>
      <c r="BD91" s="180" t="n">
        <f aca="false">$E$23*MAX(0,BB91-AY91*$E$18)</f>
        <v>0</v>
      </c>
      <c r="BE91" s="180" t="n">
        <f aca="false">IF(AND($E$27=1,OR(MONTH($B91)=5,MONTH($B91)=11)),MAX(0,$E$28*MAX(0,(AY91+BB91-BC91-BD91+AZ91-BA91)+BH90-BG91)-BH90),0)</f>
        <v>0</v>
      </c>
      <c r="BF91" s="181" t="n">
        <f aca="false">AY91+BB91-BC91-BD91+AZ91-BA91-BE91</f>
        <v>193583.740837045</v>
      </c>
      <c r="BG91" s="180" t="n">
        <f aca="false">BG90+AZ91-BA91</f>
        <v>150000</v>
      </c>
      <c r="BH91" s="180" t="n">
        <f aca="false">BH90+BE91</f>
        <v>0</v>
      </c>
      <c r="BI91" s="180" t="n">
        <f aca="false">BF91+BH91-BG91</f>
        <v>43583.7408370448</v>
      </c>
      <c r="BJ91" s="180" t="n">
        <f aca="false">MAX(0,IFERROR(INDEX(TAB_IR,MATCH($C91,TAB_IR_DIAS,1),MATCH($E$8,TAB_IR_REGIMES,0)),0)*IF($E$26=2,BF91,MAX(0,BI91))-BH91)</f>
        <v>13075.1222511134</v>
      </c>
      <c r="BK91" s="181" t="n">
        <f aca="false">MAX(0,BF91-BJ91-BF91*$E$25)</f>
        <v>180508.618585931</v>
      </c>
      <c r="BL91" s="180" t="n">
        <f aca="false">BK91/$D91</f>
        <v>163649.466698435</v>
      </c>
      <c r="BN91" s="180" t="n">
        <f aca="false">BU90</f>
        <v>191944.773296558</v>
      </c>
      <c r="BO91" s="180" t="n">
        <f aca="false">IF($F$9=0,0,IF($A91&gt;IN_PRAZO,0,IF(APORTE_CORRIGIDO="Sim",IN_APORTE*$D91,IN_APORTE))+IF(AND($F$35=1,PGBL_REINVESTE="Sim",$A91&gt;=13,$A91&lt;=IN_PRAZO,MONTH($B91)=5),PGBL_BENEFICIO,0))</f>
        <v>0</v>
      </c>
      <c r="BP91" s="180" t="n">
        <f aca="false">BO91*$F$24</f>
        <v>0</v>
      </c>
      <c r="BQ91" s="180" t="n">
        <f aca="false">BN91*$F$19</f>
        <v>1878.89850710753</v>
      </c>
      <c r="BR91" s="180" t="n">
        <f aca="false">BN91*$F$22</f>
        <v>239.930966620698</v>
      </c>
      <c r="BS91" s="180" t="n">
        <f aca="false">$F$23*MAX(0,BQ91-BN91*$F$18)</f>
        <v>0</v>
      </c>
      <c r="BT91" s="180" t="n">
        <f aca="false">IF(AND($F$27=1,OR(MONTH($B91)=5,MONTH($B91)=11)),MAX(0,$F$28*MAX(0,(BN91+BQ91-BR91-BS91+BO91-BP91)+BW90-BV91)-BW90),0)</f>
        <v>0</v>
      </c>
      <c r="BU91" s="181" t="n">
        <f aca="false">BN91+BQ91-BR91-BS91+BO91-BP91-BT91</f>
        <v>193583.740837045</v>
      </c>
      <c r="BV91" s="180" t="n">
        <f aca="false">BV90+BO91-BP91</f>
        <v>150000</v>
      </c>
      <c r="BW91" s="180" t="n">
        <f aca="false">BW90+BT91</f>
        <v>0</v>
      </c>
      <c r="BX91" s="180" t="n">
        <f aca="false">BU91+BW91-BV91</f>
        <v>43583.7408370448</v>
      </c>
      <c r="BY91" s="180" t="n">
        <f aca="false">MAX(0,IFERROR(INDEX(TAB_IR,MATCH($C91,TAB_IR_DIAS,1),MATCH($F$8,TAB_IR_REGIMES,0)),0)*IF($F$26=2,BU91,MAX(0,BX91))-BW91)</f>
        <v>58075.1222511134</v>
      </c>
      <c r="BZ91" s="181" t="n">
        <f aca="false">MAX(0,BU91-BY91-BU91*$F$25)</f>
        <v>135508.618585931</v>
      </c>
      <c r="CA91" s="180" t="n">
        <f aca="false">BZ91/$D91</f>
        <v>122852.378675052</v>
      </c>
      <c r="CC91" s="180" t="n">
        <f aca="false">CJ90</f>
        <v>180046.427479417</v>
      </c>
      <c r="CD91" s="180" t="n">
        <f aca="false">IF($G$9=0,0,IF($A91&gt;IN_PRAZO,0,IF(APORTE_CORRIGIDO="Sim",IN_APORTE*$D91,IN_APORTE))+IF(AND($G$35=1,PGBL_REINVESTE="Sim",$A91&gt;=13,$A91&lt;=IN_PRAZO,MONTH($B91)=5),PGBL_BENEFICIO,0))</f>
        <v>0</v>
      </c>
      <c r="CE91" s="180" t="n">
        <f aca="false">CD91*$G$24</f>
        <v>0</v>
      </c>
      <c r="CF91" s="180" t="n">
        <f aca="false">CC91*$G$19</f>
        <v>1468.67929888079</v>
      </c>
      <c r="CG91" s="180" t="n">
        <f aca="false">CC91*$G$22</f>
        <v>150.038689566181</v>
      </c>
      <c r="CH91" s="180" t="n">
        <f aca="false">$G$23*MAX(0,CF91-CC91*$G$18)</f>
        <v>0</v>
      </c>
      <c r="CI91" s="180" t="n">
        <f aca="false">IF(AND($G$27=1,OR(MONTH($B91)=5,MONTH($B91)=11)),MAX(0,$G$28*MAX(0,(CC91+CF91-CG91-CH91+CD91-CE91)+CL90-CK91)-CL90),0)</f>
        <v>0</v>
      </c>
      <c r="CJ91" s="181" t="n">
        <f aca="false">CC91+CF91-CG91-CH91+CD91-CE91-CI91</f>
        <v>181365.068088731</v>
      </c>
      <c r="CK91" s="180" t="n">
        <f aca="false">CK90+CD91-CE91</f>
        <v>150000</v>
      </c>
      <c r="CL91" s="180" t="n">
        <f aca="false">CL90+CI91</f>
        <v>4841.97152623513</v>
      </c>
      <c r="CM91" s="180" t="n">
        <f aca="false">CJ91+CL91-CK91</f>
        <v>36207.0396149666</v>
      </c>
      <c r="CN91" s="180" t="n">
        <f aca="false">MAX(0,IFERROR(INDEX(TAB_IR,MATCH($C91,TAB_IR_DIAS,1),MATCH($G$8,TAB_IR_REGIMES,0)),0)*IF($G$26=2,CJ91,MAX(0,CM91))-CL91)</f>
        <v>589.084416009857</v>
      </c>
      <c r="CO91" s="181" t="n">
        <f aca="false">MAX(0,CJ91-CN91-CJ91*$G$25)</f>
        <v>180775.983672722</v>
      </c>
      <c r="CP91" s="180" t="n">
        <f aca="false">CO91/$D91</f>
        <v>163891.860409105</v>
      </c>
    </row>
    <row r="92" customFormat="false" ht="12" hidden="false" customHeight="true" outlineLevel="0" collapsed="false">
      <c r="A92" s="177" t="n">
        <v>31</v>
      </c>
      <c r="B92" s="178" t="n">
        <f aca="false">EDATE(DATA_INICIO,$A92)</f>
        <v>47200</v>
      </c>
      <c r="C92" s="177" t="n">
        <f aca="false">$A92*30</f>
        <v>930</v>
      </c>
      <c r="D92" s="179" t="n">
        <f aca="false">(1+IPCA_CENARIO)^($A92/12)</f>
        <v>1.10663090131144</v>
      </c>
      <c r="F92" s="180" t="n">
        <f aca="false">M91</f>
        <v>198145.89374485</v>
      </c>
      <c r="G92" s="180" t="n">
        <f aca="false">IF($B$9=0,0,IF($A92&gt;IN_PRAZO,0,IF(APORTE_CORRIGIDO="Sim",IN_APORTE*$D92,IN_APORTE))+IF(AND($B$35=1,PGBL_REINVESTE="Sim",$A92&gt;=13,$A92&lt;=IN_PRAZO,MONTH($B92)=5),PGBL_BENEFICIO,0))</f>
        <v>0</v>
      </c>
      <c r="H92" s="180" t="n">
        <f aca="false">G92*$B$24</f>
        <v>0</v>
      </c>
      <c r="I92" s="180" t="n">
        <f aca="false">F92*$B$19</f>
        <v>1880.16535658278</v>
      </c>
      <c r="J92" s="180" t="n">
        <f aca="false">F92*$B$22</f>
        <v>33.0243156241417</v>
      </c>
      <c r="K92" s="180" t="n">
        <f aca="false">$B$23*MAX(0,I92-F92*$B$18)</f>
        <v>0</v>
      </c>
      <c r="L92" s="180" t="n">
        <f aca="false">IF(AND($B$27=1,OR(MONTH($B92)=5,MONTH($B92)=11)),MAX(0,$B$28*MAX(0,(F92+I92-J92-K92+G92-H92)+O91-N92)-O91),0)</f>
        <v>0</v>
      </c>
      <c r="M92" s="181" t="n">
        <f aca="false">F92+I92-J92-K92+G92-H92-L92</f>
        <v>199993.034785809</v>
      </c>
      <c r="N92" s="180" t="n">
        <f aca="false">N91+G92-H92</f>
        <v>150000</v>
      </c>
      <c r="O92" s="180" t="n">
        <f aca="false">O91+L92</f>
        <v>0</v>
      </c>
      <c r="P92" s="180" t="n">
        <f aca="false">M92+O92-N92</f>
        <v>49993.0347858091</v>
      </c>
      <c r="Q92" s="180" t="n">
        <f aca="false">MAX(0,IFERROR(INDEX(TAB_IR,MATCH($C92,TAB_IR_DIAS,1),MATCH($B$8,TAB_IR_REGIMES,0)),0)*IF($B$26=2,M92,MAX(0,P92))-O92)</f>
        <v>7498.95521787137</v>
      </c>
      <c r="R92" s="181" t="n">
        <f aca="false">MAX(0,M92-Q92-M92*$B$25)</f>
        <v>192494.079567938</v>
      </c>
      <c r="S92" s="180" t="n">
        <f aca="false">R92/$D92</f>
        <v>173946.054949141</v>
      </c>
      <c r="U92" s="180" t="n">
        <f aca="false">AB91</f>
        <v>190451.847466495</v>
      </c>
      <c r="V92" s="180" t="n">
        <f aca="false">IF($C$9=0,0,IF($A92&gt;IN_PRAZO,0,IF(APORTE_CORRIGIDO="Sim",IN_APORTE*$D92,IN_APORTE))+IF(AND($C$35=1,PGBL_REINVESTE="Sim",$A92&gt;=13,$A92&lt;=IN_PRAZO,MONTH($B92)=5),PGBL_BENEFICIO,0))</f>
        <v>0</v>
      </c>
      <c r="W92" s="180" t="n">
        <f aca="false">V92*$C$24</f>
        <v>0</v>
      </c>
      <c r="X92" s="180" t="n">
        <f aca="false">U92*$C$19</f>
        <v>1553.55865552856</v>
      </c>
      <c r="Y92" s="180" t="n">
        <f aca="false">U92*$C$22</f>
        <v>31.7419745777492</v>
      </c>
      <c r="Z92" s="180" t="n">
        <f aca="false">$C$23*MAX(0,X92-U92*$C$18)</f>
        <v>0</v>
      </c>
      <c r="AA92" s="180" t="n">
        <f aca="false">IF(AND($C$27=1,OR(MONTH($B92)=5,MONTH($B92)=11)),MAX(0,$C$28*MAX(0,(U92+X92-Y92-Z92+V92-W92)+AD91-AC92)-AD91),0)</f>
        <v>0</v>
      </c>
      <c r="AB92" s="181" t="n">
        <f aca="false">U92+X92-Y92-Z92+V92-W92-AA92</f>
        <v>191973.664147446</v>
      </c>
      <c r="AC92" s="180" t="n">
        <f aca="false">AC91+V92-W92</f>
        <v>150000</v>
      </c>
      <c r="AD92" s="180" t="n">
        <f aca="false">AD91+AA92</f>
        <v>0</v>
      </c>
      <c r="AE92" s="180" t="n">
        <f aca="false">AB92+AD92-AC92</f>
        <v>41973.6641474461</v>
      </c>
      <c r="AF92" s="180" t="n">
        <f aca="false">MAX(0,IFERROR(INDEX(TAB_IR,MATCH($C92,TAB_IR_DIAS,1),MATCH($C$8,TAB_IR_REGIMES,0)),0)*IF($C$26=2,AB92,MAX(0,AE92))-AD92)</f>
        <v>6296.04962211692</v>
      </c>
      <c r="AG92" s="181" t="n">
        <f aca="false">MAX(0,AB92-AF92-AB92*$C$25)</f>
        <v>185677.614525329</v>
      </c>
      <c r="AH92" s="180" t="n">
        <f aca="false">AG92/$D92</f>
        <v>167786.399517027</v>
      </c>
      <c r="AJ92" s="180" t="n">
        <f aca="false">AQ91</f>
        <v>185312.77563614</v>
      </c>
      <c r="AK92" s="180" t="n">
        <f aca="false">IF($D$9=0,0,IF($A92&gt;IN_PRAZO,0,IF(APORTE_CORRIGIDO="Sim",IN_APORTE*$D92,IN_APORTE))+IF(AND($D$35=1,PGBL_REINVESTE="Sim",$A92&gt;=13,$A92&lt;=IN_PRAZO,MONTH($B92)=5),PGBL_BENEFICIO,0))</f>
        <v>0</v>
      </c>
      <c r="AL92" s="180" t="n">
        <f aca="false">AK92*$D$24</f>
        <v>0</v>
      </c>
      <c r="AM92" s="180" t="n">
        <f aca="false">AJ92*$D$19</f>
        <v>1665.72039960377</v>
      </c>
      <c r="AN92" s="180" t="n">
        <f aca="false">AJ92*$D$22</f>
        <v>154.427313030117</v>
      </c>
      <c r="AO92" s="180" t="n">
        <f aca="false">$D$23*MAX(0,AM92-AJ92*$D$18)</f>
        <v>0</v>
      </c>
      <c r="AP92" s="180" t="n">
        <f aca="false">IF(AND($D$27=1,OR(MONTH($B92)=5,MONTH($B92)=11)),MAX(0,$D$28*MAX(0,(AJ92+AM92-AN92-AO92+AK92-AL92)+AS91-AR92)-AS91),0)</f>
        <v>0</v>
      </c>
      <c r="AQ92" s="181" t="n">
        <f aca="false">AJ92+AM92-AN92-AO92+AK92-AL92-AP92</f>
        <v>186824.068722714</v>
      </c>
      <c r="AR92" s="180" t="n">
        <f aca="false">AR91+AK92-AL92</f>
        <v>150000</v>
      </c>
      <c r="AS92" s="180" t="n">
        <f aca="false">AS91+AP92</f>
        <v>5444.44486626017</v>
      </c>
      <c r="AT92" s="180" t="n">
        <f aca="false">AQ92+AS92-AR92</f>
        <v>42268.5135889742</v>
      </c>
      <c r="AU92" s="180" t="n">
        <f aca="false">MAX(0,IFERROR(INDEX(TAB_IR,MATCH($C92,TAB_IR_DIAS,1),MATCH($D$8,TAB_IR_REGIMES,0)),0)*IF($D$26=2,AQ92,MAX(0,AT92))-AS92)</f>
        <v>895.832172085961</v>
      </c>
      <c r="AV92" s="181" t="n">
        <f aca="false">MAX(0,AQ92-AU92-AQ92*$D$25)</f>
        <v>185928.236550628</v>
      </c>
      <c r="AW92" s="180" t="n">
        <f aca="false">AV92/$D92</f>
        <v>168012.872521713</v>
      </c>
      <c r="AY92" s="180" t="n">
        <f aca="false">BF91</f>
        <v>193583.740837045</v>
      </c>
      <c r="AZ92" s="180" t="n">
        <f aca="false">IF($E$9=0,0,IF($A92&gt;IN_PRAZO,0,IF(APORTE_CORRIGIDO="Sim",IN_APORTE*$D92,IN_APORTE))+IF(AND($E$35=1,PGBL_REINVESTE="Sim",$A92&gt;=13,$A92&lt;=IN_PRAZO,MONTH($B92)=5),PGBL_BENEFICIO,0))</f>
        <v>0</v>
      </c>
      <c r="BA92" s="180" t="n">
        <f aca="false">AZ92*$E$24</f>
        <v>0</v>
      </c>
      <c r="BB92" s="180" t="n">
        <f aca="false">AY92*$E$19</f>
        <v>1894.94194299864</v>
      </c>
      <c r="BC92" s="180" t="n">
        <f aca="false">AY92*$E$22</f>
        <v>241.979676046306</v>
      </c>
      <c r="BD92" s="180" t="n">
        <f aca="false">$E$23*MAX(0,BB92-AY92*$E$18)</f>
        <v>0</v>
      </c>
      <c r="BE92" s="180" t="n">
        <f aca="false">IF(AND($E$27=1,OR(MONTH($B92)=5,MONTH($B92)=11)),MAX(0,$E$28*MAX(0,(AY92+BB92-BC92-BD92+AZ92-BA92)+BH91-BG92)-BH91),0)</f>
        <v>0</v>
      </c>
      <c r="BF92" s="181" t="n">
        <f aca="false">AY92+BB92-BC92-BD92+AZ92-BA92-BE92</f>
        <v>195236.703103997</v>
      </c>
      <c r="BG92" s="180" t="n">
        <f aca="false">BG91+AZ92-BA92</f>
        <v>150000</v>
      </c>
      <c r="BH92" s="180" t="n">
        <f aca="false">BH91+BE92</f>
        <v>0</v>
      </c>
      <c r="BI92" s="180" t="n">
        <f aca="false">BF92+BH92-BG92</f>
        <v>45236.7031039971</v>
      </c>
      <c r="BJ92" s="180" t="n">
        <f aca="false">MAX(0,IFERROR(INDEX(TAB_IR,MATCH($C92,TAB_IR_DIAS,1),MATCH($E$8,TAB_IR_REGIMES,0)),0)*IF($E$26=2,BF92,MAX(0,BI92))-BH92)</f>
        <v>13571.0109311991</v>
      </c>
      <c r="BK92" s="181" t="n">
        <f aca="false">MAX(0,BF92-BJ92-BF92*$E$25)</f>
        <v>181665.692172798</v>
      </c>
      <c r="BL92" s="180" t="n">
        <f aca="false">BK92/$D92</f>
        <v>164161.051311246</v>
      </c>
      <c r="BN92" s="180" t="n">
        <f aca="false">BU91</f>
        <v>193583.740837045</v>
      </c>
      <c r="BO92" s="180" t="n">
        <f aca="false">IF($F$9=0,0,IF($A92&gt;IN_PRAZO,0,IF(APORTE_CORRIGIDO="Sim",IN_APORTE*$D92,IN_APORTE))+IF(AND($F$35=1,PGBL_REINVESTE="Sim",$A92&gt;=13,$A92&lt;=IN_PRAZO,MONTH($B92)=5),PGBL_BENEFICIO,0))</f>
        <v>0</v>
      </c>
      <c r="BP92" s="180" t="n">
        <f aca="false">BO92*$F$24</f>
        <v>0</v>
      </c>
      <c r="BQ92" s="180" t="n">
        <f aca="false">BN92*$F$19</f>
        <v>1894.94194299864</v>
      </c>
      <c r="BR92" s="180" t="n">
        <f aca="false">BN92*$F$22</f>
        <v>241.979676046306</v>
      </c>
      <c r="BS92" s="180" t="n">
        <f aca="false">$F$23*MAX(0,BQ92-BN92*$F$18)</f>
        <v>0</v>
      </c>
      <c r="BT92" s="180" t="n">
        <f aca="false">IF(AND($F$27=1,OR(MONTH($B92)=5,MONTH($B92)=11)),MAX(0,$F$28*MAX(0,(BN92+BQ92-BR92-BS92+BO92-BP92)+BW91-BV92)-BW91),0)</f>
        <v>0</v>
      </c>
      <c r="BU92" s="181" t="n">
        <f aca="false">BN92+BQ92-BR92-BS92+BO92-BP92-BT92</f>
        <v>195236.703103997</v>
      </c>
      <c r="BV92" s="180" t="n">
        <f aca="false">BV91+BO92-BP92</f>
        <v>150000</v>
      </c>
      <c r="BW92" s="180" t="n">
        <f aca="false">BW91+BT92</f>
        <v>0</v>
      </c>
      <c r="BX92" s="180" t="n">
        <f aca="false">BU92+BW92-BV92</f>
        <v>45236.7031039971</v>
      </c>
      <c r="BY92" s="180" t="n">
        <f aca="false">MAX(0,IFERROR(INDEX(TAB_IR,MATCH($C92,TAB_IR_DIAS,1),MATCH($F$8,TAB_IR_REGIMES,0)),0)*IF($F$26=2,BU92,MAX(0,BX92))-BW92)</f>
        <v>58571.0109311991</v>
      </c>
      <c r="BZ92" s="181" t="n">
        <f aca="false">MAX(0,BU92-BY92-BU92*$F$25)</f>
        <v>136665.692172798</v>
      </c>
      <c r="CA92" s="180" t="n">
        <f aca="false">BZ92/$D92</f>
        <v>123497.086527078</v>
      </c>
      <c r="CC92" s="180" t="n">
        <f aca="false">CJ91</f>
        <v>181365.068088731</v>
      </c>
      <c r="CD92" s="180" t="n">
        <f aca="false">IF($G$9=0,0,IF($A92&gt;IN_PRAZO,0,IF(APORTE_CORRIGIDO="Sim",IN_APORTE*$D92,IN_APORTE))+IF(AND($G$35=1,PGBL_REINVESTE="Sim",$A92&gt;=13,$A92&lt;=IN_PRAZO,MONTH($B92)=5),PGBL_BENEFICIO,0))</f>
        <v>0</v>
      </c>
      <c r="CE92" s="180" t="n">
        <f aca="false">CD92*$G$24</f>
        <v>0</v>
      </c>
      <c r="CF92" s="180" t="n">
        <f aca="false">CC92*$G$19</f>
        <v>1479.43574760724</v>
      </c>
      <c r="CG92" s="180" t="n">
        <f aca="false">CC92*$G$22</f>
        <v>151.13755674061</v>
      </c>
      <c r="CH92" s="180" t="n">
        <f aca="false">$G$23*MAX(0,CF92-CC92*$G$18)</f>
        <v>0</v>
      </c>
      <c r="CI92" s="180" t="n">
        <f aca="false">IF(AND($G$27=1,OR(MONTH($B92)=5,MONTH($B92)=11)),MAX(0,$G$28*MAX(0,(CC92+CF92-CG92-CH92+CD92-CE92)+CL91-CK92)-CL91),0)</f>
        <v>0</v>
      </c>
      <c r="CJ92" s="181" t="n">
        <f aca="false">CC92+CF92-CG92-CH92+CD92-CE92-CI92</f>
        <v>182693.366279598</v>
      </c>
      <c r="CK92" s="180" t="n">
        <f aca="false">CK91+CD92-CE92</f>
        <v>150000</v>
      </c>
      <c r="CL92" s="180" t="n">
        <f aca="false">CL91+CI92</f>
        <v>4841.97152623513</v>
      </c>
      <c r="CM92" s="180" t="n">
        <f aca="false">CJ92+CL92-CK92</f>
        <v>37535.3378058332</v>
      </c>
      <c r="CN92" s="180" t="n">
        <f aca="false">MAX(0,IFERROR(INDEX(TAB_IR,MATCH($C92,TAB_IR_DIAS,1),MATCH($G$8,TAB_IR_REGIMES,0)),0)*IF($G$26=2,CJ92,MAX(0,CM92))-CL92)</f>
        <v>788.329144639851</v>
      </c>
      <c r="CO92" s="181" t="n">
        <f aca="false">MAX(0,CJ92-CN92-CJ92*$G$25)</f>
        <v>181905.037134958</v>
      </c>
      <c r="CP92" s="180" t="n">
        <f aca="false">CO92/$D92</f>
        <v>164377.333869303</v>
      </c>
    </row>
    <row r="93" customFormat="false" ht="12" hidden="false" customHeight="true" outlineLevel="0" collapsed="false">
      <c r="A93" s="177" t="n">
        <v>32</v>
      </c>
      <c r="B93" s="178" t="n">
        <f aca="false">EDATE(DATA_INICIO,$A93)</f>
        <v>47231</v>
      </c>
      <c r="C93" s="177" t="n">
        <f aca="false">$A93*30</f>
        <v>960</v>
      </c>
      <c r="D93" s="179" t="n">
        <f aca="false">(1+IPCA_CENARIO)^($A93/12)</f>
        <v>1.11025372291728</v>
      </c>
      <c r="F93" s="180" t="n">
        <f aca="false">M92</f>
        <v>199993.034785809</v>
      </c>
      <c r="G93" s="180" t="n">
        <f aca="false">IF($B$9=0,0,IF($A93&gt;IN_PRAZO,0,IF(APORTE_CORRIGIDO="Sim",IN_APORTE*$D93,IN_APORTE))+IF(AND($B$35=1,PGBL_REINVESTE="Sim",$A93&gt;=13,$A93&lt;=IN_PRAZO,MONTH($B93)=5),PGBL_BENEFICIO,0))</f>
        <v>0</v>
      </c>
      <c r="H93" s="180" t="n">
        <f aca="false">G93*$B$24</f>
        <v>0</v>
      </c>
      <c r="I93" s="180" t="n">
        <f aca="false">F93*$B$19</f>
        <v>1897.69249544141</v>
      </c>
      <c r="J93" s="180" t="n">
        <f aca="false">F93*$B$22</f>
        <v>33.3321724643015</v>
      </c>
      <c r="K93" s="180" t="n">
        <f aca="false">$B$23*MAX(0,I93-F93*$B$18)</f>
        <v>0</v>
      </c>
      <c r="L93" s="180" t="n">
        <f aca="false">IF(AND($B$27=1,OR(MONTH($B93)=5,MONTH($B93)=11)),MAX(0,$B$28*MAX(0,(F93+I93-J93-K93+G93-H93)+O92-N93)-O92),0)</f>
        <v>0</v>
      </c>
      <c r="M93" s="181" t="n">
        <f aca="false">F93+I93-J93-K93+G93-H93-L93</f>
        <v>201857.395108786</v>
      </c>
      <c r="N93" s="180" t="n">
        <f aca="false">N92+G93-H93</f>
        <v>150000</v>
      </c>
      <c r="O93" s="180" t="n">
        <f aca="false">O92+L93</f>
        <v>0</v>
      </c>
      <c r="P93" s="180" t="n">
        <f aca="false">M93+O93-N93</f>
        <v>51857.3951087862</v>
      </c>
      <c r="Q93" s="180" t="n">
        <f aca="false">MAX(0,IFERROR(INDEX(TAB_IR,MATCH($C93,TAB_IR_DIAS,1),MATCH($B$8,TAB_IR_REGIMES,0)),0)*IF($B$26=2,M93,MAX(0,P93))-O93)</f>
        <v>7778.60926631794</v>
      </c>
      <c r="R93" s="181" t="n">
        <f aca="false">MAX(0,M93-Q93-M93*$B$25)</f>
        <v>194078.785842468</v>
      </c>
      <c r="S93" s="180" t="n">
        <f aca="false">R93/$D93</f>
        <v>174805.796041387</v>
      </c>
      <c r="U93" s="180" t="n">
        <f aca="false">AB92</f>
        <v>191973.664147446</v>
      </c>
      <c r="V93" s="180" t="n">
        <f aca="false">IF($C$9=0,0,IF($A93&gt;IN_PRAZO,0,IF(APORTE_CORRIGIDO="Sim",IN_APORTE*$D93,IN_APORTE))+IF(AND($C$35=1,PGBL_REINVESTE="Sim",$A93&gt;=13,$A93&lt;=IN_PRAZO,MONTH($B93)=5),PGBL_BENEFICIO,0))</f>
        <v>0</v>
      </c>
      <c r="W93" s="180" t="n">
        <f aca="false">V93*$C$24</f>
        <v>0</v>
      </c>
      <c r="X93" s="180" t="n">
        <f aca="false">U93*$C$19</f>
        <v>1565.97245727566</v>
      </c>
      <c r="Y93" s="180" t="n">
        <f aca="false">U93*$C$22</f>
        <v>31.995610691241</v>
      </c>
      <c r="Z93" s="180" t="n">
        <f aca="false">$C$23*MAX(0,X93-U93*$C$18)</f>
        <v>0</v>
      </c>
      <c r="AA93" s="180" t="n">
        <f aca="false">IF(AND($C$27=1,OR(MONTH($B93)=5,MONTH($B93)=11)),MAX(0,$C$28*MAX(0,(U93+X93-Y93-Z93+V93-W93)+AD92-AC93)-AD92),0)</f>
        <v>0</v>
      </c>
      <c r="AB93" s="181" t="n">
        <f aca="false">U93+X93-Y93-Z93+V93-W93-AA93</f>
        <v>193507.640994031</v>
      </c>
      <c r="AC93" s="180" t="n">
        <f aca="false">AC92+V93-W93</f>
        <v>150000</v>
      </c>
      <c r="AD93" s="180" t="n">
        <f aca="false">AD92+AA93</f>
        <v>0</v>
      </c>
      <c r="AE93" s="180" t="n">
        <f aca="false">AB93+AD93-AC93</f>
        <v>43507.6409940305</v>
      </c>
      <c r="AF93" s="180" t="n">
        <f aca="false">MAX(0,IFERROR(INDEX(TAB_IR,MATCH($C93,TAB_IR_DIAS,1),MATCH($C$8,TAB_IR_REGIMES,0)),0)*IF($C$26=2,AB93,MAX(0,AE93))-AD93)</f>
        <v>6526.14614910458</v>
      </c>
      <c r="AG93" s="181" t="n">
        <f aca="false">MAX(0,AB93-AF93-AB93*$C$25)</f>
        <v>186981.494844926</v>
      </c>
      <c r="AH93" s="180" t="n">
        <f aca="false">AG93/$D93</f>
        <v>168413.301379092</v>
      </c>
      <c r="AJ93" s="180" t="n">
        <f aca="false">AQ92</f>
        <v>186824.068722714</v>
      </c>
      <c r="AK93" s="180" t="n">
        <f aca="false">IF($D$9=0,0,IF($A93&gt;IN_PRAZO,0,IF(APORTE_CORRIGIDO="Sim",IN_APORTE*$D93,IN_APORTE))+IF(AND($D$35=1,PGBL_REINVESTE="Sim",$A93&gt;=13,$A93&lt;=IN_PRAZO,MONTH($B93)=5),PGBL_BENEFICIO,0))</f>
        <v>0</v>
      </c>
      <c r="AL93" s="180" t="n">
        <f aca="false">AK93*$D$24</f>
        <v>0</v>
      </c>
      <c r="AM93" s="180" t="n">
        <f aca="false">AJ93*$D$19</f>
        <v>1679.30495531205</v>
      </c>
      <c r="AN93" s="180" t="n">
        <f aca="false">AJ93*$D$22</f>
        <v>155.686723935595</v>
      </c>
      <c r="AO93" s="180" t="n">
        <f aca="false">$D$23*MAX(0,AM93-AJ93*$D$18)</f>
        <v>0</v>
      </c>
      <c r="AP93" s="180" t="n">
        <f aca="false">IF(AND($D$27=1,OR(MONTH($B93)=5,MONTH($B93)=11)),MAX(0,$D$28*MAX(0,(AJ93+AM93-AN93-AO93+AK93-AL93)+AS92-AR93)-AS92),0)</f>
        <v>0</v>
      </c>
      <c r="AQ93" s="181" t="n">
        <f aca="false">AJ93+AM93-AN93-AO93+AK93-AL93-AP93</f>
        <v>188347.686954091</v>
      </c>
      <c r="AR93" s="180" t="n">
        <f aca="false">AR92+AK93-AL93</f>
        <v>150000</v>
      </c>
      <c r="AS93" s="180" t="n">
        <f aca="false">AS92+AP93</f>
        <v>5444.44486626017</v>
      </c>
      <c r="AT93" s="180" t="n">
        <f aca="false">AQ93+AS93-AR93</f>
        <v>43792.1318203507</v>
      </c>
      <c r="AU93" s="180" t="n">
        <f aca="false">MAX(0,IFERROR(INDEX(TAB_IR,MATCH($C93,TAB_IR_DIAS,1),MATCH($D$8,TAB_IR_REGIMES,0)),0)*IF($D$26=2,AQ93,MAX(0,AT93))-AS93)</f>
        <v>1124.37490679243</v>
      </c>
      <c r="AV93" s="181" t="n">
        <f aca="false">MAX(0,AQ93-AU93-AQ93*$D$25)</f>
        <v>187223.312047298</v>
      </c>
      <c r="AW93" s="180" t="n">
        <f aca="false">AV93/$D93</f>
        <v>168631.1049292</v>
      </c>
      <c r="AY93" s="180" t="n">
        <f aca="false">BF92</f>
        <v>195236.703103997</v>
      </c>
      <c r="AZ93" s="180" t="n">
        <f aca="false">IF($E$9=0,0,IF($A93&gt;IN_PRAZO,0,IF(APORTE_CORRIGIDO="Sim",IN_APORTE*$D93,IN_APORTE))+IF(AND($E$35=1,PGBL_REINVESTE="Sim",$A93&gt;=13,$A93&lt;=IN_PRAZO,MONTH($B93)=5),PGBL_BENEFICIO,0))</f>
        <v>0</v>
      </c>
      <c r="BA93" s="180" t="n">
        <f aca="false">AZ93*$E$24</f>
        <v>0</v>
      </c>
      <c r="BB93" s="180" t="n">
        <f aca="false">AY93*$E$19</f>
        <v>1911.12236970338</v>
      </c>
      <c r="BC93" s="180" t="n">
        <f aca="false">AY93*$E$22</f>
        <v>244.045878879996</v>
      </c>
      <c r="BD93" s="180" t="n">
        <f aca="false">$E$23*MAX(0,BB93-AY93*$E$18)</f>
        <v>0</v>
      </c>
      <c r="BE93" s="180" t="n">
        <f aca="false">IF(AND($E$27=1,OR(MONTH($B93)=5,MONTH($B93)=11)),MAX(0,$E$28*MAX(0,(AY93+BB93-BC93-BD93+AZ93-BA93)+BH92-BG93)-BH92),0)</f>
        <v>0</v>
      </c>
      <c r="BF93" s="181" t="n">
        <f aca="false">AY93+BB93-BC93-BD93+AZ93-BA93-BE93</f>
        <v>196903.779594821</v>
      </c>
      <c r="BG93" s="180" t="n">
        <f aca="false">BG92+AZ93-BA93</f>
        <v>150000</v>
      </c>
      <c r="BH93" s="180" t="n">
        <f aca="false">BH92+BE93</f>
        <v>0</v>
      </c>
      <c r="BI93" s="180" t="n">
        <f aca="false">BF93+BH93-BG93</f>
        <v>46903.7795948205</v>
      </c>
      <c r="BJ93" s="180" t="n">
        <f aca="false">MAX(0,IFERROR(INDEX(TAB_IR,MATCH($C93,TAB_IR_DIAS,1),MATCH($E$8,TAB_IR_REGIMES,0)),0)*IF($E$26=2,BF93,MAX(0,BI93))-BH93)</f>
        <v>14071.1338784462</v>
      </c>
      <c r="BK93" s="181" t="n">
        <f aca="false">MAX(0,BF93-BJ93-BF93*$E$25)</f>
        <v>182832.645716374</v>
      </c>
      <c r="BL93" s="180" t="n">
        <f aca="false">BK93/$D93</f>
        <v>164676.453627165</v>
      </c>
      <c r="BN93" s="180" t="n">
        <f aca="false">BU92</f>
        <v>195236.703103997</v>
      </c>
      <c r="BO93" s="180" t="n">
        <f aca="false">IF($F$9=0,0,IF($A93&gt;IN_PRAZO,0,IF(APORTE_CORRIGIDO="Sim",IN_APORTE*$D93,IN_APORTE))+IF(AND($F$35=1,PGBL_REINVESTE="Sim",$A93&gt;=13,$A93&lt;=IN_PRAZO,MONTH($B93)=5),PGBL_BENEFICIO,0))</f>
        <v>0</v>
      </c>
      <c r="BP93" s="180" t="n">
        <f aca="false">BO93*$F$24</f>
        <v>0</v>
      </c>
      <c r="BQ93" s="180" t="n">
        <f aca="false">BN93*$F$19</f>
        <v>1911.12236970338</v>
      </c>
      <c r="BR93" s="180" t="n">
        <f aca="false">BN93*$F$22</f>
        <v>244.045878879996</v>
      </c>
      <c r="BS93" s="180" t="n">
        <f aca="false">$F$23*MAX(0,BQ93-BN93*$F$18)</f>
        <v>0</v>
      </c>
      <c r="BT93" s="180" t="n">
        <f aca="false">IF(AND($F$27=1,OR(MONTH($B93)=5,MONTH($B93)=11)),MAX(0,$F$28*MAX(0,(BN93+BQ93-BR93-BS93+BO93-BP93)+BW92-BV93)-BW92),0)</f>
        <v>0</v>
      </c>
      <c r="BU93" s="181" t="n">
        <f aca="false">BN93+BQ93-BR93-BS93+BO93-BP93-BT93</f>
        <v>196903.779594821</v>
      </c>
      <c r="BV93" s="180" t="n">
        <f aca="false">BV92+BO93-BP93</f>
        <v>150000</v>
      </c>
      <c r="BW93" s="180" t="n">
        <f aca="false">BW92+BT93</f>
        <v>0</v>
      </c>
      <c r="BX93" s="180" t="n">
        <f aca="false">BU93+BW93-BV93</f>
        <v>46903.7795948205</v>
      </c>
      <c r="BY93" s="180" t="n">
        <f aca="false">MAX(0,IFERROR(INDEX(TAB_IR,MATCH($C93,TAB_IR_DIAS,1),MATCH($F$8,TAB_IR_REGIMES,0)),0)*IF($F$26=2,BU93,MAX(0,BX93))-BW93)</f>
        <v>59071.1338784462</v>
      </c>
      <c r="BZ93" s="181" t="n">
        <f aca="false">MAX(0,BU93-BY93-BU93*$F$25)</f>
        <v>137832.645716374</v>
      </c>
      <c r="CA93" s="180" t="n">
        <f aca="false">BZ93/$D93</f>
        <v>124145.177693445</v>
      </c>
      <c r="CC93" s="180" t="n">
        <f aca="false">CJ92</f>
        <v>182693.366279598</v>
      </c>
      <c r="CD93" s="180" t="n">
        <f aca="false">IF($G$9=0,0,IF($A93&gt;IN_PRAZO,0,IF(APORTE_CORRIGIDO="Sim",IN_APORTE*$D93,IN_APORTE))+IF(AND($G$35=1,PGBL_REINVESTE="Sim",$A93&gt;=13,$A93&lt;=IN_PRAZO,MONTH($B93)=5),PGBL_BENEFICIO,0))</f>
        <v>0</v>
      </c>
      <c r="CE93" s="180" t="n">
        <f aca="false">CD93*$G$24</f>
        <v>0</v>
      </c>
      <c r="CF93" s="180" t="n">
        <f aca="false">CC93*$G$19</f>
        <v>1490.27097540364</v>
      </c>
      <c r="CG93" s="180" t="n">
        <f aca="false">CC93*$G$22</f>
        <v>152.244471899665</v>
      </c>
      <c r="CH93" s="180" t="n">
        <f aca="false">$G$23*MAX(0,CF93-CC93*$G$18)</f>
        <v>0</v>
      </c>
      <c r="CI93" s="180" t="n">
        <f aca="false">IF(AND($G$27=1,OR(MONTH($B93)=5,MONTH($B93)=11)),MAX(0,$G$28*MAX(0,(CC93+CF93-CG93-CH93+CD93-CE93)+CL92-CK93)-CL92),0)</f>
        <v>0</v>
      </c>
      <c r="CJ93" s="181" t="n">
        <f aca="false">CC93+CF93-CG93-CH93+CD93-CE93-CI93</f>
        <v>184031.392783102</v>
      </c>
      <c r="CK93" s="180" t="n">
        <f aca="false">CK92+CD93-CE93</f>
        <v>150000</v>
      </c>
      <c r="CL93" s="180" t="n">
        <f aca="false">CL92+CI93</f>
        <v>4841.97152623513</v>
      </c>
      <c r="CM93" s="180" t="n">
        <f aca="false">CJ93+CL93-CK93</f>
        <v>38873.3643093372</v>
      </c>
      <c r="CN93" s="180" t="n">
        <f aca="false">MAX(0,IFERROR(INDEX(TAB_IR,MATCH($C93,TAB_IR_DIAS,1),MATCH($G$8,TAB_IR_REGIMES,0)),0)*IF($G$26=2,CJ93,MAX(0,CM93))-CL93)</f>
        <v>989.033120165445</v>
      </c>
      <c r="CO93" s="181" t="n">
        <f aca="false">MAX(0,CJ93-CN93-CJ93*$G$25)</f>
        <v>183042.359662937</v>
      </c>
      <c r="CP93" s="180" t="n">
        <f aca="false">CO93/$D93</f>
        <v>164865.341934615</v>
      </c>
    </row>
    <row r="94" customFormat="false" ht="12" hidden="false" customHeight="true" outlineLevel="0" collapsed="false">
      <c r="A94" s="177" t="n">
        <v>33</v>
      </c>
      <c r="B94" s="178" t="n">
        <f aca="false">EDATE(DATA_INICIO,$A94)</f>
        <v>47261</v>
      </c>
      <c r="C94" s="177" t="n">
        <f aca="false">$A94*30</f>
        <v>990</v>
      </c>
      <c r="D94" s="179" t="n">
        <f aca="false">(1+IPCA_CENARIO)^($A94/12)</f>
        <v>1.11388840469833</v>
      </c>
      <c r="F94" s="180" t="n">
        <f aca="false">M93</f>
        <v>201857.395108786</v>
      </c>
      <c r="G94" s="180" t="n">
        <f aca="false">IF($B$9=0,0,IF($A94&gt;IN_PRAZO,0,IF(APORTE_CORRIGIDO="Sim",IN_APORTE*$D94,IN_APORTE))+IF(AND($B$35=1,PGBL_REINVESTE="Sim",$A94&gt;=13,$A94&lt;=IN_PRAZO,MONTH($B94)=5),PGBL_BENEFICIO,0))</f>
        <v>0</v>
      </c>
      <c r="H94" s="180" t="n">
        <f aca="false">G94*$B$24</f>
        <v>0</v>
      </c>
      <c r="I94" s="180" t="n">
        <f aca="false">F94*$B$19</f>
        <v>1915.38302450159</v>
      </c>
      <c r="J94" s="180" t="n">
        <f aca="false">F94*$B$22</f>
        <v>33.6428991847977</v>
      </c>
      <c r="K94" s="180" t="n">
        <f aca="false">$B$23*MAX(0,I94-F94*$B$18)</f>
        <v>0</v>
      </c>
      <c r="L94" s="180" t="n">
        <f aca="false">IF(AND($B$27=1,OR(MONTH($B94)=5,MONTH($B94)=11)),MAX(0,$B$28*MAX(0,(F94+I94-J94-K94+G94-H94)+O93-N94)-O93),0)</f>
        <v>0</v>
      </c>
      <c r="M94" s="181" t="n">
        <f aca="false">F94+I94-J94-K94+G94-H94-L94</f>
        <v>203739.135234103</v>
      </c>
      <c r="N94" s="180" t="n">
        <f aca="false">N93+G94-H94</f>
        <v>150000</v>
      </c>
      <c r="O94" s="180" t="n">
        <f aca="false">O93+L94</f>
        <v>0</v>
      </c>
      <c r="P94" s="180" t="n">
        <f aca="false">M94+O94-N94</f>
        <v>53739.135234103</v>
      </c>
      <c r="Q94" s="180" t="n">
        <f aca="false">MAX(0,IFERROR(INDEX(TAB_IR,MATCH($C94,TAB_IR_DIAS,1),MATCH($B$8,TAB_IR_REGIMES,0)),0)*IF($B$26=2,M94,MAX(0,P94))-O94)</f>
        <v>8060.87028511545</v>
      </c>
      <c r="R94" s="181" t="n">
        <f aca="false">MAX(0,M94-Q94-M94*$B$25)</f>
        <v>195678.264948988</v>
      </c>
      <c r="S94" s="180" t="n">
        <f aca="false">R94/$D94</f>
        <v>175671.33666499</v>
      </c>
      <c r="U94" s="180" t="n">
        <f aca="false">AB93</f>
        <v>193507.640994031</v>
      </c>
      <c r="V94" s="180" t="n">
        <f aca="false">IF($C$9=0,0,IF($A94&gt;IN_PRAZO,0,IF(APORTE_CORRIGIDO="Sim",IN_APORTE*$D94,IN_APORTE))+IF(AND($C$35=1,PGBL_REINVESTE="Sim",$A94&gt;=13,$A94&lt;=IN_PRAZO,MONTH($B94)=5),PGBL_BENEFICIO,0))</f>
        <v>0</v>
      </c>
      <c r="W94" s="180" t="n">
        <f aca="false">V94*$C$24</f>
        <v>0</v>
      </c>
      <c r="X94" s="180" t="n">
        <f aca="false">U94*$C$19</f>
        <v>1578.48545223525</v>
      </c>
      <c r="Y94" s="180" t="n">
        <f aca="false">U94*$C$22</f>
        <v>32.2512734990051</v>
      </c>
      <c r="Z94" s="180" t="n">
        <f aca="false">$C$23*MAX(0,X94-U94*$C$18)</f>
        <v>0</v>
      </c>
      <c r="AA94" s="180" t="n">
        <f aca="false">IF(AND($C$27=1,OR(MONTH($B94)=5,MONTH($B94)=11)),MAX(0,$C$28*MAX(0,(U94+X94-Y94-Z94+V94-W94)+AD93-AC94)-AD93),0)</f>
        <v>0</v>
      </c>
      <c r="AB94" s="181" t="n">
        <f aca="false">U94+X94-Y94-Z94+V94-W94-AA94</f>
        <v>195053.875172767</v>
      </c>
      <c r="AC94" s="180" t="n">
        <f aca="false">AC93+V94-W94</f>
        <v>150000</v>
      </c>
      <c r="AD94" s="180" t="n">
        <f aca="false">AD93+AA94</f>
        <v>0</v>
      </c>
      <c r="AE94" s="180" t="n">
        <f aca="false">AB94+AD94-AC94</f>
        <v>45053.8751727668</v>
      </c>
      <c r="AF94" s="180" t="n">
        <f aca="false">MAX(0,IFERROR(INDEX(TAB_IR,MATCH($C94,TAB_IR_DIAS,1),MATCH($C$8,TAB_IR_REGIMES,0)),0)*IF($C$26=2,AB94,MAX(0,AE94))-AD94)</f>
        <v>6758.08127591502</v>
      </c>
      <c r="AG94" s="181" t="n">
        <f aca="false">MAX(0,AB94-AF94-AB94*$C$25)</f>
        <v>188295.793896852</v>
      </c>
      <c r="AH94" s="180" t="n">
        <f aca="false">AG94/$D94</f>
        <v>169043.67897415</v>
      </c>
      <c r="AJ94" s="180" t="n">
        <f aca="false">AQ93</f>
        <v>188347.686954091</v>
      </c>
      <c r="AK94" s="180" t="n">
        <f aca="false">IF($D$9=0,0,IF($A94&gt;IN_PRAZO,0,IF(APORTE_CORRIGIDO="Sim",IN_APORTE*$D94,IN_APORTE))+IF(AND($D$35=1,PGBL_REINVESTE="Sim",$A94&gt;=13,$A94&lt;=IN_PRAZO,MONTH($B94)=5),PGBL_BENEFICIO,0))</f>
        <v>0</v>
      </c>
      <c r="AL94" s="180" t="n">
        <f aca="false">AK94*$D$24</f>
        <v>0</v>
      </c>
      <c r="AM94" s="180" t="n">
        <f aca="false">AJ94*$D$19</f>
        <v>1693.00029801306</v>
      </c>
      <c r="AN94" s="180" t="n">
        <f aca="false">AJ94*$D$22</f>
        <v>156.956405795075</v>
      </c>
      <c r="AO94" s="180" t="n">
        <f aca="false">$D$23*MAX(0,AM94-AJ94*$D$18)</f>
        <v>0</v>
      </c>
      <c r="AP94" s="180" t="n">
        <f aca="false">IF(AND($D$27=1,OR(MONTH($B94)=5,MONTH($B94)=11)),MAX(0,$D$28*MAX(0,(AJ94+AM94-AN94-AO94+AK94-AL94)+AS93-AR94)-AS93),0)</f>
        <v>1354.78149062513</v>
      </c>
      <c r="AQ94" s="181" t="n">
        <f aca="false">AJ94+AM94-AN94-AO94+AK94-AL94-AP94</f>
        <v>188528.949355683</v>
      </c>
      <c r="AR94" s="180" t="n">
        <f aca="false">AR93+AK94-AL94</f>
        <v>150000</v>
      </c>
      <c r="AS94" s="180" t="n">
        <f aca="false">AS93+AP94</f>
        <v>6799.2263568853</v>
      </c>
      <c r="AT94" s="180" t="n">
        <f aca="false">AQ94+AS94-AR94</f>
        <v>45328.1757125687</v>
      </c>
      <c r="AU94" s="180" t="n">
        <f aca="false">MAX(0,IFERROR(INDEX(TAB_IR,MATCH($C94,TAB_IR_DIAS,1),MATCH($D$8,TAB_IR_REGIMES,0)),0)*IF($D$26=2,AQ94,MAX(0,AT94))-AS94)</f>
        <v>0</v>
      </c>
      <c r="AV94" s="181" t="n">
        <f aca="false">MAX(0,AQ94-AU94-AQ94*$D$25)</f>
        <v>188528.949355683</v>
      </c>
      <c r="AW94" s="180" t="n">
        <f aca="false">AV94/$D94</f>
        <v>169252.995686532</v>
      </c>
      <c r="AY94" s="180" t="n">
        <f aca="false">BF93</f>
        <v>196903.779594821</v>
      </c>
      <c r="AZ94" s="180" t="n">
        <f aca="false">IF($E$9=0,0,IF($A94&gt;IN_PRAZO,0,IF(APORTE_CORRIGIDO="Sim",IN_APORTE*$D94,IN_APORTE))+IF(AND($E$35=1,PGBL_REINVESTE="Sim",$A94&gt;=13,$A94&lt;=IN_PRAZO,MONTH($B94)=5),PGBL_BENEFICIO,0))</f>
        <v>0</v>
      </c>
      <c r="BA94" s="180" t="n">
        <f aca="false">AZ94*$E$24</f>
        <v>0</v>
      </c>
      <c r="BB94" s="180" t="n">
        <f aca="false">AY94*$E$19</f>
        <v>1927.4409569514</v>
      </c>
      <c r="BC94" s="180" t="n">
        <f aca="false">AY94*$E$22</f>
        <v>246.129724493526</v>
      </c>
      <c r="BD94" s="180" t="n">
        <f aca="false">$E$23*MAX(0,BB94-AY94*$E$18)</f>
        <v>0</v>
      </c>
      <c r="BE94" s="180" t="n">
        <f aca="false">IF(AND($E$27=1,OR(MONTH($B94)=5,MONTH($B94)=11)),MAX(0,$E$28*MAX(0,(AY94+BB94-BC94-BD94+AZ94-BA94)+BH93-BG94)-BH93),0)</f>
        <v>0</v>
      </c>
      <c r="BF94" s="181" t="n">
        <f aca="false">AY94+BB94-BC94-BD94+AZ94-BA94-BE94</f>
        <v>198585.090827278</v>
      </c>
      <c r="BG94" s="180" t="n">
        <f aca="false">BG93+AZ94-BA94</f>
        <v>150000</v>
      </c>
      <c r="BH94" s="180" t="n">
        <f aca="false">BH93+BE94</f>
        <v>0</v>
      </c>
      <c r="BI94" s="180" t="n">
        <f aca="false">BF94+BH94-BG94</f>
        <v>48585.0908272784</v>
      </c>
      <c r="BJ94" s="180" t="n">
        <f aca="false">MAX(0,IFERROR(INDEX(TAB_IR,MATCH($C94,TAB_IR_DIAS,1),MATCH($E$8,TAB_IR_REGIMES,0)),0)*IF($E$26=2,BF94,MAX(0,BI94))-BH94)</f>
        <v>14575.5272481835</v>
      </c>
      <c r="BK94" s="181" t="n">
        <f aca="false">MAX(0,BF94-BJ94-BF94*$E$25)</f>
        <v>184009.563579095</v>
      </c>
      <c r="BL94" s="180" t="n">
        <f aca="false">BK94/$D94</f>
        <v>165195.689983801</v>
      </c>
      <c r="BN94" s="180" t="n">
        <f aca="false">BU93</f>
        <v>196903.779594821</v>
      </c>
      <c r="BO94" s="180" t="n">
        <f aca="false">IF($F$9=0,0,IF($A94&gt;IN_PRAZO,0,IF(APORTE_CORRIGIDO="Sim",IN_APORTE*$D94,IN_APORTE))+IF(AND($F$35=1,PGBL_REINVESTE="Sim",$A94&gt;=13,$A94&lt;=IN_PRAZO,MONTH($B94)=5),PGBL_BENEFICIO,0))</f>
        <v>0</v>
      </c>
      <c r="BP94" s="180" t="n">
        <f aca="false">BO94*$F$24</f>
        <v>0</v>
      </c>
      <c r="BQ94" s="180" t="n">
        <f aca="false">BN94*$F$19</f>
        <v>1927.4409569514</v>
      </c>
      <c r="BR94" s="180" t="n">
        <f aca="false">BN94*$F$22</f>
        <v>246.129724493526</v>
      </c>
      <c r="BS94" s="180" t="n">
        <f aca="false">$F$23*MAX(0,BQ94-BN94*$F$18)</f>
        <v>0</v>
      </c>
      <c r="BT94" s="180" t="n">
        <f aca="false">IF(AND($F$27=1,OR(MONTH($B94)=5,MONTH($B94)=11)),MAX(0,$F$28*MAX(0,(BN94+BQ94-BR94-BS94+BO94-BP94)+BW93-BV94)-BW93),0)</f>
        <v>0</v>
      </c>
      <c r="BU94" s="181" t="n">
        <f aca="false">BN94+BQ94-BR94-BS94+BO94-BP94-BT94</f>
        <v>198585.090827278</v>
      </c>
      <c r="BV94" s="180" t="n">
        <f aca="false">BV93+BO94-BP94</f>
        <v>150000</v>
      </c>
      <c r="BW94" s="180" t="n">
        <f aca="false">BW93+BT94</f>
        <v>0</v>
      </c>
      <c r="BX94" s="180" t="n">
        <f aca="false">BU94+BW94-BV94</f>
        <v>48585.0908272784</v>
      </c>
      <c r="BY94" s="180" t="n">
        <f aca="false">MAX(0,IFERROR(INDEX(TAB_IR,MATCH($C94,TAB_IR_DIAS,1),MATCH($F$8,TAB_IR_REGIMES,0)),0)*IF($F$26=2,BU94,MAX(0,BX94))-BW94)</f>
        <v>59575.5272481835</v>
      </c>
      <c r="BZ94" s="181" t="n">
        <f aca="false">MAX(0,BU94-BY94-BU94*$F$25)</f>
        <v>139009.563579095</v>
      </c>
      <c r="CA94" s="180" t="n">
        <f aca="false">BZ94/$D94</f>
        <v>124796.669929195</v>
      </c>
      <c r="CC94" s="180" t="n">
        <f aca="false">CJ93</f>
        <v>184031.392783102</v>
      </c>
      <c r="CD94" s="180" t="n">
        <f aca="false">IF($G$9=0,0,IF($A94&gt;IN_PRAZO,0,IF(APORTE_CORRIGIDO="Sim",IN_APORTE*$D94,IN_APORTE))+IF(AND($G$35=1,PGBL_REINVESTE="Sim",$A94&gt;=13,$A94&lt;=IN_PRAZO,MONTH($B94)=5),PGBL_BENEFICIO,0))</f>
        <v>0</v>
      </c>
      <c r="CE94" s="180" t="n">
        <f aca="false">CD94*$G$24</f>
        <v>0</v>
      </c>
      <c r="CF94" s="180" t="n">
        <f aca="false">CC94*$G$19</f>
        <v>1501.18555923938</v>
      </c>
      <c r="CG94" s="180" t="n">
        <f aca="false">CC94*$G$22</f>
        <v>153.359493985918</v>
      </c>
      <c r="CH94" s="180" t="n">
        <f aca="false">$G$23*MAX(0,CF94-CC94*$G$18)</f>
        <v>0</v>
      </c>
      <c r="CI94" s="180" t="n">
        <f aca="false">IF(AND($G$27=1,OR(MONTH($B94)=5,MONTH($B94)=11)),MAX(0,$G$28*MAX(0,(CC94+CF94-CG94-CH94+CD94-CE94)+CL93-CK94)-CL93),0)</f>
        <v>1191.20702995347</v>
      </c>
      <c r="CJ94" s="181" t="n">
        <f aca="false">CC94+CF94-CG94-CH94+CD94-CE94-CI94</f>
        <v>184188.011818402</v>
      </c>
      <c r="CK94" s="180" t="n">
        <f aca="false">CK93+CD94-CE94</f>
        <v>150000</v>
      </c>
      <c r="CL94" s="180" t="n">
        <f aca="false">CL93+CI94</f>
        <v>6033.17855618859</v>
      </c>
      <c r="CM94" s="180" t="n">
        <f aca="false">CJ94+CL94-CK94</f>
        <v>40221.1903745906</v>
      </c>
      <c r="CN94" s="180" t="n">
        <f aca="false">MAX(0,IFERROR(INDEX(TAB_IR,MATCH($C94,TAB_IR_DIAS,1),MATCH($G$8,TAB_IR_REGIMES,0)),0)*IF($G$26=2,CJ94,MAX(0,CM94))-CL94)</f>
        <v>0</v>
      </c>
      <c r="CO94" s="181" t="n">
        <f aca="false">MAX(0,CJ94-CN94-CJ94*$G$25)</f>
        <v>184188.011818402</v>
      </c>
      <c r="CP94" s="180" t="n">
        <f aca="false">CO94/$D94</f>
        <v>165355.892961545</v>
      </c>
    </row>
    <row r="95" customFormat="false" ht="12" hidden="false" customHeight="true" outlineLevel="0" collapsed="false">
      <c r="A95" s="177" t="n">
        <v>34</v>
      </c>
      <c r="B95" s="178" t="n">
        <f aca="false">EDATE(DATA_INICIO,$A95)</f>
        <v>47292</v>
      </c>
      <c r="C95" s="177" t="n">
        <f aca="false">$A95*30</f>
        <v>1020</v>
      </c>
      <c r="D95" s="179" t="n">
        <f aca="false">(1+IPCA_CENARIO)^($A95/12)</f>
        <v>1.11753498548172</v>
      </c>
      <c r="F95" s="180" t="n">
        <f aca="false">M94</f>
        <v>203739.135234103</v>
      </c>
      <c r="G95" s="180" t="n">
        <f aca="false">IF($B$9=0,0,IF($A95&gt;IN_PRAZO,0,IF(APORTE_CORRIGIDO="Sim",IN_APORTE*$D95,IN_APORTE))+IF(AND($B$35=1,PGBL_REINVESTE="Sim",$A95&gt;=13,$A95&lt;=IN_PRAZO,MONTH($B95)=5),PGBL_BENEFICIO,0))</f>
        <v>0</v>
      </c>
      <c r="H95" s="180" t="n">
        <f aca="false">G95*$B$24</f>
        <v>0</v>
      </c>
      <c r="I95" s="180" t="n">
        <f aca="false">F95*$B$19</f>
        <v>1933.23846690742</v>
      </c>
      <c r="J95" s="180" t="n">
        <f aca="false">F95*$B$22</f>
        <v>33.9565225390172</v>
      </c>
      <c r="K95" s="180" t="n">
        <f aca="false">$B$23*MAX(0,I95-F95*$B$18)</f>
        <v>0</v>
      </c>
      <c r="L95" s="180" t="n">
        <f aca="false">IF(AND($B$27=1,OR(MONTH($B95)=5,MONTH($B95)=11)),MAX(0,$B$28*MAX(0,(F95+I95-J95-K95+G95-H95)+O94-N95)-O94),0)</f>
        <v>0</v>
      </c>
      <c r="M95" s="181" t="n">
        <f aca="false">F95+I95-J95-K95+G95-H95-L95</f>
        <v>205638.417178471</v>
      </c>
      <c r="N95" s="180" t="n">
        <f aca="false">N94+G95-H95</f>
        <v>150000</v>
      </c>
      <c r="O95" s="180" t="n">
        <f aca="false">O94+L95</f>
        <v>0</v>
      </c>
      <c r="P95" s="180" t="n">
        <f aca="false">M95+O95-N95</f>
        <v>55638.4171784714</v>
      </c>
      <c r="Q95" s="180" t="n">
        <f aca="false">MAX(0,IFERROR(INDEX(TAB_IR,MATCH($C95,TAB_IR_DIAS,1),MATCH($B$8,TAB_IR_REGIMES,0)),0)*IF($B$26=2,M95,MAX(0,P95))-O95)</f>
        <v>8345.76257677071</v>
      </c>
      <c r="R95" s="181" t="n">
        <f aca="false">MAX(0,M95-Q95-M95*$B$25)</f>
        <v>197292.654601701</v>
      </c>
      <c r="S95" s="180" t="n">
        <f aca="false">R95/$D95</f>
        <v>176542.709771773</v>
      </c>
      <c r="U95" s="180" t="n">
        <f aca="false">AB94</f>
        <v>195053.875172767</v>
      </c>
      <c r="V95" s="180" t="n">
        <f aca="false">IF($C$9=0,0,IF($A95&gt;IN_PRAZO,0,IF(APORTE_CORRIGIDO="Sim",IN_APORTE*$D95,IN_APORTE))+IF(AND($C$35=1,PGBL_REINVESTE="Sim",$A95&gt;=13,$A95&lt;=IN_PRAZO,MONTH($B95)=5),PGBL_BENEFICIO,0))</f>
        <v>0</v>
      </c>
      <c r="W95" s="180" t="n">
        <f aca="false">V95*$C$24</f>
        <v>0</v>
      </c>
      <c r="X95" s="180" t="n">
        <f aca="false">U95*$C$19</f>
        <v>1591.0984330165</v>
      </c>
      <c r="Y95" s="180" t="n">
        <f aca="false">U95*$C$22</f>
        <v>32.5089791954611</v>
      </c>
      <c r="Z95" s="180" t="n">
        <f aca="false">$C$23*MAX(0,X95-U95*$C$18)</f>
        <v>0</v>
      </c>
      <c r="AA95" s="180" t="n">
        <f aca="false">IF(AND($C$27=1,OR(MONTH($B95)=5,MONTH($B95)=11)),MAX(0,$C$28*MAX(0,(U95+X95-Y95-Z95+V95-W95)+AD94-AC95)-AD94),0)</f>
        <v>0</v>
      </c>
      <c r="AB95" s="181" t="n">
        <f aca="false">U95+X95-Y95-Z95+V95-W95-AA95</f>
        <v>196612.464626588</v>
      </c>
      <c r="AC95" s="180" t="n">
        <f aca="false">AC94+V95-W95</f>
        <v>150000</v>
      </c>
      <c r="AD95" s="180" t="n">
        <f aca="false">AD94+AA95</f>
        <v>0</v>
      </c>
      <c r="AE95" s="180" t="n">
        <f aca="false">AB95+AD95-AC95</f>
        <v>46612.4646265878</v>
      </c>
      <c r="AF95" s="180" t="n">
        <f aca="false">MAX(0,IFERROR(INDEX(TAB_IR,MATCH($C95,TAB_IR_DIAS,1),MATCH($C$8,TAB_IR_REGIMES,0)),0)*IF($C$26=2,AB95,MAX(0,AE95))-AD95)</f>
        <v>6991.86969398817</v>
      </c>
      <c r="AG95" s="181" t="n">
        <f aca="false">MAX(0,AB95-AF95-AB95*$C$25)</f>
        <v>189620.5949326</v>
      </c>
      <c r="AH95" s="180" t="n">
        <f aca="false">AG95/$D95</f>
        <v>169677.546918912</v>
      </c>
      <c r="AJ95" s="180" t="n">
        <f aca="false">AQ94</f>
        <v>188528.949355683</v>
      </c>
      <c r="AK95" s="180" t="n">
        <f aca="false">IF($D$9=0,0,IF($A95&gt;IN_PRAZO,0,IF(APORTE_CORRIGIDO="Sim",IN_APORTE*$D95,IN_APORTE))+IF(AND($D$35=1,PGBL_REINVESTE="Sim",$A95&gt;=13,$A95&lt;=IN_PRAZO,MONTH($B95)=5),PGBL_BENEFICIO,0))</f>
        <v>0</v>
      </c>
      <c r="AL95" s="180" t="n">
        <f aca="false">AK95*$D$24</f>
        <v>0</v>
      </c>
      <c r="AM95" s="180" t="n">
        <f aca="false">AJ95*$D$19</f>
        <v>1694.62961082745</v>
      </c>
      <c r="AN95" s="180" t="n">
        <f aca="false">AJ95*$D$22</f>
        <v>157.107457796403</v>
      </c>
      <c r="AO95" s="180" t="n">
        <f aca="false">$D$23*MAX(0,AM95-AJ95*$D$18)</f>
        <v>0</v>
      </c>
      <c r="AP95" s="180" t="n">
        <f aca="false">IF(AND($D$27=1,OR(MONTH($B95)=5,MONTH($B95)=11)),MAX(0,$D$28*MAX(0,(AJ95+AM95-AN95-AO95+AK95-AL95)+AS94-AR95)-AS94),0)</f>
        <v>0</v>
      </c>
      <c r="AQ95" s="181" t="n">
        <f aca="false">AJ95+AM95-AN95-AO95+AK95-AL95-AP95</f>
        <v>190066.471508714</v>
      </c>
      <c r="AR95" s="180" t="n">
        <f aca="false">AR94+AK95-AL95</f>
        <v>150000</v>
      </c>
      <c r="AS95" s="180" t="n">
        <f aca="false">AS94+AP95</f>
        <v>6799.2263568853</v>
      </c>
      <c r="AT95" s="180" t="n">
        <f aca="false">AQ95+AS95-AR95</f>
        <v>46865.6978655997</v>
      </c>
      <c r="AU95" s="180" t="n">
        <f aca="false">MAX(0,IFERROR(INDEX(TAB_IR,MATCH($C95,TAB_IR_DIAS,1),MATCH($D$8,TAB_IR_REGIMES,0)),0)*IF($D$26=2,AQ95,MAX(0,AT95))-AS95)</f>
        <v>230.628322954658</v>
      </c>
      <c r="AV95" s="181" t="n">
        <f aca="false">MAX(0,AQ95-AU95-AQ95*$D$25)</f>
        <v>189835.84318576</v>
      </c>
      <c r="AW95" s="180" t="n">
        <f aca="false">AV95/$D95</f>
        <v>169870.156775388</v>
      </c>
      <c r="AY95" s="180" t="n">
        <f aca="false">BF94</f>
        <v>198585.090827278</v>
      </c>
      <c r="AZ95" s="180" t="n">
        <f aca="false">IF($E$9=0,0,IF($A95&gt;IN_PRAZO,0,IF(APORTE_CORRIGIDO="Sim",IN_APORTE*$D95,IN_APORTE))+IF(AND($E$35=1,PGBL_REINVESTE="Sim",$A95&gt;=13,$A95&lt;=IN_PRAZO,MONTH($B95)=5),PGBL_BENEFICIO,0))</f>
        <v>0</v>
      </c>
      <c r="BA95" s="180" t="n">
        <f aca="false">AZ95*$E$24</f>
        <v>0</v>
      </c>
      <c r="BB95" s="180" t="n">
        <f aca="false">AY95*$E$19</f>
        <v>1943.89888446041</v>
      </c>
      <c r="BC95" s="180" t="n">
        <f aca="false">AY95*$E$22</f>
        <v>248.231363534098</v>
      </c>
      <c r="BD95" s="180" t="n">
        <f aca="false">$E$23*MAX(0,BB95-AY95*$E$18)</f>
        <v>0</v>
      </c>
      <c r="BE95" s="180" t="n">
        <f aca="false">IF(AND($E$27=1,OR(MONTH($B95)=5,MONTH($B95)=11)),MAX(0,$E$28*MAX(0,(AY95+BB95-BC95-BD95+AZ95-BA95)+BH94-BG95)-BH94),0)</f>
        <v>0</v>
      </c>
      <c r="BF95" s="181" t="n">
        <f aca="false">AY95+BB95-BC95-BD95+AZ95-BA95-BE95</f>
        <v>200280.758348205</v>
      </c>
      <c r="BG95" s="180" t="n">
        <f aca="false">BG94+AZ95-BA95</f>
        <v>150000</v>
      </c>
      <c r="BH95" s="180" t="n">
        <f aca="false">BH94+BE95</f>
        <v>0</v>
      </c>
      <c r="BI95" s="180" t="n">
        <f aca="false">BF95+BH95-BG95</f>
        <v>50280.7583482047</v>
      </c>
      <c r="BJ95" s="180" t="n">
        <f aca="false">MAX(0,IFERROR(INDEX(TAB_IR,MATCH($C95,TAB_IR_DIAS,1),MATCH($E$8,TAB_IR_REGIMES,0)),0)*IF($E$26=2,BF95,MAX(0,BI95))-BH95)</f>
        <v>15084.2275044614</v>
      </c>
      <c r="BK95" s="181" t="n">
        <f aca="false">MAX(0,BF95-BJ95-BF95*$E$25)</f>
        <v>185196.530843743</v>
      </c>
      <c r="BL95" s="180" t="n">
        <f aca="false">BK95/$D95</f>
        <v>165718.776816561</v>
      </c>
      <c r="BN95" s="180" t="n">
        <f aca="false">BU94</f>
        <v>198585.090827278</v>
      </c>
      <c r="BO95" s="180" t="n">
        <f aca="false">IF($F$9=0,0,IF($A95&gt;IN_PRAZO,0,IF(APORTE_CORRIGIDO="Sim",IN_APORTE*$D95,IN_APORTE))+IF(AND($F$35=1,PGBL_REINVESTE="Sim",$A95&gt;=13,$A95&lt;=IN_PRAZO,MONTH($B95)=5),PGBL_BENEFICIO,0))</f>
        <v>0</v>
      </c>
      <c r="BP95" s="180" t="n">
        <f aca="false">BO95*$F$24</f>
        <v>0</v>
      </c>
      <c r="BQ95" s="180" t="n">
        <f aca="false">BN95*$F$19</f>
        <v>1943.89888446041</v>
      </c>
      <c r="BR95" s="180" t="n">
        <f aca="false">BN95*$F$22</f>
        <v>248.231363534098</v>
      </c>
      <c r="BS95" s="180" t="n">
        <f aca="false">$F$23*MAX(0,BQ95-BN95*$F$18)</f>
        <v>0</v>
      </c>
      <c r="BT95" s="180" t="n">
        <f aca="false">IF(AND($F$27=1,OR(MONTH($B95)=5,MONTH($B95)=11)),MAX(0,$F$28*MAX(0,(BN95+BQ95-BR95-BS95+BO95-BP95)+BW94-BV95)-BW94),0)</f>
        <v>0</v>
      </c>
      <c r="BU95" s="181" t="n">
        <f aca="false">BN95+BQ95-BR95-BS95+BO95-BP95-BT95</f>
        <v>200280.758348205</v>
      </c>
      <c r="BV95" s="180" t="n">
        <f aca="false">BV94+BO95-BP95</f>
        <v>150000</v>
      </c>
      <c r="BW95" s="180" t="n">
        <f aca="false">BW94+BT95</f>
        <v>0</v>
      </c>
      <c r="BX95" s="180" t="n">
        <f aca="false">BU95+BW95-BV95</f>
        <v>50280.7583482047</v>
      </c>
      <c r="BY95" s="180" t="n">
        <f aca="false">MAX(0,IFERROR(INDEX(TAB_IR,MATCH($C95,TAB_IR_DIAS,1),MATCH($F$8,TAB_IR_REGIMES,0)),0)*IF($F$26=2,BU95,MAX(0,BX95))-BW95)</f>
        <v>60084.2275044614</v>
      </c>
      <c r="BZ95" s="181" t="n">
        <f aca="false">MAX(0,BU95-BY95-BU95*$F$25)</f>
        <v>140196.530843743</v>
      </c>
      <c r="CA95" s="180" t="n">
        <f aca="false">BZ95/$D95</f>
        <v>125451.581082548</v>
      </c>
      <c r="CC95" s="180" t="n">
        <f aca="false">CJ94</f>
        <v>184188.011818402</v>
      </c>
      <c r="CD95" s="180" t="n">
        <f aca="false">IF($G$9=0,0,IF($A95&gt;IN_PRAZO,0,IF(APORTE_CORRIGIDO="Sim",IN_APORTE*$D95,IN_APORTE))+IF(AND($G$35=1,PGBL_REINVESTE="Sim",$A95&gt;=13,$A95&lt;=IN_PRAZO,MONTH($B95)=5),PGBL_BENEFICIO,0))</f>
        <v>0</v>
      </c>
      <c r="CE95" s="180" t="n">
        <f aca="false">CD95*$G$24</f>
        <v>0</v>
      </c>
      <c r="CF95" s="180" t="n">
        <f aca="false">CC95*$G$19</f>
        <v>1502.46313601875</v>
      </c>
      <c r="CG95" s="180" t="n">
        <f aca="false">CC95*$G$22</f>
        <v>153.490009848668</v>
      </c>
      <c r="CH95" s="180" t="n">
        <f aca="false">$G$23*MAX(0,CF95-CC95*$G$18)</f>
        <v>0</v>
      </c>
      <c r="CI95" s="180" t="n">
        <f aca="false">IF(AND($G$27=1,OR(MONTH($B95)=5,MONTH($B95)=11)),MAX(0,$G$28*MAX(0,(CC95+CF95-CG95-CH95+CD95-CE95)+CL94-CK95)-CL94),0)</f>
        <v>0</v>
      </c>
      <c r="CJ95" s="181" t="n">
        <f aca="false">CC95+CF95-CG95-CH95+CD95-CE95-CI95</f>
        <v>185536.984944572</v>
      </c>
      <c r="CK95" s="180" t="n">
        <f aca="false">CK94+CD95-CE95</f>
        <v>150000</v>
      </c>
      <c r="CL95" s="180" t="n">
        <f aca="false">CL94+CI95</f>
        <v>6033.17855618859</v>
      </c>
      <c r="CM95" s="180" t="n">
        <f aca="false">CJ95+CL95-CK95</f>
        <v>41570.1635007607</v>
      </c>
      <c r="CN95" s="180" t="n">
        <f aca="false">MAX(0,IFERROR(INDEX(TAB_IR,MATCH($C95,TAB_IR_DIAS,1),MATCH($G$8,TAB_IR_REGIMES,0)),0)*IF($G$26=2,CJ95,MAX(0,CM95))-CL95)</f>
        <v>202.345968925512</v>
      </c>
      <c r="CO95" s="181" t="n">
        <f aca="false">MAX(0,CJ95-CN95-CJ95*$G$25)</f>
        <v>185334.638975647</v>
      </c>
      <c r="CP95" s="180" t="n">
        <f aca="false">CO95/$D95</f>
        <v>165842.359642779</v>
      </c>
    </row>
    <row r="96" customFormat="false" ht="12" hidden="false" customHeight="true" outlineLevel="0" collapsed="false">
      <c r="A96" s="177" t="n">
        <v>35</v>
      </c>
      <c r="B96" s="178" t="n">
        <f aca="false">EDATE(DATA_INICIO,$A96)</f>
        <v>47322</v>
      </c>
      <c r="C96" s="177" t="n">
        <f aca="false">$A96*30</f>
        <v>1050</v>
      </c>
      <c r="D96" s="179" t="n">
        <f aca="false">(1+IPCA_CENARIO)^($A96/12)</f>
        <v>1.12119350422169</v>
      </c>
      <c r="F96" s="180" t="n">
        <f aca="false">M95</f>
        <v>205638.417178471</v>
      </c>
      <c r="G96" s="180" t="n">
        <f aca="false">IF($B$9=0,0,IF($A96&gt;IN_PRAZO,0,IF(APORTE_CORRIGIDO="Sim",IN_APORTE*$D96,IN_APORTE))+IF(AND($B$35=1,PGBL_REINVESTE="Sim",$A96&gt;=13,$A96&lt;=IN_PRAZO,MONTH($B96)=5),PGBL_BENEFICIO,0))</f>
        <v>0</v>
      </c>
      <c r="H96" s="180" t="n">
        <f aca="false">G96*$B$24</f>
        <v>0</v>
      </c>
      <c r="I96" s="180" t="n">
        <f aca="false">F96*$B$19</f>
        <v>1951.26036000192</v>
      </c>
      <c r="J96" s="180" t="n">
        <f aca="false">F96*$B$22</f>
        <v>34.2730695297452</v>
      </c>
      <c r="K96" s="180" t="n">
        <f aca="false">$B$23*MAX(0,I96-F96*$B$18)</f>
        <v>0</v>
      </c>
      <c r="L96" s="180" t="n">
        <f aca="false">IF(AND($B$27=1,OR(MONTH($B96)=5,MONTH($B96)=11)),MAX(0,$B$28*MAX(0,(F96+I96-J96-K96+G96-H96)+O95-N96)-O95),0)</f>
        <v>0</v>
      </c>
      <c r="M96" s="181" t="n">
        <f aca="false">F96+I96-J96-K96+G96-H96-L96</f>
        <v>207555.404468944</v>
      </c>
      <c r="N96" s="180" t="n">
        <f aca="false">N95+G96-H96</f>
        <v>150000</v>
      </c>
      <c r="O96" s="180" t="n">
        <f aca="false">O95+L96</f>
        <v>0</v>
      </c>
      <c r="P96" s="180" t="n">
        <f aca="false">M96+O96-N96</f>
        <v>57555.4044689436</v>
      </c>
      <c r="Q96" s="180" t="n">
        <f aca="false">MAX(0,IFERROR(INDEX(TAB_IR,MATCH($C96,TAB_IR_DIAS,1),MATCH($B$8,TAB_IR_REGIMES,0)),0)*IF($B$26=2,M96,MAX(0,P96))-O96)</f>
        <v>8633.31067034153</v>
      </c>
      <c r="R96" s="181" t="n">
        <f aca="false">MAX(0,M96-Q96-M96*$B$25)</f>
        <v>198922.093798602</v>
      </c>
      <c r="S96" s="180" t="n">
        <f aca="false">R96/$D96</f>
        <v>177419.94851878</v>
      </c>
      <c r="U96" s="180" t="n">
        <f aca="false">AB95</f>
        <v>196612.464626588</v>
      </c>
      <c r="V96" s="180" t="n">
        <f aca="false">IF($C$9=0,0,IF($A96&gt;IN_PRAZO,0,IF(APORTE_CORRIGIDO="Sim",IN_APORTE*$D96,IN_APORTE))+IF(AND($C$35=1,PGBL_REINVESTE="Sim",$A96&gt;=13,$A96&lt;=IN_PRAZO,MONTH($B96)=5),PGBL_BENEFICIO,0))</f>
        <v>0</v>
      </c>
      <c r="W96" s="180" t="n">
        <f aca="false">V96*$C$24</f>
        <v>0</v>
      </c>
      <c r="X96" s="180" t="n">
        <f aca="false">U96*$C$19</f>
        <v>1603.81219856202</v>
      </c>
      <c r="Y96" s="180" t="n">
        <f aca="false">U96*$C$22</f>
        <v>32.7687441044313</v>
      </c>
      <c r="Z96" s="180" t="n">
        <f aca="false">$C$23*MAX(0,X96-U96*$C$18)</f>
        <v>0</v>
      </c>
      <c r="AA96" s="180" t="n">
        <f aca="false">IF(AND($C$27=1,OR(MONTH($B96)=5,MONTH($B96)=11)),MAX(0,$C$28*MAX(0,(U96+X96-Y96-Z96+V96-W96)+AD95-AC96)-AD95),0)</f>
        <v>0</v>
      </c>
      <c r="AB96" s="181" t="n">
        <f aca="false">U96+X96-Y96-Z96+V96-W96-AA96</f>
        <v>198183.508081045</v>
      </c>
      <c r="AC96" s="180" t="n">
        <f aca="false">AC95+V96-W96</f>
        <v>150000</v>
      </c>
      <c r="AD96" s="180" t="n">
        <f aca="false">AD95+AA96</f>
        <v>0</v>
      </c>
      <c r="AE96" s="180" t="n">
        <f aca="false">AB96+AD96-AC96</f>
        <v>48183.5080810454</v>
      </c>
      <c r="AF96" s="180" t="n">
        <f aca="false">MAX(0,IFERROR(INDEX(TAB_IR,MATCH($C96,TAB_IR_DIAS,1),MATCH($C$8,TAB_IR_REGIMES,0)),0)*IF($C$26=2,AB96,MAX(0,AE96))-AD96)</f>
        <v>7227.52621215681</v>
      </c>
      <c r="AG96" s="181" t="n">
        <f aca="false">MAX(0,AB96-AF96-AB96*$C$25)</f>
        <v>190955.981868889</v>
      </c>
      <c r="AH96" s="180" t="n">
        <f aca="false">AG96/$D96</f>
        <v>170314.919904434</v>
      </c>
      <c r="AJ96" s="180" t="n">
        <f aca="false">AQ95</f>
        <v>190066.471508714</v>
      </c>
      <c r="AK96" s="180" t="n">
        <f aca="false">IF($D$9=0,0,IF($A96&gt;IN_PRAZO,0,IF(APORTE_CORRIGIDO="Sim",IN_APORTE*$D96,IN_APORTE))+IF(AND($D$35=1,PGBL_REINVESTE="Sim",$A96&gt;=13,$A96&lt;=IN_PRAZO,MONTH($B96)=5),PGBL_BENEFICIO,0))</f>
        <v>0</v>
      </c>
      <c r="AL96" s="180" t="n">
        <f aca="false">AK96*$D$24</f>
        <v>0</v>
      </c>
      <c r="AM96" s="180" t="n">
        <f aca="false">AJ96*$D$19</f>
        <v>1708.44993166802</v>
      </c>
      <c r="AN96" s="180" t="n">
        <f aca="false">AJ96*$D$22</f>
        <v>158.388726257262</v>
      </c>
      <c r="AO96" s="180" t="n">
        <f aca="false">$D$23*MAX(0,AM96-AJ96*$D$18)</f>
        <v>0</v>
      </c>
      <c r="AP96" s="180" t="n">
        <f aca="false">IF(AND($D$27=1,OR(MONTH($B96)=5,MONTH($B96)=11)),MAX(0,$D$28*MAX(0,(AJ96+AM96-AN96-AO96+AK96-AL96)+AS95-AR96)-AS95),0)</f>
        <v>0</v>
      </c>
      <c r="AQ96" s="181" t="n">
        <f aca="false">AJ96+AM96-AN96-AO96+AK96-AL96-AP96</f>
        <v>191616.532714125</v>
      </c>
      <c r="AR96" s="180" t="n">
        <f aca="false">AR95+AK96-AL96</f>
        <v>150000</v>
      </c>
      <c r="AS96" s="180" t="n">
        <f aca="false">AS95+AP96</f>
        <v>6799.2263568853</v>
      </c>
      <c r="AT96" s="180" t="n">
        <f aca="false">AQ96+AS96-AR96</f>
        <v>48415.7590710105</v>
      </c>
      <c r="AU96" s="180" t="n">
        <f aca="false">MAX(0,IFERROR(INDEX(TAB_IR,MATCH($C96,TAB_IR_DIAS,1),MATCH($D$8,TAB_IR_REGIMES,0)),0)*IF($D$26=2,AQ96,MAX(0,AT96))-AS96)</f>
        <v>463.13750376627</v>
      </c>
      <c r="AV96" s="181" t="n">
        <f aca="false">MAX(0,AQ96-AU96-AQ96*$D$25)</f>
        <v>191153.395210359</v>
      </c>
      <c r="AW96" s="180" t="n">
        <f aca="false">AV96/$D96</f>
        <v>170490.994186641</v>
      </c>
      <c r="AY96" s="180" t="n">
        <f aca="false">BF95</f>
        <v>200280.758348205</v>
      </c>
      <c r="AZ96" s="180" t="n">
        <f aca="false">IF($E$9=0,0,IF($A96&gt;IN_PRAZO,0,IF(APORTE_CORRIGIDO="Sim",IN_APORTE*$D96,IN_APORTE))+IF(AND($E$35=1,PGBL_REINVESTE="Sim",$A96&gt;=13,$A96&lt;=IN_PRAZO,MONTH($B96)=5),PGBL_BENEFICIO,0))</f>
        <v>0</v>
      </c>
      <c r="BA96" s="180" t="n">
        <f aca="false">AZ96*$E$24</f>
        <v>0</v>
      </c>
      <c r="BB96" s="180" t="n">
        <f aca="false">AY96*$E$19</f>
        <v>1960.49734202142</v>
      </c>
      <c r="BC96" s="180" t="n">
        <f aca="false">AY96*$E$22</f>
        <v>250.350947935256</v>
      </c>
      <c r="BD96" s="180" t="n">
        <f aca="false">$E$23*MAX(0,BB96-AY96*$E$18)</f>
        <v>0</v>
      </c>
      <c r="BE96" s="180" t="n">
        <f aca="false">IF(AND($E$27=1,OR(MONTH($B96)=5,MONTH($B96)=11)),MAX(0,$E$28*MAX(0,(AY96+BB96-BC96-BD96+AZ96-BA96)+BH95-BG96)-BH95),0)</f>
        <v>0</v>
      </c>
      <c r="BF96" s="181" t="n">
        <f aca="false">AY96+BB96-BC96-BD96+AZ96-BA96-BE96</f>
        <v>201990.904742291</v>
      </c>
      <c r="BG96" s="180" t="n">
        <f aca="false">BG95+AZ96-BA96</f>
        <v>150000</v>
      </c>
      <c r="BH96" s="180" t="n">
        <f aca="false">BH95+BE96</f>
        <v>0</v>
      </c>
      <c r="BI96" s="180" t="n">
        <f aca="false">BF96+BH96-BG96</f>
        <v>51990.9047422909</v>
      </c>
      <c r="BJ96" s="180" t="n">
        <f aca="false">MAX(0,IFERROR(INDEX(TAB_IR,MATCH($C96,TAB_IR_DIAS,1),MATCH($E$8,TAB_IR_REGIMES,0)),0)*IF($E$26=2,BF96,MAX(0,BI96))-BH96)</f>
        <v>15597.2714226873</v>
      </c>
      <c r="BK96" s="181" t="n">
        <f aca="false">MAX(0,BF96-BJ96-BF96*$E$25)</f>
        <v>186393.633319604</v>
      </c>
      <c r="BL96" s="180" t="n">
        <f aca="false">BK96/$D96</f>
        <v>166245.730659129</v>
      </c>
      <c r="BN96" s="180" t="n">
        <f aca="false">BU95</f>
        <v>200280.758348205</v>
      </c>
      <c r="BO96" s="180" t="n">
        <f aca="false">IF($F$9=0,0,IF($A96&gt;IN_PRAZO,0,IF(APORTE_CORRIGIDO="Sim",IN_APORTE*$D96,IN_APORTE))+IF(AND($F$35=1,PGBL_REINVESTE="Sim",$A96&gt;=13,$A96&lt;=IN_PRAZO,MONTH($B96)=5),PGBL_BENEFICIO,0))</f>
        <v>0</v>
      </c>
      <c r="BP96" s="180" t="n">
        <f aca="false">BO96*$F$24</f>
        <v>0</v>
      </c>
      <c r="BQ96" s="180" t="n">
        <f aca="false">BN96*$F$19</f>
        <v>1960.49734202142</v>
      </c>
      <c r="BR96" s="180" t="n">
        <f aca="false">BN96*$F$22</f>
        <v>250.350947935256</v>
      </c>
      <c r="BS96" s="180" t="n">
        <f aca="false">$F$23*MAX(0,BQ96-BN96*$F$18)</f>
        <v>0</v>
      </c>
      <c r="BT96" s="180" t="n">
        <f aca="false">IF(AND($F$27=1,OR(MONTH($B96)=5,MONTH($B96)=11)),MAX(0,$F$28*MAX(0,(BN96+BQ96-BR96-BS96+BO96-BP96)+BW95-BV96)-BW95),0)</f>
        <v>0</v>
      </c>
      <c r="BU96" s="181" t="n">
        <f aca="false">BN96+BQ96-BR96-BS96+BO96-BP96-BT96</f>
        <v>201990.904742291</v>
      </c>
      <c r="BV96" s="180" t="n">
        <f aca="false">BV95+BO96-BP96</f>
        <v>150000</v>
      </c>
      <c r="BW96" s="180" t="n">
        <f aca="false">BW95+BT96</f>
        <v>0</v>
      </c>
      <c r="BX96" s="180" t="n">
        <f aca="false">BU96+BW96-BV96</f>
        <v>51990.9047422909</v>
      </c>
      <c r="BY96" s="180" t="n">
        <f aca="false">MAX(0,IFERROR(INDEX(TAB_IR,MATCH($C96,TAB_IR_DIAS,1),MATCH($F$8,TAB_IR_REGIMES,0)),0)*IF($F$26=2,BU96,MAX(0,BX96))-BW96)</f>
        <v>60597.2714226873</v>
      </c>
      <c r="BZ96" s="181" t="n">
        <f aca="false">MAX(0,BU96-BY96-BU96*$F$25)</f>
        <v>141393.633319604</v>
      </c>
      <c r="CA96" s="180" t="n">
        <f aca="false">BZ96/$D96</f>
        <v>126109.929095385</v>
      </c>
      <c r="CC96" s="180" t="n">
        <f aca="false">CJ95</f>
        <v>185536.984944572</v>
      </c>
      <c r="CD96" s="180" t="n">
        <f aca="false">IF($G$9=0,0,IF($A96&gt;IN_PRAZO,0,IF(APORTE_CORRIGIDO="Sim",IN_APORTE*$D96,IN_APORTE))+IF(AND($G$35=1,PGBL_REINVESTE="Sim",$A96&gt;=13,$A96&lt;=IN_PRAZO,MONTH($B96)=5),PGBL_BENEFICIO,0))</f>
        <v>0</v>
      </c>
      <c r="CE96" s="180" t="n">
        <f aca="false">CD96*$G$24</f>
        <v>0</v>
      </c>
      <c r="CF96" s="180" t="n">
        <f aca="false">CC96*$G$19</f>
        <v>1513.4670139234</v>
      </c>
      <c r="CG96" s="180" t="n">
        <f aca="false">CC96*$G$22</f>
        <v>154.614154120477</v>
      </c>
      <c r="CH96" s="180" t="n">
        <f aca="false">$G$23*MAX(0,CF96-CC96*$G$18)</f>
        <v>0</v>
      </c>
      <c r="CI96" s="180" t="n">
        <f aca="false">IF(AND($G$27=1,OR(MONTH($B96)=5,MONTH($B96)=11)),MAX(0,$G$28*MAX(0,(CC96+CF96-CG96-CH96+CD96-CE96)+CL95-CK96)-CL95),0)</f>
        <v>0</v>
      </c>
      <c r="CJ96" s="181" t="n">
        <f aca="false">CC96+CF96-CG96-CH96+CD96-CE96-CI96</f>
        <v>186895.837804375</v>
      </c>
      <c r="CK96" s="180" t="n">
        <f aca="false">CK95+CD96-CE96</f>
        <v>150000</v>
      </c>
      <c r="CL96" s="180" t="n">
        <f aca="false">CL95+CI96</f>
        <v>6033.17855618859</v>
      </c>
      <c r="CM96" s="180" t="n">
        <f aca="false">CJ96+CL96-CK96</f>
        <v>42929.0163605636</v>
      </c>
      <c r="CN96" s="180" t="n">
        <f aca="false">MAX(0,IFERROR(INDEX(TAB_IR,MATCH($C96,TAB_IR_DIAS,1),MATCH($G$8,TAB_IR_REGIMES,0)),0)*IF($G$26=2,CJ96,MAX(0,CM96))-CL96)</f>
        <v>406.17389789595</v>
      </c>
      <c r="CO96" s="181" t="n">
        <f aca="false">MAX(0,CJ96-CN96-CJ96*$G$25)</f>
        <v>186489.663906479</v>
      </c>
      <c r="CP96" s="180" t="n">
        <f aca="false">CO96/$D96</f>
        <v>166331.380983104</v>
      </c>
    </row>
    <row r="97" customFormat="false" ht="12" hidden="false" customHeight="true" outlineLevel="0" collapsed="false">
      <c r="A97" s="177" t="n">
        <v>36</v>
      </c>
      <c r="B97" s="178" t="n">
        <f aca="false">EDATE(DATA_INICIO,$A97)</f>
        <v>47353</v>
      </c>
      <c r="C97" s="177" t="n">
        <f aca="false">$A97*30</f>
        <v>1080</v>
      </c>
      <c r="D97" s="179" t="n">
        <f aca="false">(1+IPCA_CENARIO)^($A97/12)</f>
        <v>1.124864</v>
      </c>
      <c r="F97" s="180" t="n">
        <f aca="false">M96</f>
        <v>207555.404468944</v>
      </c>
      <c r="G97" s="180" t="n">
        <f aca="false">IF($B$9=0,0,IF($A97&gt;IN_PRAZO,0,IF(APORTE_CORRIGIDO="Sim",IN_APORTE*$D97,IN_APORTE))+IF(AND($B$35=1,PGBL_REINVESTE="Sim",$A97&gt;=13,$A97&lt;=IN_PRAZO,MONTH($B97)=5),PGBL_BENEFICIO,0))</f>
        <v>0</v>
      </c>
      <c r="H97" s="180" t="n">
        <f aca="false">G97*$B$24</f>
        <v>0</v>
      </c>
      <c r="I97" s="180" t="n">
        <f aca="false">F97*$B$19</f>
        <v>1969.45025545944</v>
      </c>
      <c r="J97" s="180" t="n">
        <f aca="false">F97*$B$22</f>
        <v>34.5925674114906</v>
      </c>
      <c r="K97" s="180" t="n">
        <f aca="false">$B$23*MAX(0,I97-F97*$B$18)</f>
        <v>0</v>
      </c>
      <c r="L97" s="180" t="n">
        <f aca="false">IF(AND($B$27=1,OR(MONTH($B97)=5,MONTH($B97)=11)),MAX(0,$B$28*MAX(0,(F97+I97-J97-K97+G97-H97)+O96-N97)-O96),0)</f>
        <v>0</v>
      </c>
      <c r="M97" s="181" t="n">
        <f aca="false">F97+I97-J97-K97+G97-H97-L97</f>
        <v>209490.262156992</v>
      </c>
      <c r="N97" s="180" t="n">
        <f aca="false">N96+G97-H97</f>
        <v>150000</v>
      </c>
      <c r="O97" s="180" t="n">
        <f aca="false">O96+L97</f>
        <v>0</v>
      </c>
      <c r="P97" s="180" t="n">
        <f aca="false">M97+O97-N97</f>
        <v>59490.2621569915</v>
      </c>
      <c r="Q97" s="180" t="n">
        <f aca="false">MAX(0,IFERROR(INDEX(TAB_IR,MATCH($C97,TAB_IR_DIAS,1),MATCH($B$8,TAB_IR_REGIMES,0)),0)*IF($B$26=2,M97,MAX(0,P97))-O97)</f>
        <v>8923.53932354873</v>
      </c>
      <c r="R97" s="181" t="n">
        <f aca="false">MAX(0,M97-Q97-M97*$B$25)</f>
        <v>200566.722833443</v>
      </c>
      <c r="S97" s="180" t="n">
        <f aca="false">R97/$D97</f>
        <v>178303.086269489</v>
      </c>
      <c r="U97" s="180" t="n">
        <f aca="false">AB96</f>
        <v>198183.508081045</v>
      </c>
      <c r="V97" s="180" t="n">
        <f aca="false">IF($C$9=0,0,IF($A97&gt;IN_PRAZO,0,IF(APORTE_CORRIGIDO="Sim",IN_APORTE*$D97,IN_APORTE))+IF(AND($C$35=1,PGBL_REINVESTE="Sim",$A97&gt;=13,$A97&lt;=IN_PRAZO,MONTH($B97)=5),PGBL_BENEFICIO,0))</f>
        <v>0</v>
      </c>
      <c r="W97" s="180" t="n">
        <f aca="false">V97*$C$24</f>
        <v>0</v>
      </c>
      <c r="X97" s="180" t="n">
        <f aca="false">U97*$C$19</f>
        <v>1616.62755419837</v>
      </c>
      <c r="Y97" s="180" t="n">
        <f aca="false">U97*$C$22</f>
        <v>33.0305846801742</v>
      </c>
      <c r="Z97" s="180" t="n">
        <f aca="false">$C$23*MAX(0,X97-U97*$C$18)</f>
        <v>0</v>
      </c>
      <c r="AA97" s="180" t="n">
        <f aca="false">IF(AND($C$27=1,OR(MONTH($B97)=5,MONTH($B97)=11)),MAX(0,$C$28*MAX(0,(U97+X97-Y97-Z97+V97-W97)+AD96-AC97)-AD96),0)</f>
        <v>0</v>
      </c>
      <c r="AB97" s="181" t="n">
        <f aca="false">U97+X97-Y97-Z97+V97-W97-AA97</f>
        <v>199767.105050564</v>
      </c>
      <c r="AC97" s="180" t="n">
        <f aca="false">AC96+V97-W97</f>
        <v>150000</v>
      </c>
      <c r="AD97" s="180" t="n">
        <f aca="false">AD96+AA97</f>
        <v>0</v>
      </c>
      <c r="AE97" s="180" t="n">
        <f aca="false">AB97+AD97-AC97</f>
        <v>49767.1050505636</v>
      </c>
      <c r="AF97" s="180" t="n">
        <f aca="false">MAX(0,IFERROR(INDEX(TAB_IR,MATCH($C97,TAB_IR_DIAS,1),MATCH($C$8,TAB_IR_REGIMES,0)),0)*IF($C$26=2,AB97,MAX(0,AE97))-AD97)</f>
        <v>7465.06575758454</v>
      </c>
      <c r="AG97" s="181" t="n">
        <f aca="false">MAX(0,AB97-AF97-AB97*$C$25)</f>
        <v>192302.039292979</v>
      </c>
      <c r="AH97" s="180" t="n">
        <f aca="false">AG97/$D97</f>
        <v>170955.81269645</v>
      </c>
      <c r="AJ97" s="180" t="n">
        <f aca="false">AQ96</f>
        <v>191616.532714125</v>
      </c>
      <c r="AK97" s="180" t="n">
        <f aca="false">IF($D$9=0,0,IF($A97&gt;IN_PRAZO,0,IF(APORTE_CORRIGIDO="Sim",IN_APORTE*$D97,IN_APORTE))+IF(AND($D$35=1,PGBL_REINVESTE="Sim",$A97&gt;=13,$A97&lt;=IN_PRAZO,MONTH($B97)=5),PGBL_BENEFICIO,0))</f>
        <v>0</v>
      </c>
      <c r="AL97" s="180" t="n">
        <f aca="false">AK97*$D$24</f>
        <v>0</v>
      </c>
      <c r="AM97" s="180" t="n">
        <f aca="false">AJ97*$D$19</f>
        <v>1722.38296225171</v>
      </c>
      <c r="AN97" s="180" t="n">
        <f aca="false">AJ97*$D$22</f>
        <v>159.680443928438</v>
      </c>
      <c r="AO97" s="180" t="n">
        <f aca="false">$D$23*MAX(0,AM97-AJ97*$D$18)</f>
        <v>0</v>
      </c>
      <c r="AP97" s="180" t="n">
        <f aca="false">IF(AND($D$27=1,OR(MONTH($B97)=5,MONTH($B97)=11)),MAX(0,$D$28*MAX(0,(AJ97+AM97-AN97-AO97+AK97-AL97)+AS96-AR97)-AS96),0)</f>
        <v>0</v>
      </c>
      <c r="AQ97" s="181" t="n">
        <f aca="false">AJ97+AM97-AN97-AO97+AK97-AL97-AP97</f>
        <v>193179.235232448</v>
      </c>
      <c r="AR97" s="180" t="n">
        <f aca="false">AR96+AK97-AL97</f>
        <v>150000</v>
      </c>
      <c r="AS97" s="180" t="n">
        <f aca="false">AS96+AP97</f>
        <v>6799.2263568853</v>
      </c>
      <c r="AT97" s="180" t="n">
        <f aca="false">AQ97+AS97-AR97</f>
        <v>49978.4615893338</v>
      </c>
      <c r="AU97" s="180" t="n">
        <f aca="false">MAX(0,IFERROR(INDEX(TAB_IR,MATCH($C97,TAB_IR_DIAS,1),MATCH($D$8,TAB_IR_REGIMES,0)),0)*IF($D$26=2,AQ97,MAX(0,AT97))-AS97)</f>
        <v>697.54288151476</v>
      </c>
      <c r="AV97" s="181" t="n">
        <f aca="false">MAX(0,AQ97-AU97-AQ97*$D$25)</f>
        <v>192481.692350934</v>
      </c>
      <c r="AW97" s="180" t="n">
        <f aca="false">AV97/$D97</f>
        <v>171115.523610795</v>
      </c>
      <c r="AY97" s="180" t="n">
        <f aca="false">BF96</f>
        <v>201990.904742291</v>
      </c>
      <c r="AZ97" s="180" t="n">
        <f aca="false">IF($E$9=0,0,IF($A97&gt;IN_PRAZO,0,IF(APORTE_CORRIGIDO="Sim",IN_APORTE*$D97,IN_APORTE))+IF(AND($E$35=1,PGBL_REINVESTE="Sim",$A97&gt;=13,$A97&lt;=IN_PRAZO,MONTH($B97)=5),PGBL_BENEFICIO,0))</f>
        <v>0</v>
      </c>
      <c r="BA97" s="180" t="n">
        <f aca="false">AZ97*$E$24</f>
        <v>0</v>
      </c>
      <c r="BB97" s="180" t="n">
        <f aca="false">AY97*$E$19</f>
        <v>1977.23752958474</v>
      </c>
      <c r="BC97" s="180" t="n">
        <f aca="false">AY97*$E$22</f>
        <v>252.488630927864</v>
      </c>
      <c r="BD97" s="180" t="n">
        <f aca="false">$E$23*MAX(0,BB97-AY97*$E$18)</f>
        <v>0</v>
      </c>
      <c r="BE97" s="180" t="n">
        <f aca="false">IF(AND($E$27=1,OR(MONTH($B97)=5,MONTH($B97)=11)),MAX(0,$E$28*MAX(0,(AY97+BB97-BC97-BD97+AZ97-BA97)+BH96-BG97)-BH96),0)</f>
        <v>0</v>
      </c>
      <c r="BF97" s="181" t="n">
        <f aca="false">AY97+BB97-BC97-BD97+AZ97-BA97-BE97</f>
        <v>203715.653640948</v>
      </c>
      <c r="BG97" s="180" t="n">
        <f aca="false">BG96+AZ97-BA97</f>
        <v>150000</v>
      </c>
      <c r="BH97" s="180" t="n">
        <f aca="false">BH96+BE97</f>
        <v>0</v>
      </c>
      <c r="BI97" s="180" t="n">
        <f aca="false">BF97+BH97-BG97</f>
        <v>53715.6536409477</v>
      </c>
      <c r="BJ97" s="180" t="n">
        <f aca="false">MAX(0,IFERROR(INDEX(TAB_IR,MATCH($C97,TAB_IR_DIAS,1),MATCH($E$8,TAB_IR_REGIMES,0)),0)*IF($E$26=2,BF97,MAX(0,BI97))-BH97)</f>
        <v>16114.6960922843</v>
      </c>
      <c r="BK97" s="181" t="n">
        <f aca="false">MAX(0,BF97-BJ97-BF97*$E$25)</f>
        <v>187600.957548663</v>
      </c>
      <c r="BL97" s="180" t="n">
        <f aca="false">BK97/$D97</f>
        <v>166776.568143939</v>
      </c>
      <c r="BN97" s="180" t="n">
        <f aca="false">BU96</f>
        <v>201990.904742291</v>
      </c>
      <c r="BO97" s="180" t="n">
        <f aca="false">IF($F$9=0,0,IF($A97&gt;IN_PRAZO,0,IF(APORTE_CORRIGIDO="Sim",IN_APORTE*$D97,IN_APORTE))+IF(AND($F$35=1,PGBL_REINVESTE="Sim",$A97&gt;=13,$A97&lt;=IN_PRAZO,MONTH($B97)=5),PGBL_BENEFICIO,0))</f>
        <v>0</v>
      </c>
      <c r="BP97" s="180" t="n">
        <f aca="false">BO97*$F$24</f>
        <v>0</v>
      </c>
      <c r="BQ97" s="180" t="n">
        <f aca="false">BN97*$F$19</f>
        <v>1977.23752958474</v>
      </c>
      <c r="BR97" s="180" t="n">
        <f aca="false">BN97*$F$22</f>
        <v>252.488630927864</v>
      </c>
      <c r="BS97" s="180" t="n">
        <f aca="false">$F$23*MAX(0,BQ97-BN97*$F$18)</f>
        <v>0</v>
      </c>
      <c r="BT97" s="180" t="n">
        <f aca="false">IF(AND($F$27=1,OR(MONTH($B97)=5,MONTH($B97)=11)),MAX(0,$F$28*MAX(0,(BN97+BQ97-BR97-BS97+BO97-BP97)+BW96-BV97)-BW96),0)</f>
        <v>0</v>
      </c>
      <c r="BU97" s="181" t="n">
        <f aca="false">BN97+BQ97-BR97-BS97+BO97-BP97-BT97</f>
        <v>203715.653640948</v>
      </c>
      <c r="BV97" s="180" t="n">
        <f aca="false">BV96+BO97-BP97</f>
        <v>150000</v>
      </c>
      <c r="BW97" s="180" t="n">
        <f aca="false">BW96+BT97</f>
        <v>0</v>
      </c>
      <c r="BX97" s="180" t="n">
        <f aca="false">BU97+BW97-BV97</f>
        <v>53715.6536409477</v>
      </c>
      <c r="BY97" s="180" t="n">
        <f aca="false">MAX(0,IFERROR(INDEX(TAB_IR,MATCH($C97,TAB_IR_DIAS,1),MATCH($F$8,TAB_IR_REGIMES,0)),0)*IF($F$26=2,BU97,MAX(0,BX97))-BW97)</f>
        <v>61114.6960922843</v>
      </c>
      <c r="BZ97" s="181" t="n">
        <f aca="false">MAX(0,BU97-BY97-BU97*$F$25)</f>
        <v>142600.957548663</v>
      </c>
      <c r="CA97" s="180" t="n">
        <f aca="false">BZ97/$D97</f>
        <v>126771.732003747</v>
      </c>
      <c r="CC97" s="180" t="n">
        <f aca="false">CJ96</f>
        <v>186895.837804375</v>
      </c>
      <c r="CD97" s="180" t="n">
        <f aca="false">IF($G$9=0,0,IF($A97&gt;IN_PRAZO,0,IF(APORTE_CORRIGIDO="Sim",IN_APORTE*$D97,IN_APORTE))+IF(AND($G$35=1,PGBL_REINVESTE="Sim",$A97&gt;=13,$A97&lt;=IN_PRAZO,MONTH($B97)=5),PGBL_BENEFICIO,0))</f>
        <v>0</v>
      </c>
      <c r="CE97" s="180" t="n">
        <f aca="false">CD97*$G$24</f>
        <v>0</v>
      </c>
      <c r="CF97" s="180" t="n">
        <f aca="false">CC97*$G$19</f>
        <v>1524.5514830426</v>
      </c>
      <c r="CG97" s="180" t="n">
        <f aca="false">CC97*$G$22</f>
        <v>155.746531503646</v>
      </c>
      <c r="CH97" s="180" t="n">
        <f aca="false">$G$23*MAX(0,CF97-CC97*$G$18)</f>
        <v>0</v>
      </c>
      <c r="CI97" s="180" t="n">
        <f aca="false">IF(AND($G$27=1,OR(MONTH($B97)=5,MONTH($B97)=11)),MAX(0,$G$28*MAX(0,(CC97+CF97-CG97-CH97+CD97-CE97)+CL96-CK97)-CL96),0)</f>
        <v>0</v>
      </c>
      <c r="CJ97" s="181" t="n">
        <f aca="false">CC97+CF97-CG97-CH97+CD97-CE97-CI97</f>
        <v>188264.642755914</v>
      </c>
      <c r="CK97" s="180" t="n">
        <f aca="false">CK96+CD97-CE97</f>
        <v>150000</v>
      </c>
      <c r="CL97" s="180" t="n">
        <f aca="false">CL96+CI97</f>
        <v>6033.17855618859</v>
      </c>
      <c r="CM97" s="180" t="n">
        <f aca="false">CJ97+CL97-CK97</f>
        <v>44297.8213121026</v>
      </c>
      <c r="CN97" s="180" t="n">
        <f aca="false">MAX(0,IFERROR(INDEX(TAB_IR,MATCH($C97,TAB_IR_DIAS,1),MATCH($G$8,TAB_IR_REGIMES,0)),0)*IF($G$26=2,CJ97,MAX(0,CM97))-CL97)</f>
        <v>611.494640626792</v>
      </c>
      <c r="CO97" s="181" t="n">
        <f aca="false">MAX(0,CJ97-CN97-CJ97*$G$25)</f>
        <v>187653.148115287</v>
      </c>
      <c r="CP97" s="180" t="n">
        <f aca="false">CO97/$D97</f>
        <v>166822.965367624</v>
      </c>
    </row>
    <row r="98" customFormat="false" ht="12" hidden="false" customHeight="true" outlineLevel="0" collapsed="false">
      <c r="A98" s="177" t="n">
        <v>37</v>
      </c>
      <c r="B98" s="178" t="n">
        <f aca="false">EDATE(DATA_INICIO,$A98)</f>
        <v>47384</v>
      </c>
      <c r="C98" s="177" t="n">
        <f aca="false">$A98*30</f>
        <v>1110</v>
      </c>
      <c r="D98" s="179" t="n">
        <f aca="false">(1+IPCA_CENARIO)^($A98/12)</f>
        <v>1.12854651202636</v>
      </c>
      <c r="F98" s="180" t="n">
        <f aca="false">M97</f>
        <v>209490.262156992</v>
      </c>
      <c r="G98" s="180" t="n">
        <f aca="false">IF($B$9=0,0,IF($A98&gt;IN_PRAZO,0,IF(APORTE_CORRIGIDO="Sim",IN_APORTE*$D98,IN_APORTE))+IF(AND($B$35=1,PGBL_REINVESTE="Sim",$A98&gt;=13,$A98&lt;=IN_PRAZO,MONTH($B98)=5),PGBL_BENEFICIO,0))</f>
        <v>0</v>
      </c>
      <c r="H98" s="180" t="n">
        <f aca="false">G98*$B$24</f>
        <v>0</v>
      </c>
      <c r="I98" s="180" t="n">
        <f aca="false">F98*$B$19</f>
        <v>1987.80971941921</v>
      </c>
      <c r="J98" s="180" t="n">
        <f aca="false">F98*$B$22</f>
        <v>34.9150436928319</v>
      </c>
      <c r="K98" s="180" t="n">
        <f aca="false">$B$23*MAX(0,I98-F98*$B$18)</f>
        <v>0</v>
      </c>
      <c r="L98" s="180" t="n">
        <f aca="false">IF(AND($B$27=1,OR(MONTH($B98)=5,MONTH($B98)=11)),MAX(0,$B$28*MAX(0,(F98+I98-J98-K98+G98-H98)+O97-N98)-O97),0)</f>
        <v>0</v>
      </c>
      <c r="M98" s="181" t="n">
        <f aca="false">F98+I98-J98-K98+G98-H98-L98</f>
        <v>211443.156832718</v>
      </c>
      <c r="N98" s="180" t="n">
        <f aca="false">N97+G98-H98</f>
        <v>150000</v>
      </c>
      <c r="O98" s="180" t="n">
        <f aca="false">O97+L98</f>
        <v>0</v>
      </c>
      <c r="P98" s="180" t="n">
        <f aca="false">M98+O98-N98</f>
        <v>61443.1568327179</v>
      </c>
      <c r="Q98" s="180" t="n">
        <f aca="false">MAX(0,IFERROR(INDEX(TAB_IR,MATCH($C98,TAB_IR_DIAS,1),MATCH($B$8,TAB_IR_REGIMES,0)),0)*IF($B$26=2,M98,MAX(0,P98))-O98)</f>
        <v>9216.47352490769</v>
      </c>
      <c r="R98" s="181" t="n">
        <f aca="false">MAX(0,M98-Q98-M98*$B$25)</f>
        <v>202226.68330781</v>
      </c>
      <c r="S98" s="180" t="n">
        <f aca="false">R98/$D98</f>
        <v>179192.156595036</v>
      </c>
      <c r="U98" s="180" t="n">
        <f aca="false">AB97</f>
        <v>199767.105050564</v>
      </c>
      <c r="V98" s="180" t="n">
        <f aca="false">IF($C$9=0,0,IF($A98&gt;IN_PRAZO,0,IF(APORTE_CORRIGIDO="Sim",IN_APORTE*$D98,IN_APORTE))+IF(AND($C$35=1,PGBL_REINVESTE="Sim",$A98&gt;=13,$A98&lt;=IN_PRAZO,MONTH($B98)=5),PGBL_BENEFICIO,0))</f>
        <v>0</v>
      </c>
      <c r="W98" s="180" t="n">
        <f aca="false">V98*$C$24</f>
        <v>0</v>
      </c>
      <c r="X98" s="180" t="n">
        <f aca="false">U98*$C$19</f>
        <v>1629.54531168716</v>
      </c>
      <c r="Y98" s="180" t="n">
        <f aca="false">U98*$C$22</f>
        <v>33.2945175084273</v>
      </c>
      <c r="Z98" s="180" t="n">
        <f aca="false">$C$23*MAX(0,X98-U98*$C$18)</f>
        <v>0</v>
      </c>
      <c r="AA98" s="180" t="n">
        <f aca="false">IF(AND($C$27=1,OR(MONTH($B98)=5,MONTH($B98)=11)),MAX(0,$C$28*MAX(0,(U98+X98-Y98-Z98+V98-W98)+AD97-AC98)-AD97),0)</f>
        <v>0</v>
      </c>
      <c r="AB98" s="181" t="n">
        <f aca="false">U98+X98-Y98-Z98+V98-W98-AA98</f>
        <v>201363.355844742</v>
      </c>
      <c r="AC98" s="180" t="n">
        <f aca="false">AC97+V98-W98</f>
        <v>150000</v>
      </c>
      <c r="AD98" s="180" t="n">
        <f aca="false">AD97+AA98</f>
        <v>0</v>
      </c>
      <c r="AE98" s="180" t="n">
        <f aca="false">AB98+AD98-AC98</f>
        <v>51363.3558447424</v>
      </c>
      <c r="AF98" s="180" t="n">
        <f aca="false">MAX(0,IFERROR(INDEX(TAB_IR,MATCH($C98,TAB_IR_DIAS,1),MATCH($C$8,TAB_IR_REGIMES,0)),0)*IF($C$26=2,AB98,MAX(0,AE98))-AD98)</f>
        <v>7704.50337671135</v>
      </c>
      <c r="AG98" s="181" t="n">
        <f aca="false">MAX(0,AB98-AF98-AB98*$C$25)</f>
        <v>193658.852468031</v>
      </c>
      <c r="AH98" s="180" t="n">
        <f aca="false">AG98/$D98</f>
        <v>171600.2401357</v>
      </c>
      <c r="AJ98" s="180" t="n">
        <f aca="false">AQ97</f>
        <v>193179.235232448</v>
      </c>
      <c r="AK98" s="180" t="n">
        <f aca="false">IF($D$9=0,0,IF($A98&gt;IN_PRAZO,0,IF(APORTE_CORRIGIDO="Sim",IN_APORTE*$D98,IN_APORTE))+IF(AND($D$35=1,PGBL_REINVESTE="Sim",$A98&gt;=13,$A98&lt;=IN_PRAZO,MONTH($B98)=5),PGBL_BENEFICIO,0))</f>
        <v>0</v>
      </c>
      <c r="AL98" s="180" t="n">
        <f aca="false">AK98*$D$24</f>
        <v>0</v>
      </c>
      <c r="AM98" s="180" t="n">
        <f aca="false">AJ98*$D$19</f>
        <v>1736.42962176748</v>
      </c>
      <c r="AN98" s="180" t="n">
        <f aca="false">AJ98*$D$22</f>
        <v>160.98269602704</v>
      </c>
      <c r="AO98" s="180" t="n">
        <f aca="false">$D$23*MAX(0,AM98-AJ98*$D$18)</f>
        <v>0</v>
      </c>
      <c r="AP98" s="180" t="n">
        <f aca="false">IF(AND($D$27=1,OR(MONTH($B98)=5,MONTH($B98)=11)),MAX(0,$D$28*MAX(0,(AJ98+AM98-AN98-AO98+AK98-AL98)+AS97-AR98)-AS97),0)</f>
        <v>0</v>
      </c>
      <c r="AQ98" s="181" t="n">
        <f aca="false">AJ98+AM98-AN98-AO98+AK98-AL98-AP98</f>
        <v>194754.682158189</v>
      </c>
      <c r="AR98" s="180" t="n">
        <f aca="false">AR97+AK98-AL98</f>
        <v>150000</v>
      </c>
      <c r="AS98" s="180" t="n">
        <f aca="false">AS97+AP98</f>
        <v>6799.2263568853</v>
      </c>
      <c r="AT98" s="180" t="n">
        <f aca="false">AQ98+AS98-AR98</f>
        <v>51553.9085150742</v>
      </c>
      <c r="AU98" s="180" t="n">
        <f aca="false">MAX(0,IFERROR(INDEX(TAB_IR,MATCH($C98,TAB_IR_DIAS,1),MATCH($D$8,TAB_IR_REGIMES,0)),0)*IF($D$26=2,AQ98,MAX(0,AT98))-AS98)</f>
        <v>933.859920375828</v>
      </c>
      <c r="AV98" s="181" t="n">
        <f aca="false">MAX(0,AQ98-AU98-AQ98*$D$25)</f>
        <v>193820.822237813</v>
      </c>
      <c r="AW98" s="180" t="n">
        <f aca="false">AV98/$D98</f>
        <v>171743.760821872</v>
      </c>
      <c r="AY98" s="180" t="n">
        <f aca="false">BF97</f>
        <v>203715.653640948</v>
      </c>
      <c r="AZ98" s="180" t="n">
        <f aca="false">IF($E$9=0,0,IF($A98&gt;IN_PRAZO,0,IF(APORTE_CORRIGIDO="Sim",IN_APORTE*$D98,IN_APORTE))+IF(AND($E$35=1,PGBL_REINVESTE="Sim",$A98&gt;=13,$A98&lt;=IN_PRAZO,MONTH($B98)=5),PGBL_BENEFICIO,0))</f>
        <v>0</v>
      </c>
      <c r="BA98" s="180" t="n">
        <f aca="false">AZ98*$E$24</f>
        <v>0</v>
      </c>
      <c r="BB98" s="180" t="n">
        <f aca="false">AY98*$E$19</f>
        <v>1994.12065734678</v>
      </c>
      <c r="BC98" s="180" t="n">
        <f aca="false">AY98*$E$22</f>
        <v>254.644567051185</v>
      </c>
      <c r="BD98" s="180" t="n">
        <f aca="false">$E$23*MAX(0,BB98-AY98*$E$18)</f>
        <v>0</v>
      </c>
      <c r="BE98" s="180" t="n">
        <f aca="false">IF(AND($E$27=1,OR(MONTH($B98)=5,MONTH($B98)=11)),MAX(0,$E$28*MAX(0,(AY98+BB98-BC98-BD98+AZ98-BA98)+BH97-BG98)-BH97),0)</f>
        <v>0</v>
      </c>
      <c r="BF98" s="181" t="n">
        <f aca="false">AY98+BB98-BC98-BD98+AZ98-BA98-BE98</f>
        <v>205455.129731243</v>
      </c>
      <c r="BG98" s="180" t="n">
        <f aca="false">BG97+AZ98-BA98</f>
        <v>150000</v>
      </c>
      <c r="BH98" s="180" t="n">
        <f aca="false">BH97+BE98</f>
        <v>0</v>
      </c>
      <c r="BI98" s="180" t="n">
        <f aca="false">BF98+BH98-BG98</f>
        <v>55455.1297312434</v>
      </c>
      <c r="BJ98" s="180" t="n">
        <f aca="false">MAX(0,IFERROR(INDEX(TAB_IR,MATCH($C98,TAB_IR_DIAS,1),MATCH($E$8,TAB_IR_REGIMES,0)),0)*IF($E$26=2,BF98,MAX(0,BI98))-BH98)</f>
        <v>16636.538919373</v>
      </c>
      <c r="BK98" s="181" t="n">
        <f aca="false">MAX(0,BF98-BJ98-BF98*$E$25)</f>
        <v>188818.59081187</v>
      </c>
      <c r="BL98" s="180" t="n">
        <f aca="false">BK98/$D98</f>
        <v>167311.306002654</v>
      </c>
      <c r="BN98" s="180" t="n">
        <f aca="false">BU97</f>
        <v>203715.653640948</v>
      </c>
      <c r="BO98" s="180" t="n">
        <f aca="false">IF($F$9=0,0,IF($A98&gt;IN_PRAZO,0,IF(APORTE_CORRIGIDO="Sim",IN_APORTE*$D98,IN_APORTE))+IF(AND($F$35=1,PGBL_REINVESTE="Sim",$A98&gt;=13,$A98&lt;=IN_PRAZO,MONTH($B98)=5),PGBL_BENEFICIO,0))</f>
        <v>0</v>
      </c>
      <c r="BP98" s="180" t="n">
        <f aca="false">BO98*$F$24</f>
        <v>0</v>
      </c>
      <c r="BQ98" s="180" t="n">
        <f aca="false">BN98*$F$19</f>
        <v>1994.12065734678</v>
      </c>
      <c r="BR98" s="180" t="n">
        <f aca="false">BN98*$F$22</f>
        <v>254.644567051185</v>
      </c>
      <c r="BS98" s="180" t="n">
        <f aca="false">$F$23*MAX(0,BQ98-BN98*$F$18)</f>
        <v>0</v>
      </c>
      <c r="BT98" s="180" t="n">
        <f aca="false">IF(AND($F$27=1,OR(MONTH($B98)=5,MONTH($B98)=11)),MAX(0,$F$28*MAX(0,(BN98+BQ98-BR98-BS98+BO98-BP98)+BW97-BV98)-BW97),0)</f>
        <v>0</v>
      </c>
      <c r="BU98" s="181" t="n">
        <f aca="false">BN98+BQ98-BR98-BS98+BO98-BP98-BT98</f>
        <v>205455.129731243</v>
      </c>
      <c r="BV98" s="180" t="n">
        <f aca="false">BV97+BO98-BP98</f>
        <v>150000</v>
      </c>
      <c r="BW98" s="180" t="n">
        <f aca="false">BW97+BT98</f>
        <v>0</v>
      </c>
      <c r="BX98" s="180" t="n">
        <f aca="false">BU98+BW98-BV98</f>
        <v>55455.1297312434</v>
      </c>
      <c r="BY98" s="180" t="n">
        <f aca="false">MAX(0,IFERROR(INDEX(TAB_IR,MATCH($C98,TAB_IR_DIAS,1),MATCH($F$8,TAB_IR_REGIMES,0)),0)*IF($F$26=2,BU98,MAX(0,BX98))-BW98)</f>
        <v>61636.538919373</v>
      </c>
      <c r="BZ98" s="181" t="n">
        <f aca="false">MAX(0,BU98-BY98-BU98*$F$25)</f>
        <v>143818.59081187</v>
      </c>
      <c r="CA98" s="180" t="n">
        <f aca="false">BZ98/$D98</f>
        <v>127437.007938323</v>
      </c>
      <c r="CC98" s="180" t="n">
        <f aca="false">CJ97</f>
        <v>188264.642755914</v>
      </c>
      <c r="CD98" s="180" t="n">
        <f aca="false">IF($G$9=0,0,IF($A98&gt;IN_PRAZO,0,IF(APORTE_CORRIGIDO="Sim",IN_APORTE*$D98,IN_APORTE))+IF(AND($G$35=1,PGBL_REINVESTE="Sim",$A98&gt;=13,$A98&lt;=IN_PRAZO,MONTH($B98)=5),PGBL_BENEFICIO,0))</f>
        <v>0</v>
      </c>
      <c r="CE98" s="180" t="n">
        <f aca="false">CD98*$G$24</f>
        <v>0</v>
      </c>
      <c r="CF98" s="180" t="n">
        <f aca="false">CC98*$G$19</f>
        <v>1535.7171336177</v>
      </c>
      <c r="CG98" s="180" t="n">
        <f aca="false">CC98*$G$22</f>
        <v>156.887202296595</v>
      </c>
      <c r="CH98" s="180" t="n">
        <f aca="false">$G$23*MAX(0,CF98-CC98*$G$18)</f>
        <v>0</v>
      </c>
      <c r="CI98" s="180" t="n">
        <f aca="false">IF(AND($G$27=1,OR(MONTH($B98)=5,MONTH($B98)=11)),MAX(0,$G$28*MAX(0,(CC98+CF98-CG98-CH98+CD98-CE98)+CL97-CK98)-CL97),0)</f>
        <v>0</v>
      </c>
      <c r="CJ98" s="181" t="n">
        <f aca="false">CC98+CF98-CG98-CH98+CD98-CE98-CI98</f>
        <v>189643.472687235</v>
      </c>
      <c r="CK98" s="180" t="n">
        <f aca="false">CK97+CD98-CE98</f>
        <v>150000</v>
      </c>
      <c r="CL98" s="180" t="n">
        <f aca="false">CL97+CI98</f>
        <v>6033.17855618859</v>
      </c>
      <c r="CM98" s="180" t="n">
        <f aca="false">CJ98+CL98-CK98</f>
        <v>45676.6512434237</v>
      </c>
      <c r="CN98" s="180" t="n">
        <f aca="false">MAX(0,IFERROR(INDEX(TAB_IR,MATCH($C98,TAB_IR_DIAS,1),MATCH($G$8,TAB_IR_REGIMES,0)),0)*IF($G$26=2,CJ98,MAX(0,CM98))-CL98)</f>
        <v>818.31913032496</v>
      </c>
      <c r="CO98" s="181" t="n">
        <f aca="false">MAX(0,CJ98-CN98-CJ98*$G$25)</f>
        <v>188825.15355691</v>
      </c>
      <c r="CP98" s="180" t="n">
        <f aca="false">CO98/$D98</f>
        <v>167317.121221583</v>
      </c>
    </row>
    <row r="99" customFormat="false" ht="12" hidden="false" customHeight="true" outlineLevel="0" collapsed="false">
      <c r="A99" s="177" t="n">
        <v>38</v>
      </c>
      <c r="B99" s="178" t="n">
        <f aca="false">EDATE(DATA_INICIO,$A99)</f>
        <v>47414</v>
      </c>
      <c r="C99" s="177" t="n">
        <f aca="false">$A99*30</f>
        <v>1140</v>
      </c>
      <c r="D99" s="179" t="n">
        <f aca="false">(1+IPCA_CENARIO)^($A99/12)</f>
        <v>1.13224107963885</v>
      </c>
      <c r="F99" s="180" t="n">
        <f aca="false">M98</f>
        <v>211443.156832718</v>
      </c>
      <c r="G99" s="180" t="n">
        <f aca="false">IF($B$9=0,0,IF($A99&gt;IN_PRAZO,0,IF(APORTE_CORRIGIDO="Sim",IN_APORTE*$D99,IN_APORTE))+IF(AND($B$35=1,PGBL_REINVESTE="Sim",$A99&gt;=13,$A99&lt;=IN_PRAZO,MONTH($B99)=5),PGBL_BENEFICIO,0))</f>
        <v>0</v>
      </c>
      <c r="H99" s="180" t="n">
        <f aca="false">G99*$B$24</f>
        <v>0</v>
      </c>
      <c r="I99" s="180" t="n">
        <f aca="false">F99*$B$19</f>
        <v>2006.34033262023</v>
      </c>
      <c r="J99" s="180" t="n">
        <f aca="false">F99*$B$22</f>
        <v>35.2405261387863</v>
      </c>
      <c r="K99" s="180" t="n">
        <f aca="false">$B$23*MAX(0,I99-F99*$B$18)</f>
        <v>0</v>
      </c>
      <c r="L99" s="180" t="n">
        <f aca="false">IF(AND($B$27=1,OR(MONTH($B99)=5,MONTH($B99)=11)),MAX(0,$B$28*MAX(0,(F99+I99-J99-K99+G99-H99)+O98-N99)-O98),0)</f>
        <v>0</v>
      </c>
      <c r="M99" s="181" t="n">
        <f aca="false">F99+I99-J99-K99+G99-H99-L99</f>
        <v>213414.256639199</v>
      </c>
      <c r="N99" s="180" t="n">
        <f aca="false">N98+G99-H99</f>
        <v>150000</v>
      </c>
      <c r="O99" s="180" t="n">
        <f aca="false">O98+L99</f>
        <v>0</v>
      </c>
      <c r="P99" s="180" t="n">
        <f aca="false">M99+O99-N99</f>
        <v>63414.2566391994</v>
      </c>
      <c r="Q99" s="180" t="n">
        <f aca="false">MAX(0,IFERROR(INDEX(TAB_IR,MATCH($C99,TAB_IR_DIAS,1),MATCH($B$8,TAB_IR_REGIMES,0)),0)*IF($B$26=2,M99,MAX(0,P99))-O99)</f>
        <v>9512.1384958799</v>
      </c>
      <c r="R99" s="181" t="n">
        <f aca="false">MAX(0,M99-Q99-M99*$B$25)</f>
        <v>203902.118143319</v>
      </c>
      <c r="S99" s="180" t="n">
        <f aca="false">R99/$D99</f>
        <v>180087.193275445</v>
      </c>
      <c r="U99" s="180" t="n">
        <f aca="false">AB98</f>
        <v>201363.355844742</v>
      </c>
      <c r="V99" s="180" t="n">
        <f aca="false">IF($C$9=0,0,IF($A99&gt;IN_PRAZO,0,IF(APORTE_CORRIGIDO="Sim",IN_APORTE*$D99,IN_APORTE))+IF(AND($C$35=1,PGBL_REINVESTE="Sim",$A99&gt;=13,$A99&lt;=IN_PRAZO,MONTH($B99)=5),PGBL_BENEFICIO,0))</f>
        <v>0</v>
      </c>
      <c r="W99" s="180" t="n">
        <f aca="false">V99*$C$24</f>
        <v>0</v>
      </c>
      <c r="X99" s="180" t="n">
        <f aca="false">U99*$C$19</f>
        <v>1642.5662892764</v>
      </c>
      <c r="Y99" s="180" t="n">
        <f aca="false">U99*$C$22</f>
        <v>33.5605593074571</v>
      </c>
      <c r="Z99" s="180" t="n">
        <f aca="false">$C$23*MAX(0,X99-U99*$C$18)</f>
        <v>0</v>
      </c>
      <c r="AA99" s="180" t="n">
        <f aca="false">IF(AND($C$27=1,OR(MONTH($B99)=5,MONTH($B99)=11)),MAX(0,$C$28*MAX(0,(U99+X99-Y99-Z99+V99-W99)+AD98-AC99)-AD98),0)</f>
        <v>0</v>
      </c>
      <c r="AB99" s="181" t="n">
        <f aca="false">U99+X99-Y99-Z99+V99-W99-AA99</f>
        <v>202972.361574711</v>
      </c>
      <c r="AC99" s="180" t="n">
        <f aca="false">AC98+V99-W99</f>
        <v>150000</v>
      </c>
      <c r="AD99" s="180" t="n">
        <f aca="false">AD98+AA99</f>
        <v>0</v>
      </c>
      <c r="AE99" s="180" t="n">
        <f aca="false">AB99+AD99-AC99</f>
        <v>52972.3615747113</v>
      </c>
      <c r="AF99" s="180" t="n">
        <f aca="false">MAX(0,IFERROR(INDEX(TAB_IR,MATCH($C99,TAB_IR_DIAS,1),MATCH($C$8,TAB_IR_REGIMES,0)),0)*IF($C$26=2,AB99,MAX(0,AE99))-AD99)</f>
        <v>7945.8542362067</v>
      </c>
      <c r="AG99" s="181" t="n">
        <f aca="false">MAX(0,AB99-AF99-AB99*$C$25)</f>
        <v>195026.507338505</v>
      </c>
      <c r="AH99" s="180" t="n">
        <f aca="false">AG99/$D99</f>
        <v>172248.217138273</v>
      </c>
      <c r="AJ99" s="180" t="n">
        <f aca="false">AQ98</f>
        <v>194754.682158189</v>
      </c>
      <c r="AK99" s="180" t="n">
        <f aca="false">IF($D$9=0,0,IF($A99&gt;IN_PRAZO,0,IF(APORTE_CORRIGIDO="Sim",IN_APORTE*$D99,IN_APORTE))+IF(AND($D$35=1,PGBL_REINVESTE="Sim",$A99&gt;=13,$A99&lt;=IN_PRAZO,MONTH($B99)=5),PGBL_BENEFICIO,0))</f>
        <v>0</v>
      </c>
      <c r="AL99" s="180" t="n">
        <f aca="false">AK99*$D$24</f>
        <v>0</v>
      </c>
      <c r="AM99" s="180" t="n">
        <f aca="false">AJ99*$D$19</f>
        <v>1750.5908369006</v>
      </c>
      <c r="AN99" s="180" t="n">
        <f aca="false">AJ99*$D$22</f>
        <v>162.295568465157</v>
      </c>
      <c r="AO99" s="180" t="n">
        <f aca="false">$D$23*MAX(0,AM99-AJ99*$D$18)</f>
        <v>0</v>
      </c>
      <c r="AP99" s="180" t="n">
        <f aca="false">IF(AND($D$27=1,OR(MONTH($B99)=5,MONTH($B99)=11)),MAX(0,$D$28*MAX(0,(AJ99+AM99-AN99-AO99+AK99-AL99)+AS98-AR99)-AS98),0)</f>
        <v>0</v>
      </c>
      <c r="AQ99" s="181" t="n">
        <f aca="false">AJ99+AM99-AN99-AO99+AK99-AL99-AP99</f>
        <v>196342.977426624</v>
      </c>
      <c r="AR99" s="180" t="n">
        <f aca="false">AR98+AK99-AL99</f>
        <v>150000</v>
      </c>
      <c r="AS99" s="180" t="n">
        <f aca="false">AS98+AP99</f>
        <v>6799.2263568853</v>
      </c>
      <c r="AT99" s="180" t="n">
        <f aca="false">AQ99+AS99-AR99</f>
        <v>53142.2037835096</v>
      </c>
      <c r="AU99" s="180" t="n">
        <f aca="false">MAX(0,IFERROR(INDEX(TAB_IR,MATCH($C99,TAB_IR_DIAS,1),MATCH($D$8,TAB_IR_REGIMES,0)),0)*IF($D$26=2,AQ99,MAX(0,AT99))-AS99)</f>
        <v>1172.10421064114</v>
      </c>
      <c r="AV99" s="181" t="n">
        <f aca="false">MAX(0,AQ99-AU99-AQ99*$D$25)</f>
        <v>195170.873215983</v>
      </c>
      <c r="AW99" s="180" t="n">
        <f aca="false">AV99/$D99</f>
        <v>172375.721677787</v>
      </c>
      <c r="AY99" s="180" t="n">
        <f aca="false">BF98</f>
        <v>205455.129731243</v>
      </c>
      <c r="AZ99" s="180" t="n">
        <f aca="false">IF($E$9=0,0,IF($A99&gt;IN_PRAZO,0,IF(APORTE_CORRIGIDO="Sim",IN_APORTE*$D99,IN_APORTE))+IF(AND($E$35=1,PGBL_REINVESTE="Sim",$A99&gt;=13,$A99&lt;=IN_PRAZO,MONTH($B99)=5),PGBL_BENEFICIO,0))</f>
        <v>0</v>
      </c>
      <c r="BA99" s="180" t="n">
        <f aca="false">AZ99*$E$24</f>
        <v>0</v>
      </c>
      <c r="BB99" s="180" t="n">
        <f aca="false">AY99*$E$19</f>
        <v>2011.1479458375</v>
      </c>
      <c r="BC99" s="180" t="n">
        <f aca="false">AY99*$E$22</f>
        <v>256.818912164054</v>
      </c>
      <c r="BD99" s="180" t="n">
        <f aca="false">$E$23*MAX(0,BB99-AY99*$E$18)</f>
        <v>0</v>
      </c>
      <c r="BE99" s="180" t="n">
        <f aca="false">IF(AND($E$27=1,OR(MONTH($B99)=5,MONTH($B99)=11)),MAX(0,$E$28*MAX(0,(AY99+BB99-BC99-BD99+AZ99-BA99)+BH98-BG99)-BH98),0)</f>
        <v>0</v>
      </c>
      <c r="BF99" s="181" t="n">
        <f aca="false">AY99+BB99-BC99-BD99+AZ99-BA99-BE99</f>
        <v>207209.458764917</v>
      </c>
      <c r="BG99" s="180" t="n">
        <f aca="false">BG98+AZ99-BA99</f>
        <v>150000</v>
      </c>
      <c r="BH99" s="180" t="n">
        <f aca="false">BH98+BE99</f>
        <v>0</v>
      </c>
      <c r="BI99" s="180" t="n">
        <f aca="false">BF99+BH99-BG99</f>
        <v>57209.4587649168</v>
      </c>
      <c r="BJ99" s="180" t="n">
        <f aca="false">MAX(0,IFERROR(INDEX(TAB_IR,MATCH($C99,TAB_IR_DIAS,1),MATCH($E$8,TAB_IR_REGIMES,0)),0)*IF($E$26=2,BF99,MAX(0,BI99))-BH99)</f>
        <v>17162.837629475</v>
      </c>
      <c r="BK99" s="181" t="n">
        <f aca="false">MAX(0,BF99-BJ99-BF99*$E$25)</f>
        <v>190046.621135442</v>
      </c>
      <c r="BL99" s="180" t="n">
        <f aca="false">BK99/$D99</f>
        <v>167849.96106665</v>
      </c>
      <c r="BN99" s="180" t="n">
        <f aca="false">BU98</f>
        <v>205455.129731243</v>
      </c>
      <c r="BO99" s="180" t="n">
        <f aca="false">IF($F$9=0,0,IF($A99&gt;IN_PRAZO,0,IF(APORTE_CORRIGIDO="Sim",IN_APORTE*$D99,IN_APORTE))+IF(AND($F$35=1,PGBL_REINVESTE="Sim",$A99&gt;=13,$A99&lt;=IN_PRAZO,MONTH($B99)=5),PGBL_BENEFICIO,0))</f>
        <v>0</v>
      </c>
      <c r="BP99" s="180" t="n">
        <f aca="false">BO99*$F$24</f>
        <v>0</v>
      </c>
      <c r="BQ99" s="180" t="n">
        <f aca="false">BN99*$F$19</f>
        <v>2011.1479458375</v>
      </c>
      <c r="BR99" s="180" t="n">
        <f aca="false">BN99*$F$22</f>
        <v>256.818912164054</v>
      </c>
      <c r="BS99" s="180" t="n">
        <f aca="false">$F$23*MAX(0,BQ99-BN99*$F$18)</f>
        <v>0</v>
      </c>
      <c r="BT99" s="180" t="n">
        <f aca="false">IF(AND($F$27=1,OR(MONTH($B99)=5,MONTH($B99)=11)),MAX(0,$F$28*MAX(0,(BN99+BQ99-BR99-BS99+BO99-BP99)+BW98-BV99)-BW98),0)</f>
        <v>0</v>
      </c>
      <c r="BU99" s="181" t="n">
        <f aca="false">BN99+BQ99-BR99-BS99+BO99-BP99-BT99</f>
        <v>207209.458764917</v>
      </c>
      <c r="BV99" s="180" t="n">
        <f aca="false">BV98+BO99-BP99</f>
        <v>150000</v>
      </c>
      <c r="BW99" s="180" t="n">
        <f aca="false">BW98+BT99</f>
        <v>0</v>
      </c>
      <c r="BX99" s="180" t="n">
        <f aca="false">BU99+BW99-BV99</f>
        <v>57209.4587649168</v>
      </c>
      <c r="BY99" s="180" t="n">
        <f aca="false">MAX(0,IFERROR(INDEX(TAB_IR,MATCH($C99,TAB_IR_DIAS,1),MATCH($F$8,TAB_IR_REGIMES,0)),0)*IF($F$26=2,BU99,MAX(0,BX99))-BW99)</f>
        <v>62162.837629475</v>
      </c>
      <c r="BZ99" s="181" t="n">
        <f aca="false">MAX(0,BU99-BY99-BU99*$F$25)</f>
        <v>145046.621135442</v>
      </c>
      <c r="CA99" s="180" t="n">
        <f aca="false">BZ99/$D99</f>
        <v>128105.775124947</v>
      </c>
      <c r="CC99" s="180" t="n">
        <f aca="false">CJ98</f>
        <v>189643.472687235</v>
      </c>
      <c r="CD99" s="180" t="n">
        <f aca="false">IF($G$9=0,0,IF($A99&gt;IN_PRAZO,0,IF(APORTE_CORRIGIDO="Sim",IN_APORTE*$D99,IN_APORTE))+IF(AND($G$35=1,PGBL_REINVESTE="Sim",$A99&gt;=13,$A99&lt;=IN_PRAZO,MONTH($B99)=5),PGBL_BENEFICIO,0))</f>
        <v>0</v>
      </c>
      <c r="CE99" s="180" t="n">
        <f aca="false">CD99*$G$24</f>
        <v>0</v>
      </c>
      <c r="CF99" s="180" t="n">
        <f aca="false">CC99*$G$19</f>
        <v>1546.96456021293</v>
      </c>
      <c r="CG99" s="180" t="n">
        <f aca="false">CC99*$G$22</f>
        <v>158.036227239363</v>
      </c>
      <c r="CH99" s="180" t="n">
        <f aca="false">$G$23*MAX(0,CF99-CC99*$G$18)</f>
        <v>0</v>
      </c>
      <c r="CI99" s="180" t="n">
        <f aca="false">IF(AND($G$27=1,OR(MONTH($B99)=5,MONTH($B99)=11)),MAX(0,$G$28*MAX(0,(CC99+CF99-CG99-CH99+CD99-CE99)+CL98-CK99)-CL98),0)</f>
        <v>0</v>
      </c>
      <c r="CJ99" s="181" t="n">
        <f aca="false">CC99+CF99-CG99-CH99+CD99-CE99-CI99</f>
        <v>191032.401020209</v>
      </c>
      <c r="CK99" s="180" t="n">
        <f aca="false">CK98+CD99-CE99</f>
        <v>150000</v>
      </c>
      <c r="CL99" s="180" t="n">
        <f aca="false">CL98+CI99</f>
        <v>6033.17855618859</v>
      </c>
      <c r="CM99" s="180" t="n">
        <f aca="false">CJ99+CL99-CK99</f>
        <v>47065.5795763973</v>
      </c>
      <c r="CN99" s="180" t="n">
        <f aca="false">MAX(0,IFERROR(INDEX(TAB_IR,MATCH($C99,TAB_IR_DIAS,1),MATCH($G$8,TAB_IR_REGIMES,0)),0)*IF($G$26=2,CJ99,MAX(0,CM99))-CL99)</f>
        <v>1026.658380271</v>
      </c>
      <c r="CO99" s="181" t="n">
        <f aca="false">MAX(0,CJ99-CN99-CJ99*$G$25)</f>
        <v>190005.742639938</v>
      </c>
      <c r="CP99" s="180" t="n">
        <f aca="false">CO99/$D99</f>
        <v>167813.857010509</v>
      </c>
    </row>
    <row r="100" customFormat="false" ht="12" hidden="false" customHeight="true" outlineLevel="0" collapsed="false">
      <c r="A100" s="177" t="n">
        <v>39</v>
      </c>
      <c r="B100" s="178" t="n">
        <f aca="false">EDATE(DATA_INICIO,$A100)</f>
        <v>47445</v>
      </c>
      <c r="C100" s="177" t="n">
        <f aca="false">$A100*30</f>
        <v>1170</v>
      </c>
      <c r="D100" s="179" t="n">
        <f aca="false">(1+IPCA_CENARIO)^($A100/12)</f>
        <v>1.1359477423043</v>
      </c>
      <c r="F100" s="180" t="n">
        <f aca="false">M99</f>
        <v>213414.256639199</v>
      </c>
      <c r="G100" s="180" t="n">
        <f aca="false">IF($B$9=0,0,IF($A100&gt;IN_PRAZO,0,IF(APORTE_CORRIGIDO="Sim",IN_APORTE*$D100,IN_APORTE))+IF(AND($B$35=1,PGBL_REINVESTE="Sim",$A100&gt;=13,$A100&lt;=IN_PRAZO,MONTH($B100)=5),PGBL_BENEFICIO,0))</f>
        <v>0</v>
      </c>
      <c r="H100" s="180" t="n">
        <f aca="false">G100*$B$24</f>
        <v>0</v>
      </c>
      <c r="I100" s="180" t="n">
        <f aca="false">F100*$B$19</f>
        <v>2025.04369053733</v>
      </c>
      <c r="J100" s="180" t="n">
        <f aca="false">F100*$B$22</f>
        <v>35.5690427731999</v>
      </c>
      <c r="K100" s="180" t="n">
        <f aca="false">$B$23*MAX(0,I100-F100*$B$18)</f>
        <v>0</v>
      </c>
      <c r="L100" s="180" t="n">
        <f aca="false">IF(AND($B$27=1,OR(MONTH($B100)=5,MONTH($B100)=11)),MAX(0,$B$28*MAX(0,(F100+I100-J100-K100+G100-H100)+O99-N100)-O99),0)</f>
        <v>0</v>
      </c>
      <c r="M100" s="181" t="n">
        <f aca="false">F100+I100-J100-K100+G100-H100-L100</f>
        <v>215403.731286964</v>
      </c>
      <c r="N100" s="180" t="n">
        <f aca="false">N99+G100-H100</f>
        <v>150000</v>
      </c>
      <c r="O100" s="180" t="n">
        <f aca="false">O99+L100</f>
        <v>0</v>
      </c>
      <c r="P100" s="180" t="n">
        <f aca="false">M100+O100-N100</f>
        <v>65403.7312869635</v>
      </c>
      <c r="Q100" s="180" t="n">
        <f aca="false">MAX(0,IFERROR(INDEX(TAB_IR,MATCH($C100,TAB_IR_DIAS,1),MATCH($B$8,TAB_IR_REGIMES,0)),0)*IF($B$26=2,M100,MAX(0,P100))-O100)</f>
        <v>9810.55969304453</v>
      </c>
      <c r="R100" s="181" t="n">
        <f aca="false">MAX(0,M100-Q100-M100*$B$25)</f>
        <v>205593.171593919</v>
      </c>
      <c r="S100" s="180" t="n">
        <f aca="false">R100/$D100</f>
        <v>180988.230300866</v>
      </c>
      <c r="U100" s="180" t="n">
        <f aca="false">AB99</f>
        <v>202972.361574711</v>
      </c>
      <c r="V100" s="180" t="n">
        <f aca="false">IF($C$9=0,0,IF($A100&gt;IN_PRAZO,0,IF(APORTE_CORRIGIDO="Sim",IN_APORTE*$D100,IN_APORTE))+IF(AND($C$35=1,PGBL_REINVESTE="Sim",$A100&gt;=13,$A100&lt;=IN_PRAZO,MONTH($B100)=5),PGBL_BENEFICIO,0))</f>
        <v>0</v>
      </c>
      <c r="W100" s="180" t="n">
        <f aca="false">V100*$C$24</f>
        <v>0</v>
      </c>
      <c r="X100" s="180" t="n">
        <f aca="false">U100*$C$19</f>
        <v>1655.69131175237</v>
      </c>
      <c r="Y100" s="180" t="n">
        <f aca="false">U100*$C$22</f>
        <v>33.8287269291186</v>
      </c>
      <c r="Z100" s="180" t="n">
        <f aca="false">$C$23*MAX(0,X100-U100*$C$18)</f>
        <v>0</v>
      </c>
      <c r="AA100" s="180" t="n">
        <f aca="false">IF(AND($C$27=1,OR(MONTH($B100)=5,MONTH($B100)=11)),MAX(0,$C$28*MAX(0,(U100+X100-Y100-Z100+V100-W100)+AD99-AC100)-AD99),0)</f>
        <v>0</v>
      </c>
      <c r="AB100" s="181" t="n">
        <f aca="false">U100+X100-Y100-Z100+V100-W100-AA100</f>
        <v>204594.224159535</v>
      </c>
      <c r="AC100" s="180" t="n">
        <f aca="false">AC99+V100-W100</f>
        <v>150000</v>
      </c>
      <c r="AD100" s="180" t="n">
        <f aca="false">AD99+AA100</f>
        <v>0</v>
      </c>
      <c r="AE100" s="180" t="n">
        <f aca="false">AB100+AD100-AC100</f>
        <v>54594.2241595346</v>
      </c>
      <c r="AF100" s="180" t="n">
        <f aca="false">MAX(0,IFERROR(INDEX(TAB_IR,MATCH($C100,TAB_IR_DIAS,1),MATCH($C$8,TAB_IR_REGIMES,0)),0)*IF($C$26=2,AB100,MAX(0,AE100))-AD100)</f>
        <v>8189.13362393018</v>
      </c>
      <c r="AG100" s="181" t="n">
        <f aca="false">MAX(0,AB100-AF100-AB100*$C$25)</f>
        <v>196405.090535604</v>
      </c>
      <c r="AH100" s="180" t="n">
        <f aca="false">AG100/$D100</f>
        <v>172899.758695934</v>
      </c>
      <c r="AJ100" s="180" t="n">
        <f aca="false">AQ99</f>
        <v>196342.977426624</v>
      </c>
      <c r="AK100" s="180" t="n">
        <f aca="false">IF($D$9=0,0,IF($A100&gt;IN_PRAZO,0,IF(APORTE_CORRIGIDO="Sim",IN_APORTE*$D100,IN_APORTE))+IF(AND($D$35=1,PGBL_REINVESTE="Sim",$A100&gt;=13,$A100&lt;=IN_PRAZO,MONTH($B100)=5),PGBL_BENEFICIO,0))</f>
        <v>0</v>
      </c>
      <c r="AL100" s="180" t="n">
        <f aca="false">AK100*$D$24</f>
        <v>0</v>
      </c>
      <c r="AM100" s="180" t="n">
        <f aca="false">AJ100*$D$19</f>
        <v>1764.86754189379</v>
      </c>
      <c r="AN100" s="180" t="n">
        <f aca="false">AJ100*$D$22</f>
        <v>163.61914785552</v>
      </c>
      <c r="AO100" s="180" t="n">
        <f aca="false">$D$23*MAX(0,AM100-AJ100*$D$18)</f>
        <v>0</v>
      </c>
      <c r="AP100" s="180" t="n">
        <f aca="false">IF(AND($D$27=1,OR(MONTH($B100)=5,MONTH($B100)=11)),MAX(0,$D$28*MAX(0,(AJ100+AM100-AN100-AO100+AK100-AL100)+AS99-AR100)-AS99),0)</f>
        <v>1412.29146974688</v>
      </c>
      <c r="AQ100" s="181" t="n">
        <f aca="false">AJ100+AM100-AN100-AO100+AK100-AL100-AP100</f>
        <v>196531.934350916</v>
      </c>
      <c r="AR100" s="180" t="n">
        <f aca="false">AR99+AK100-AL100</f>
        <v>150000</v>
      </c>
      <c r="AS100" s="180" t="n">
        <f aca="false">AS99+AP100</f>
        <v>8211.51782663219</v>
      </c>
      <c r="AT100" s="180" t="n">
        <f aca="false">AQ100+AS100-AR100</f>
        <v>54743.4521775479</v>
      </c>
      <c r="AU100" s="180" t="n">
        <f aca="false">MAX(0,IFERROR(INDEX(TAB_IR,MATCH($C100,TAB_IR_DIAS,1),MATCH($D$8,TAB_IR_REGIMES,0)),0)*IF($D$26=2,AQ100,MAX(0,AT100))-AS100)</f>
        <v>0</v>
      </c>
      <c r="AV100" s="181" t="n">
        <f aca="false">MAX(0,AQ100-AU100-AQ100*$D$25)</f>
        <v>196531.934350916</v>
      </c>
      <c r="AW100" s="180" t="n">
        <f aca="false">AV100/$D100</f>
        <v>173011.422120744</v>
      </c>
      <c r="AY100" s="180" t="n">
        <f aca="false">BF99</f>
        <v>207209.458764917</v>
      </c>
      <c r="AZ100" s="180" t="n">
        <f aca="false">IF($E$9=0,0,IF($A100&gt;IN_PRAZO,0,IF(APORTE_CORRIGIDO="Sim",IN_APORTE*$D100,IN_APORTE))+IF(AND($E$35=1,PGBL_REINVESTE="Sim",$A100&gt;=13,$A100&lt;=IN_PRAZO,MONTH($B100)=5),PGBL_BENEFICIO,0))</f>
        <v>0</v>
      </c>
      <c r="BA100" s="180" t="n">
        <f aca="false">AZ100*$E$24</f>
        <v>0</v>
      </c>
      <c r="BB100" s="180" t="n">
        <f aca="false">AY100*$E$19</f>
        <v>2028.32062600864</v>
      </c>
      <c r="BC100" s="180" t="n">
        <f aca="false">AY100*$E$22</f>
        <v>259.011823456146</v>
      </c>
      <c r="BD100" s="180" t="n">
        <f aca="false">$E$23*MAX(0,BB100-AY100*$E$18)</f>
        <v>0</v>
      </c>
      <c r="BE100" s="180" t="n">
        <f aca="false">IF(AND($E$27=1,OR(MONTH($B100)=5,MONTH($B100)=11)),MAX(0,$E$28*MAX(0,(AY100+BB100-BC100-BD100+AZ100-BA100)+BH99-BG100)-BH99),0)</f>
        <v>0</v>
      </c>
      <c r="BF100" s="181" t="n">
        <f aca="false">AY100+BB100-BC100-BD100+AZ100-BA100-BE100</f>
        <v>208978.767567469</v>
      </c>
      <c r="BG100" s="180" t="n">
        <f aca="false">BG99+AZ100-BA100</f>
        <v>150000</v>
      </c>
      <c r="BH100" s="180" t="n">
        <f aca="false">BH99+BE100</f>
        <v>0</v>
      </c>
      <c r="BI100" s="180" t="n">
        <f aca="false">BF100+BH100-BG100</f>
        <v>58978.7675674693</v>
      </c>
      <c r="BJ100" s="180" t="n">
        <f aca="false">MAX(0,IFERROR(INDEX(TAB_IR,MATCH($C100,TAB_IR_DIAS,1),MATCH($E$8,TAB_IR_REGIMES,0)),0)*IF($E$26=2,BF100,MAX(0,BI100))-BH100)</f>
        <v>17693.6302702408</v>
      </c>
      <c r="BK100" s="181" t="n">
        <f aca="false">MAX(0,BF100-BJ100-BF100*$E$25)</f>
        <v>191285.137297229</v>
      </c>
      <c r="BL100" s="180" t="n">
        <f aca="false">BK100/$D100</f>
        <v>168392.550267499</v>
      </c>
      <c r="BN100" s="180" t="n">
        <f aca="false">BU99</f>
        <v>207209.458764917</v>
      </c>
      <c r="BO100" s="180" t="n">
        <f aca="false">IF($F$9=0,0,IF($A100&gt;IN_PRAZO,0,IF(APORTE_CORRIGIDO="Sim",IN_APORTE*$D100,IN_APORTE))+IF(AND($F$35=1,PGBL_REINVESTE="Sim",$A100&gt;=13,$A100&lt;=IN_PRAZO,MONTH($B100)=5),PGBL_BENEFICIO,0))</f>
        <v>0</v>
      </c>
      <c r="BP100" s="180" t="n">
        <f aca="false">BO100*$F$24</f>
        <v>0</v>
      </c>
      <c r="BQ100" s="180" t="n">
        <f aca="false">BN100*$F$19</f>
        <v>2028.32062600864</v>
      </c>
      <c r="BR100" s="180" t="n">
        <f aca="false">BN100*$F$22</f>
        <v>259.011823456146</v>
      </c>
      <c r="BS100" s="180" t="n">
        <f aca="false">$F$23*MAX(0,BQ100-BN100*$F$18)</f>
        <v>0</v>
      </c>
      <c r="BT100" s="180" t="n">
        <f aca="false">IF(AND($F$27=1,OR(MONTH($B100)=5,MONTH($B100)=11)),MAX(0,$F$28*MAX(0,(BN100+BQ100-BR100-BS100+BO100-BP100)+BW99-BV100)-BW99),0)</f>
        <v>0</v>
      </c>
      <c r="BU100" s="181" t="n">
        <f aca="false">BN100+BQ100-BR100-BS100+BO100-BP100-BT100</f>
        <v>208978.767567469</v>
      </c>
      <c r="BV100" s="180" t="n">
        <f aca="false">BV99+BO100-BP100</f>
        <v>150000</v>
      </c>
      <c r="BW100" s="180" t="n">
        <f aca="false">BW99+BT100</f>
        <v>0</v>
      </c>
      <c r="BX100" s="180" t="n">
        <f aca="false">BU100+BW100-BV100</f>
        <v>58978.7675674693</v>
      </c>
      <c r="BY100" s="180" t="n">
        <f aca="false">MAX(0,IFERROR(INDEX(TAB_IR,MATCH($C100,TAB_IR_DIAS,1),MATCH($F$8,TAB_IR_REGIMES,0)),0)*IF($F$26=2,BU100,MAX(0,BX100))-BW100)</f>
        <v>62693.6302702408</v>
      </c>
      <c r="BZ100" s="181" t="n">
        <f aca="false">MAX(0,BU100-BY100-BU100*$F$25)</f>
        <v>146285.137297229</v>
      </c>
      <c r="CA100" s="180" t="n">
        <f aca="false">BZ100/$D100</f>
        <v>128778.051885103</v>
      </c>
      <c r="CC100" s="180" t="n">
        <f aca="false">CJ99</f>
        <v>191032.401020209</v>
      </c>
      <c r="CD100" s="180" t="n">
        <f aca="false">IF($G$9=0,0,IF($A100&gt;IN_PRAZO,0,IF(APORTE_CORRIGIDO="Sim",IN_APORTE*$D100,IN_APORTE))+IF(AND($G$35=1,PGBL_REINVESTE="Sim",$A100&gt;=13,$A100&lt;=IN_PRAZO,MONTH($B100)=5),PGBL_BENEFICIO,0))</f>
        <v>0</v>
      </c>
      <c r="CE100" s="180" t="n">
        <f aca="false">CD100*$G$24</f>
        <v>0</v>
      </c>
      <c r="CF100" s="180" t="n">
        <f aca="false">CC100*$G$19</f>
        <v>1558.29436174704</v>
      </c>
      <c r="CG100" s="180" t="n">
        <f aca="false">CC100*$G$22</f>
        <v>159.193667516841</v>
      </c>
      <c r="CH100" s="180" t="n">
        <f aca="false">$G$23*MAX(0,CF100-CC100*$G$18)</f>
        <v>0</v>
      </c>
      <c r="CI100" s="180" t="n">
        <f aca="false">IF(AND($G$27=1,OR(MONTH($B100)=5,MONTH($B100)=11)),MAX(0,$G$28*MAX(0,(CC100+CF100-CG100-CH100+CD100-CE100)+CL99-CK100)-CL99),0)</f>
        <v>1236.52348440553</v>
      </c>
      <c r="CJ100" s="181" t="n">
        <f aca="false">CC100+CF100-CG100-CH100+CD100-CE100-CI100</f>
        <v>191194.978230033</v>
      </c>
      <c r="CK100" s="180" t="n">
        <f aca="false">CK99+CD100-CE100</f>
        <v>150000</v>
      </c>
      <c r="CL100" s="180" t="n">
        <f aca="false">CL99+CI100</f>
        <v>7269.70204059412</v>
      </c>
      <c r="CM100" s="180" t="n">
        <f aca="false">CJ100+CL100-CK100</f>
        <v>48464.6802706275</v>
      </c>
      <c r="CN100" s="180" t="n">
        <f aca="false">MAX(0,IFERROR(INDEX(TAB_IR,MATCH($C100,TAB_IR_DIAS,1),MATCH($G$8,TAB_IR_REGIMES,0)),0)*IF($G$26=2,CJ100,MAX(0,CM100))-CL100)</f>
        <v>0</v>
      </c>
      <c r="CO100" s="181" t="n">
        <f aca="false">MAX(0,CJ100-CN100-CJ100*$G$25)</f>
        <v>191194.978230033</v>
      </c>
      <c r="CP100" s="180" t="n">
        <f aca="false">CO100/$D100</f>
        <v>168313.181240353</v>
      </c>
    </row>
    <row r="101" customFormat="false" ht="12" hidden="false" customHeight="true" outlineLevel="0" collapsed="false">
      <c r="A101" s="177" t="n">
        <v>40</v>
      </c>
      <c r="B101" s="178" t="n">
        <f aca="false">EDATE(DATA_INICIO,$A101)</f>
        <v>47475</v>
      </c>
      <c r="C101" s="177" t="n">
        <f aca="false">$A101*30</f>
        <v>1200</v>
      </c>
      <c r="D101" s="179" t="n">
        <f aca="false">(1+IPCA_CENARIO)^($A101/12)</f>
        <v>1.13966653961878</v>
      </c>
      <c r="F101" s="180" t="n">
        <f aca="false">M100</f>
        <v>215403.731286964</v>
      </c>
      <c r="G101" s="180" t="n">
        <f aca="false">IF($B$9=0,0,IF($A101&gt;IN_PRAZO,0,IF(APORTE_CORRIGIDO="Sim",IN_APORTE*$D101,IN_APORTE))+IF(AND($B$35=1,PGBL_REINVESTE="Sim",$A101&gt;=13,$A101&lt;=IN_PRAZO,MONTH($B101)=5),PGBL_BENEFICIO,0))</f>
        <v>0</v>
      </c>
      <c r="H101" s="180" t="n">
        <f aca="false">G101*$B$24</f>
        <v>0</v>
      </c>
      <c r="I101" s="180" t="n">
        <f aca="false">F101*$B$19</f>
        <v>2043.92140351856</v>
      </c>
      <c r="J101" s="180" t="n">
        <f aca="false">F101*$B$22</f>
        <v>35.9006218811606</v>
      </c>
      <c r="K101" s="180" t="n">
        <f aca="false">$B$23*MAX(0,I101-F101*$B$18)</f>
        <v>0</v>
      </c>
      <c r="L101" s="180" t="n">
        <f aca="false">IF(AND($B$27=1,OR(MONTH($B101)=5,MONTH($B101)=11)),MAX(0,$B$28*MAX(0,(F101+I101-J101-K101+G101-H101)+O100-N101)-O100),0)</f>
        <v>0</v>
      </c>
      <c r="M101" s="181" t="n">
        <f aca="false">F101+I101-J101-K101+G101-H101-L101</f>
        <v>217411.752068601</v>
      </c>
      <c r="N101" s="180" t="n">
        <f aca="false">N100+G101-H101</f>
        <v>150000</v>
      </c>
      <c r="O101" s="180" t="n">
        <f aca="false">O100+L101</f>
        <v>0</v>
      </c>
      <c r="P101" s="180" t="n">
        <f aca="false">M101+O101-N101</f>
        <v>67411.7520686009</v>
      </c>
      <c r="Q101" s="180" t="n">
        <f aca="false">MAX(0,IFERROR(INDEX(TAB_IR,MATCH($C101,TAB_IR_DIAS,1),MATCH($B$8,TAB_IR_REGIMES,0)),0)*IF($B$26=2,M101,MAX(0,P101))-O101)</f>
        <v>10111.7628102901</v>
      </c>
      <c r="R101" s="181" t="n">
        <f aca="false">MAX(0,M101-Q101-M101*$B$25)</f>
        <v>207299.989258311</v>
      </c>
      <c r="S101" s="180" t="n">
        <f aca="false">R101/$D101</f>
        <v>181895.301872821</v>
      </c>
      <c r="U101" s="180" t="n">
        <f aca="false">AB100</f>
        <v>204594.224159535</v>
      </c>
      <c r="V101" s="180" t="n">
        <f aca="false">IF($C$9=0,0,IF($A101&gt;IN_PRAZO,0,IF(APORTE_CORRIGIDO="Sim",IN_APORTE*$D101,IN_APORTE))+IF(AND($C$35=1,PGBL_REINVESTE="Sim",$A101&gt;=13,$A101&lt;=IN_PRAZO,MONTH($B101)=5),PGBL_BENEFICIO,0))</f>
        <v>0</v>
      </c>
      <c r="W101" s="180" t="n">
        <f aca="false">V101*$C$24</f>
        <v>0</v>
      </c>
      <c r="X101" s="180" t="n">
        <f aca="false">U101*$C$19</f>
        <v>1668.92121049186</v>
      </c>
      <c r="Y101" s="180" t="n">
        <f aca="false">U101*$C$22</f>
        <v>34.0990373599224</v>
      </c>
      <c r="Z101" s="180" t="n">
        <f aca="false">$C$23*MAX(0,X101-U101*$C$18)</f>
        <v>0</v>
      </c>
      <c r="AA101" s="180" t="n">
        <f aca="false">IF(AND($C$27=1,OR(MONTH($B101)=5,MONTH($B101)=11)),MAX(0,$C$28*MAX(0,(U101+X101-Y101-Z101+V101-W101)+AD100-AC101)-AD100),0)</f>
        <v>0</v>
      </c>
      <c r="AB101" s="181" t="n">
        <f aca="false">U101+X101-Y101-Z101+V101-W101-AA101</f>
        <v>206229.046332666</v>
      </c>
      <c r="AC101" s="180" t="n">
        <f aca="false">AC100+V101-W101</f>
        <v>150000</v>
      </c>
      <c r="AD101" s="180" t="n">
        <f aca="false">AD100+AA101</f>
        <v>0</v>
      </c>
      <c r="AE101" s="180" t="n">
        <f aca="false">AB101+AD101-AC101</f>
        <v>56229.0463326665</v>
      </c>
      <c r="AF101" s="180" t="n">
        <f aca="false">MAX(0,IFERROR(INDEX(TAB_IR,MATCH($C101,TAB_IR_DIAS,1),MATCH($C$8,TAB_IR_REGIMES,0)),0)*IF($C$26=2,AB101,MAX(0,AE101))-AD101)</f>
        <v>8434.35694989997</v>
      </c>
      <c r="AG101" s="181" t="n">
        <f aca="false">MAX(0,AB101-AF101-AB101*$C$25)</f>
        <v>197794.689382767</v>
      </c>
      <c r="AH101" s="180" t="n">
        <f aca="false">AG101/$D101</f>
        <v>173554.879876467</v>
      </c>
      <c r="AJ101" s="180" t="n">
        <f aca="false">AQ100</f>
        <v>196531.934350916</v>
      </c>
      <c r="AK101" s="180" t="n">
        <f aca="false">IF($D$9=0,0,IF($A101&gt;IN_PRAZO,0,IF(APORTE_CORRIGIDO="Sim",IN_APORTE*$D101,IN_APORTE))+IF(AND($D$35=1,PGBL_REINVESTE="Sim",$A101&gt;=13,$A101&lt;=IN_PRAZO,MONTH($B101)=5),PGBL_BENEFICIO,0))</f>
        <v>0</v>
      </c>
      <c r="AL101" s="180" t="n">
        <f aca="false">AK101*$D$24</f>
        <v>0</v>
      </c>
      <c r="AM101" s="180" t="n">
        <f aca="false">AJ101*$D$19</f>
        <v>1766.56601844166</v>
      </c>
      <c r="AN101" s="180" t="n">
        <f aca="false">AJ101*$D$22</f>
        <v>163.776611959096</v>
      </c>
      <c r="AO101" s="180" t="n">
        <f aca="false">$D$23*MAX(0,AM101-AJ101*$D$18)</f>
        <v>0</v>
      </c>
      <c r="AP101" s="180" t="n">
        <f aca="false">IF(AND($D$27=1,OR(MONTH($B101)=5,MONTH($B101)=11)),MAX(0,$D$28*MAX(0,(AJ101+AM101-AN101-AO101+AK101-AL101)+AS100-AR101)-AS100),0)</f>
        <v>0</v>
      </c>
      <c r="AQ101" s="181" t="n">
        <f aca="false">AJ101+AM101-AN101-AO101+AK101-AL101-AP101</f>
        <v>198134.723757398</v>
      </c>
      <c r="AR101" s="180" t="n">
        <f aca="false">AR100+AK101-AL101</f>
        <v>150000</v>
      </c>
      <c r="AS101" s="180" t="n">
        <f aca="false">AS100+AP101</f>
        <v>8211.51782663219</v>
      </c>
      <c r="AT101" s="180" t="n">
        <f aca="false">AQ101+AS101-AR101</f>
        <v>56346.2415840305</v>
      </c>
      <c r="AU101" s="180" t="n">
        <f aca="false">MAX(0,IFERROR(INDEX(TAB_IR,MATCH($C101,TAB_IR_DIAS,1),MATCH($D$8,TAB_IR_REGIMES,0)),0)*IF($D$26=2,AQ101,MAX(0,AT101))-AS101)</f>
        <v>240.418410972385</v>
      </c>
      <c r="AV101" s="181" t="n">
        <f aca="false">MAX(0,AQ101-AU101-AQ101*$D$25)</f>
        <v>197894.305346426</v>
      </c>
      <c r="AW101" s="180" t="n">
        <f aca="false">AV101/$D101</f>
        <v>173642.287868364</v>
      </c>
      <c r="AY101" s="180" t="n">
        <f aca="false">BF100</f>
        <v>208978.767567469</v>
      </c>
      <c r="AZ101" s="180" t="n">
        <f aca="false">IF($E$9=0,0,IF($A101&gt;IN_PRAZO,0,IF(APORTE_CORRIGIDO="Sim",IN_APORTE*$D101,IN_APORTE))+IF(AND($E$35=1,PGBL_REINVESTE="Sim",$A101&gt;=13,$A101&lt;=IN_PRAZO,MONTH($B101)=5),PGBL_BENEFICIO,0))</f>
        <v>0</v>
      </c>
      <c r="BA101" s="180" t="n">
        <f aca="false">AZ101*$E$24</f>
        <v>0</v>
      </c>
      <c r="BB101" s="180" t="n">
        <f aca="false">AY101*$E$19</f>
        <v>2045.63993932274</v>
      </c>
      <c r="BC101" s="180" t="n">
        <f aca="false">AY101*$E$22</f>
        <v>261.223459459337</v>
      </c>
      <c r="BD101" s="180" t="n">
        <f aca="false">$E$23*MAX(0,BB101-AY101*$E$18)</f>
        <v>0</v>
      </c>
      <c r="BE101" s="180" t="n">
        <f aca="false">IF(AND($E$27=1,OR(MONTH($B101)=5,MONTH($B101)=11)),MAX(0,$E$28*MAX(0,(AY101+BB101-BC101-BD101+AZ101-BA101)+BH100-BG101)-BH100),0)</f>
        <v>0</v>
      </c>
      <c r="BF101" s="181" t="n">
        <f aca="false">AY101+BB101-BC101-BD101+AZ101-BA101-BE101</f>
        <v>210763.184047333</v>
      </c>
      <c r="BG101" s="180" t="n">
        <f aca="false">BG100+AZ101-BA101</f>
        <v>150000</v>
      </c>
      <c r="BH101" s="180" t="n">
        <f aca="false">BH100+BE101</f>
        <v>0</v>
      </c>
      <c r="BI101" s="180" t="n">
        <f aca="false">BF101+BH101-BG101</f>
        <v>60763.1840473327</v>
      </c>
      <c r="BJ101" s="180" t="n">
        <f aca="false">MAX(0,IFERROR(INDEX(TAB_IR,MATCH($C101,TAB_IR_DIAS,1),MATCH($E$8,TAB_IR_REGIMES,0)),0)*IF($E$26=2,BF101,MAX(0,BI101))-BH101)</f>
        <v>18228.9552141998</v>
      </c>
      <c r="BK101" s="181" t="n">
        <f aca="false">MAX(0,BF101-BJ101-BF101*$E$25)</f>
        <v>192534.228833133</v>
      </c>
      <c r="BL101" s="180" t="n">
        <f aca="false">BK101/$D101</f>
        <v>168939.090637456</v>
      </c>
      <c r="BN101" s="180" t="n">
        <f aca="false">BU100</f>
        <v>208978.767567469</v>
      </c>
      <c r="BO101" s="180" t="n">
        <f aca="false">IF($F$9=0,0,IF($A101&gt;IN_PRAZO,0,IF(APORTE_CORRIGIDO="Sim",IN_APORTE*$D101,IN_APORTE))+IF(AND($F$35=1,PGBL_REINVESTE="Sim",$A101&gt;=13,$A101&lt;=IN_PRAZO,MONTH($B101)=5),PGBL_BENEFICIO,0))</f>
        <v>0</v>
      </c>
      <c r="BP101" s="180" t="n">
        <f aca="false">BO101*$F$24</f>
        <v>0</v>
      </c>
      <c r="BQ101" s="180" t="n">
        <f aca="false">BN101*$F$19</f>
        <v>2045.63993932274</v>
      </c>
      <c r="BR101" s="180" t="n">
        <f aca="false">BN101*$F$22</f>
        <v>261.223459459337</v>
      </c>
      <c r="BS101" s="180" t="n">
        <f aca="false">$F$23*MAX(0,BQ101-BN101*$F$18)</f>
        <v>0</v>
      </c>
      <c r="BT101" s="180" t="n">
        <f aca="false">IF(AND($F$27=1,OR(MONTH($B101)=5,MONTH($B101)=11)),MAX(0,$F$28*MAX(0,(BN101+BQ101-BR101-BS101+BO101-BP101)+BW100-BV101)-BW100),0)</f>
        <v>0</v>
      </c>
      <c r="BU101" s="181" t="n">
        <f aca="false">BN101+BQ101-BR101-BS101+BO101-BP101-BT101</f>
        <v>210763.184047333</v>
      </c>
      <c r="BV101" s="180" t="n">
        <f aca="false">BV100+BO101-BP101</f>
        <v>150000</v>
      </c>
      <c r="BW101" s="180" t="n">
        <f aca="false">BW100+BT101</f>
        <v>0</v>
      </c>
      <c r="BX101" s="180" t="n">
        <f aca="false">BU101+BW101-BV101</f>
        <v>60763.1840473327</v>
      </c>
      <c r="BY101" s="180" t="n">
        <f aca="false">MAX(0,IFERROR(INDEX(TAB_IR,MATCH($C101,TAB_IR_DIAS,1),MATCH($F$8,TAB_IR_REGIMES,0)),0)*IF($F$26=2,BU101,MAX(0,BX101))-BW101)</f>
        <v>63228.9552141998</v>
      </c>
      <c r="BZ101" s="181" t="n">
        <f aca="false">MAX(0,BU101-BY101-BU101*$F$25)</f>
        <v>147534.228833133</v>
      </c>
      <c r="CA101" s="180" t="n">
        <f aca="false">BZ101/$D101</f>
        <v>129453.856636419</v>
      </c>
      <c r="CC101" s="180" t="n">
        <f aca="false">CJ100</f>
        <v>191194.978230033</v>
      </c>
      <c r="CD101" s="180" t="n">
        <f aca="false">IF($G$9=0,0,IF($A101&gt;IN_PRAZO,0,IF(APORTE_CORRIGIDO="Sim",IN_APORTE*$D101,IN_APORTE))+IF(AND($G$35=1,PGBL_REINVESTE="Sim",$A101&gt;=13,$A101&lt;=IN_PRAZO,MONTH($B101)=5),PGBL_BENEFICIO,0))</f>
        <v>0</v>
      </c>
      <c r="CE101" s="180" t="n">
        <f aca="false">CD101*$G$24</f>
        <v>0</v>
      </c>
      <c r="CF101" s="180" t="n">
        <f aca="false">CC101*$G$19</f>
        <v>1559.62054069923</v>
      </c>
      <c r="CG101" s="180" t="n">
        <f aca="false">CC101*$G$22</f>
        <v>159.329148525028</v>
      </c>
      <c r="CH101" s="180" t="n">
        <f aca="false">$G$23*MAX(0,CF101-CC101*$G$18)</f>
        <v>0</v>
      </c>
      <c r="CI101" s="180" t="n">
        <f aca="false">IF(AND($G$27=1,OR(MONTH($B101)=5,MONTH($B101)=11)),MAX(0,$G$28*MAX(0,(CC101+CF101-CG101-CH101+CD101-CE101)+CL100-CK101)-CL100),0)</f>
        <v>0</v>
      </c>
      <c r="CJ101" s="181" t="n">
        <f aca="false">CC101+CF101-CG101-CH101+CD101-CE101-CI101</f>
        <v>192595.269622208</v>
      </c>
      <c r="CK101" s="180" t="n">
        <f aca="false">CK100+CD101-CE101</f>
        <v>150000</v>
      </c>
      <c r="CL101" s="180" t="n">
        <f aca="false">CL100+CI101</f>
        <v>7269.70204059412</v>
      </c>
      <c r="CM101" s="180" t="n">
        <f aca="false">CJ101+CL101-CK101</f>
        <v>49864.9716628017</v>
      </c>
      <c r="CN101" s="180" t="n">
        <f aca="false">MAX(0,IFERROR(INDEX(TAB_IR,MATCH($C101,TAB_IR_DIAS,1),MATCH($G$8,TAB_IR_REGIMES,0)),0)*IF($G$26=2,CJ101,MAX(0,CM101))-CL101)</f>
        <v>210.043708826131</v>
      </c>
      <c r="CO101" s="181" t="n">
        <f aca="false">MAX(0,CJ101-CN101-CJ101*$G$25)</f>
        <v>192385.225913381</v>
      </c>
      <c r="CP101" s="180" t="n">
        <f aca="false">CO101/$D101</f>
        <v>168808.348078495</v>
      </c>
    </row>
    <row r="102" customFormat="false" ht="12" hidden="false" customHeight="true" outlineLevel="0" collapsed="false">
      <c r="A102" s="177" t="n">
        <v>41</v>
      </c>
      <c r="B102" s="178" t="n">
        <f aca="false">EDATE(DATA_INICIO,$A102)</f>
        <v>47506</v>
      </c>
      <c r="C102" s="177" t="n">
        <f aca="false">$A102*30</f>
        <v>1230</v>
      </c>
      <c r="D102" s="179" t="n">
        <f aca="false">(1+IPCA_CENARIO)^($A102/12)</f>
        <v>1.14339751130797</v>
      </c>
      <c r="F102" s="180" t="n">
        <f aca="false">M101</f>
        <v>217411.752068601</v>
      </c>
      <c r="G102" s="180" t="n">
        <f aca="false">IF($B$9=0,0,IF($A102&gt;IN_PRAZO,0,IF(APORTE_CORRIGIDO="Sim",IN_APORTE*$D102,IN_APORTE))+IF(AND($B$35=1,PGBL_REINVESTE="Sim",$A102&gt;=13,$A102&lt;=IN_PRAZO,MONTH($B102)=5),PGBL_BENEFICIO,0))</f>
        <v>0</v>
      </c>
      <c r="H102" s="180" t="n">
        <f aca="false">G102*$B$24</f>
        <v>0</v>
      </c>
      <c r="I102" s="180" t="n">
        <f aca="false">F102*$B$19</f>
        <v>2062.97509692386</v>
      </c>
      <c r="J102" s="180" t="n">
        <f aca="false">F102*$B$22</f>
        <v>36.2352920114335</v>
      </c>
      <c r="K102" s="180" t="n">
        <f aca="false">$B$23*MAX(0,I102-F102*$B$18)</f>
        <v>0</v>
      </c>
      <c r="L102" s="180" t="n">
        <f aca="false">IF(AND($B$27=1,OR(MONTH($B102)=5,MONTH($B102)=11)),MAX(0,$B$28*MAX(0,(F102+I102-J102-K102+G102-H102)+O101-N102)-O101),0)</f>
        <v>0</v>
      </c>
      <c r="M102" s="181" t="n">
        <f aca="false">F102+I102-J102-K102+G102-H102-L102</f>
        <v>219438.491873513</v>
      </c>
      <c r="N102" s="180" t="n">
        <f aca="false">N101+G102-H102</f>
        <v>150000</v>
      </c>
      <c r="O102" s="180" t="n">
        <f aca="false">O101+L102</f>
        <v>0</v>
      </c>
      <c r="P102" s="180" t="n">
        <f aca="false">M102+O102-N102</f>
        <v>69438.4918735133</v>
      </c>
      <c r="Q102" s="180" t="n">
        <f aca="false">MAX(0,IFERROR(INDEX(TAB_IR,MATCH($C102,TAB_IR_DIAS,1),MATCH($B$8,TAB_IR_REGIMES,0)),0)*IF($B$26=2,M102,MAX(0,P102))-O102)</f>
        <v>10415.773781027</v>
      </c>
      <c r="R102" s="181" t="n">
        <f aca="false">MAX(0,M102-Q102-M102*$B$25)</f>
        <v>209022.718092486</v>
      </c>
      <c r="S102" s="180" t="n">
        <f aca="false">R102/$D102</f>
        <v>182808.442405457</v>
      </c>
      <c r="U102" s="180" t="n">
        <f aca="false">AB101</f>
        <v>206229.046332666</v>
      </c>
      <c r="V102" s="180" t="n">
        <f aca="false">IF($C$9=0,0,IF($A102&gt;IN_PRAZO,0,IF(APORTE_CORRIGIDO="Sim",IN_APORTE*$D102,IN_APORTE))+IF(AND($C$35=1,PGBL_REINVESTE="Sim",$A102&gt;=13,$A102&lt;=IN_PRAZO,MONTH($B102)=5),PGBL_BENEFICIO,0))</f>
        <v>0</v>
      </c>
      <c r="W102" s="180" t="n">
        <f aca="false">V102*$C$24</f>
        <v>0</v>
      </c>
      <c r="X102" s="180" t="n">
        <f aca="false">U102*$C$19</f>
        <v>1682.25682351481</v>
      </c>
      <c r="Y102" s="180" t="n">
        <f aca="false">U102*$C$22</f>
        <v>34.3715077221111</v>
      </c>
      <c r="Z102" s="180" t="n">
        <f aca="false">$C$23*MAX(0,X102-U102*$C$18)</f>
        <v>0</v>
      </c>
      <c r="AA102" s="180" t="n">
        <f aca="false">IF(AND($C$27=1,OR(MONTH($B102)=5,MONTH($B102)=11)),MAX(0,$C$28*MAX(0,(U102+X102-Y102-Z102+V102-W102)+AD101-AC102)-AD101),0)</f>
        <v>0</v>
      </c>
      <c r="AB102" s="181" t="n">
        <f aca="false">U102+X102-Y102-Z102+V102-W102-AA102</f>
        <v>207876.931648459</v>
      </c>
      <c r="AC102" s="180" t="n">
        <f aca="false">AC101+V102-W102</f>
        <v>150000</v>
      </c>
      <c r="AD102" s="180" t="n">
        <f aca="false">AD101+AA102</f>
        <v>0</v>
      </c>
      <c r="AE102" s="180" t="n">
        <f aca="false">AB102+AD102-AC102</f>
        <v>57876.9316484592</v>
      </c>
      <c r="AF102" s="180" t="n">
        <f aca="false">MAX(0,IFERROR(INDEX(TAB_IR,MATCH($C102,TAB_IR_DIAS,1),MATCH($C$8,TAB_IR_REGIMES,0)),0)*IF($C$26=2,AB102,MAX(0,AE102))-AD102)</f>
        <v>8681.53974726888</v>
      </c>
      <c r="AG102" s="181" t="n">
        <f aca="false">MAX(0,AB102-AF102-AB102*$C$25)</f>
        <v>199195.39190119</v>
      </c>
      <c r="AH102" s="180" t="n">
        <f aca="false">AG102/$D102</f>
        <v>174213.595824014</v>
      </c>
      <c r="AJ102" s="180" t="n">
        <f aca="false">AQ101</f>
        <v>198134.723757398</v>
      </c>
      <c r="AK102" s="180" t="n">
        <f aca="false">IF($D$9=0,0,IF($A102&gt;IN_PRAZO,0,IF(APORTE_CORRIGIDO="Sim",IN_APORTE*$D102,IN_APORTE))+IF(AND($D$35=1,PGBL_REINVESTE="Sim",$A102&gt;=13,$A102&lt;=IN_PRAZO,MONTH($B102)=5),PGBL_BENEFICIO,0))</f>
        <v>0</v>
      </c>
      <c r="AL102" s="180" t="n">
        <f aca="false">AK102*$D$24</f>
        <v>0</v>
      </c>
      <c r="AM102" s="180" t="n">
        <f aca="false">AJ102*$D$19</f>
        <v>1780.97300685075</v>
      </c>
      <c r="AN102" s="180" t="n">
        <f aca="false">AJ102*$D$22</f>
        <v>165.112269797832</v>
      </c>
      <c r="AO102" s="180" t="n">
        <f aca="false">$D$23*MAX(0,AM102-AJ102*$D$18)</f>
        <v>0</v>
      </c>
      <c r="AP102" s="180" t="n">
        <f aca="false">IF(AND($D$27=1,OR(MONTH($B102)=5,MONTH($B102)=11)),MAX(0,$D$28*MAX(0,(AJ102+AM102-AN102-AO102+AK102-AL102)+AS101-AR102)-AS101),0)</f>
        <v>0</v>
      </c>
      <c r="AQ102" s="181" t="n">
        <f aca="false">AJ102+AM102-AN102-AO102+AK102-AL102-AP102</f>
        <v>199750.584494451</v>
      </c>
      <c r="AR102" s="180" t="n">
        <f aca="false">AR101+AK102-AL102</f>
        <v>150000</v>
      </c>
      <c r="AS102" s="180" t="n">
        <f aca="false">AS101+AP102</f>
        <v>8211.51782663219</v>
      </c>
      <c r="AT102" s="180" t="n">
        <f aca="false">AQ102+AS102-AR102</f>
        <v>57962.1023210834</v>
      </c>
      <c r="AU102" s="180" t="n">
        <f aca="false">MAX(0,IFERROR(INDEX(TAB_IR,MATCH($C102,TAB_IR_DIAS,1),MATCH($D$8,TAB_IR_REGIMES,0)),0)*IF($D$26=2,AQ102,MAX(0,AT102))-AS102)</f>
        <v>482.797521530323</v>
      </c>
      <c r="AV102" s="181" t="n">
        <f aca="false">MAX(0,AQ102-AU102-AQ102*$D$25)</f>
        <v>199267.786972921</v>
      </c>
      <c r="AW102" s="180" t="n">
        <f aca="false">AV102/$D102</f>
        <v>174276.911574673</v>
      </c>
      <c r="AY102" s="180" t="n">
        <f aca="false">BF101</f>
        <v>210763.184047333</v>
      </c>
      <c r="AZ102" s="180" t="n">
        <f aca="false">IF($E$9=0,0,IF($A102&gt;IN_PRAZO,0,IF(APORTE_CORRIGIDO="Sim",IN_APORTE*$D102,IN_APORTE))+IF(AND($E$35=1,PGBL_REINVESTE="Sim",$A102&gt;=13,$A102&lt;=IN_PRAZO,MONTH($B102)=5),PGBL_BENEFICIO,0))</f>
        <v>0</v>
      </c>
      <c r="BA102" s="180" t="n">
        <f aca="false">AZ102*$E$24</f>
        <v>0</v>
      </c>
      <c r="BB102" s="180" t="n">
        <f aca="false">AY102*$E$19</f>
        <v>2063.10713784288</v>
      </c>
      <c r="BC102" s="180" t="n">
        <f aca="false">AY102*$E$22</f>
        <v>263.453980059166</v>
      </c>
      <c r="BD102" s="180" t="n">
        <f aca="false">$E$23*MAX(0,BB102-AY102*$E$18)</f>
        <v>0</v>
      </c>
      <c r="BE102" s="180" t="n">
        <f aca="false">IF(AND($E$27=1,OR(MONTH($B102)=5,MONTH($B102)=11)),MAX(0,$E$28*MAX(0,(AY102+BB102-BC102-BD102+AZ102-BA102)+BH101-BG102)-BH101),0)</f>
        <v>0</v>
      </c>
      <c r="BF102" s="181" t="n">
        <f aca="false">AY102+BB102-BC102-BD102+AZ102-BA102-BE102</f>
        <v>212562.837205116</v>
      </c>
      <c r="BG102" s="180" t="n">
        <f aca="false">BG101+AZ102-BA102</f>
        <v>150000</v>
      </c>
      <c r="BH102" s="180" t="n">
        <f aca="false">BH101+BE102</f>
        <v>0</v>
      </c>
      <c r="BI102" s="180" t="n">
        <f aca="false">BF102+BH102-BG102</f>
        <v>62562.8372051164</v>
      </c>
      <c r="BJ102" s="180" t="n">
        <f aca="false">MAX(0,IFERROR(INDEX(TAB_IR,MATCH($C102,TAB_IR_DIAS,1),MATCH($E$8,TAB_IR_REGIMES,0)),0)*IF($E$26=2,BF102,MAX(0,BI102))-BH102)</f>
        <v>18768.8511615349</v>
      </c>
      <c r="BK102" s="181" t="n">
        <f aca="false">MAX(0,BF102-BJ102-BF102*$E$25)</f>
        <v>193793.986043582</v>
      </c>
      <c r="BL102" s="180" t="n">
        <f aca="false">BK102/$D102</f>
        <v>169489.59930995</v>
      </c>
      <c r="BN102" s="180" t="n">
        <f aca="false">BU101</f>
        <v>210763.184047333</v>
      </c>
      <c r="BO102" s="180" t="n">
        <f aca="false">IF($F$9=0,0,IF($A102&gt;IN_PRAZO,0,IF(APORTE_CORRIGIDO="Sim",IN_APORTE*$D102,IN_APORTE))+IF(AND($F$35=1,PGBL_REINVESTE="Sim",$A102&gt;=13,$A102&lt;=IN_PRAZO,MONTH($B102)=5),PGBL_BENEFICIO,0))</f>
        <v>0</v>
      </c>
      <c r="BP102" s="180" t="n">
        <f aca="false">BO102*$F$24</f>
        <v>0</v>
      </c>
      <c r="BQ102" s="180" t="n">
        <f aca="false">BN102*$F$19</f>
        <v>2063.10713784288</v>
      </c>
      <c r="BR102" s="180" t="n">
        <f aca="false">BN102*$F$22</f>
        <v>263.453980059166</v>
      </c>
      <c r="BS102" s="180" t="n">
        <f aca="false">$F$23*MAX(0,BQ102-BN102*$F$18)</f>
        <v>0</v>
      </c>
      <c r="BT102" s="180" t="n">
        <f aca="false">IF(AND($F$27=1,OR(MONTH($B102)=5,MONTH($B102)=11)),MAX(0,$F$28*MAX(0,(BN102+BQ102-BR102-BS102+BO102-BP102)+BW101-BV102)-BW101),0)</f>
        <v>0</v>
      </c>
      <c r="BU102" s="181" t="n">
        <f aca="false">BN102+BQ102-BR102-BS102+BO102-BP102-BT102</f>
        <v>212562.837205116</v>
      </c>
      <c r="BV102" s="180" t="n">
        <f aca="false">BV101+BO102-BP102</f>
        <v>150000</v>
      </c>
      <c r="BW102" s="180" t="n">
        <f aca="false">BW101+BT102</f>
        <v>0</v>
      </c>
      <c r="BX102" s="180" t="n">
        <f aca="false">BU102+BW102-BV102</f>
        <v>62562.8372051164</v>
      </c>
      <c r="BY102" s="180" t="n">
        <f aca="false">MAX(0,IFERROR(INDEX(TAB_IR,MATCH($C102,TAB_IR_DIAS,1),MATCH($F$8,TAB_IR_REGIMES,0)),0)*IF($F$26=2,BU102,MAX(0,BX102))-BW102)</f>
        <v>63768.8511615349</v>
      </c>
      <c r="BZ102" s="181" t="n">
        <f aca="false">MAX(0,BU102-BY102-BU102*$F$25)</f>
        <v>148793.986043582</v>
      </c>
      <c r="CA102" s="180" t="n">
        <f aca="false">BZ102/$D102</f>
        <v>130133.207893177</v>
      </c>
      <c r="CC102" s="180" t="n">
        <f aca="false">CJ101</f>
        <v>192595.269622208</v>
      </c>
      <c r="CD102" s="180" t="n">
        <f aca="false">IF($G$9=0,0,IF($A102&gt;IN_PRAZO,0,IF(APORTE_CORRIGIDO="Sim",IN_APORTE*$D102,IN_APORTE))+IF(AND($G$35=1,PGBL_REINVESTE="Sim",$A102&gt;=13,$A102&lt;=IN_PRAZO,MONTH($B102)=5),PGBL_BENEFICIO,0))</f>
        <v>0</v>
      </c>
      <c r="CE102" s="180" t="n">
        <f aca="false">CD102*$G$24</f>
        <v>0</v>
      </c>
      <c r="CF102" s="180" t="n">
        <f aca="false">CC102*$G$19</f>
        <v>1571.04303326894</v>
      </c>
      <c r="CG102" s="180" t="n">
        <f aca="false">CC102*$G$22</f>
        <v>160.496058018506</v>
      </c>
      <c r="CH102" s="180" t="n">
        <f aca="false">$G$23*MAX(0,CF102-CC102*$G$18)</f>
        <v>0</v>
      </c>
      <c r="CI102" s="180" t="n">
        <f aca="false">IF(AND($G$27=1,OR(MONTH($B102)=5,MONTH($B102)=11)),MAX(0,$G$28*MAX(0,(CC102+CF102-CG102-CH102+CD102-CE102)+CL101-CK102)-CL101),0)</f>
        <v>0</v>
      </c>
      <c r="CJ102" s="181" t="n">
        <f aca="false">CC102+CF102-CG102-CH102+CD102-CE102-CI102</f>
        <v>194005.816597458</v>
      </c>
      <c r="CK102" s="180" t="n">
        <f aca="false">CK101+CD102-CE102</f>
        <v>150000</v>
      </c>
      <c r="CL102" s="180" t="n">
        <f aca="false">CL101+CI102</f>
        <v>7269.70204059412</v>
      </c>
      <c r="CM102" s="180" t="n">
        <f aca="false">CJ102+CL102-CK102</f>
        <v>51275.5186380521</v>
      </c>
      <c r="CN102" s="180" t="n">
        <f aca="false">MAX(0,IFERROR(INDEX(TAB_IR,MATCH($C102,TAB_IR_DIAS,1),MATCH($G$8,TAB_IR_REGIMES,0)),0)*IF($G$26=2,CJ102,MAX(0,CM102))-CL102)</f>
        <v>421.625755113697</v>
      </c>
      <c r="CO102" s="181" t="n">
        <f aca="false">MAX(0,CJ102-CN102-CJ102*$G$25)</f>
        <v>193584.190842344</v>
      </c>
      <c r="CP102" s="180" t="n">
        <f aca="false">CO102/$D102</f>
        <v>169306.115264233</v>
      </c>
    </row>
    <row r="103" customFormat="false" ht="12" hidden="false" customHeight="true" outlineLevel="0" collapsed="false">
      <c r="A103" s="177" t="n">
        <v>42</v>
      </c>
      <c r="B103" s="178" t="n">
        <f aca="false">EDATE(DATA_INICIO,$A103)</f>
        <v>47537</v>
      </c>
      <c r="C103" s="177" t="n">
        <f aca="false">$A103*30</f>
        <v>1260</v>
      </c>
      <c r="D103" s="179" t="n">
        <f aca="false">(1+IPCA_CENARIO)^($A103/12)</f>
        <v>1.14714069722761</v>
      </c>
      <c r="F103" s="180" t="n">
        <f aca="false">M102</f>
        <v>219438.491873513</v>
      </c>
      <c r="G103" s="180" t="n">
        <f aca="false">IF($B$9=0,0,IF($A103&gt;IN_PRAZO,0,IF(APORTE_CORRIGIDO="Sim",IN_APORTE*$D103,IN_APORTE))+IF(AND($B$35=1,PGBL_REINVESTE="Sim",$A103&gt;=13,$A103&lt;=IN_PRAZO,MONTH($B103)=5),PGBL_BENEFICIO,0))</f>
        <v>0</v>
      </c>
      <c r="H103" s="180" t="n">
        <f aca="false">G103*$B$24</f>
        <v>0</v>
      </c>
      <c r="I103" s="180" t="n">
        <f aca="false">F103*$B$19</f>
        <v>2082.20641126495</v>
      </c>
      <c r="J103" s="180" t="n">
        <f aca="false">F103*$B$22</f>
        <v>36.5730819789189</v>
      </c>
      <c r="K103" s="180" t="n">
        <f aca="false">$B$23*MAX(0,I103-F103*$B$18)</f>
        <v>0</v>
      </c>
      <c r="L103" s="180" t="n">
        <f aca="false">IF(AND($B$27=1,OR(MONTH($B103)=5,MONTH($B103)=11)),MAX(0,$B$28*MAX(0,(F103+I103-J103-K103+G103-H103)+O102-N103)-O102),0)</f>
        <v>0</v>
      </c>
      <c r="M103" s="181" t="n">
        <f aca="false">F103+I103-J103-K103+G103-H103-L103</f>
        <v>221484.125202799</v>
      </c>
      <c r="N103" s="180" t="n">
        <f aca="false">N102+G103-H103</f>
        <v>150000</v>
      </c>
      <c r="O103" s="180" t="n">
        <f aca="false">O102+L103</f>
        <v>0</v>
      </c>
      <c r="P103" s="180" t="n">
        <f aca="false">M103+O103-N103</f>
        <v>71484.1252027994</v>
      </c>
      <c r="Q103" s="180" t="n">
        <f aca="false">MAX(0,IFERROR(INDEX(TAB_IR,MATCH($C103,TAB_IR_DIAS,1),MATCH($B$8,TAB_IR_REGIMES,0)),0)*IF($B$26=2,M103,MAX(0,P103))-O103)</f>
        <v>10722.6187804199</v>
      </c>
      <c r="R103" s="181" t="n">
        <f aca="false">MAX(0,M103-Q103-M103*$B$25)</f>
        <v>210761.506422379</v>
      </c>
      <c r="S103" s="180" t="n">
        <f aca="false">R103/$D103</f>
        <v>183727.68652681</v>
      </c>
      <c r="U103" s="180" t="n">
        <f aca="false">AB102</f>
        <v>207876.931648459</v>
      </c>
      <c r="V103" s="180" t="n">
        <f aca="false">IF($C$9=0,0,IF($A103&gt;IN_PRAZO,0,IF(APORTE_CORRIGIDO="Sim",IN_APORTE*$D103,IN_APORTE))+IF(AND($C$35=1,PGBL_REINVESTE="Sim",$A103&gt;=13,$A103&lt;=IN_PRAZO,MONTH($B103)=5),PGBL_BENEFICIO,0))</f>
        <v>0</v>
      </c>
      <c r="W103" s="180" t="n">
        <f aca="false">V103*$C$24</f>
        <v>0</v>
      </c>
      <c r="X103" s="180" t="n">
        <f aca="false">U103*$C$19</f>
        <v>1695.69899553742</v>
      </c>
      <c r="Y103" s="180" t="n">
        <f aca="false">U103*$C$22</f>
        <v>34.6461552747432</v>
      </c>
      <c r="Z103" s="180" t="n">
        <f aca="false">$C$23*MAX(0,X103-U103*$C$18)</f>
        <v>0</v>
      </c>
      <c r="AA103" s="180" t="n">
        <f aca="false">IF(AND($C$27=1,OR(MONTH($B103)=5,MONTH($B103)=11)),MAX(0,$C$28*MAX(0,(U103+X103-Y103-Z103+V103-W103)+AD102-AC103)-AD102),0)</f>
        <v>0</v>
      </c>
      <c r="AB103" s="181" t="n">
        <f aca="false">U103+X103-Y103-Z103+V103-W103-AA103</f>
        <v>209537.984488722</v>
      </c>
      <c r="AC103" s="180" t="n">
        <f aca="false">AC102+V103-W103</f>
        <v>150000</v>
      </c>
      <c r="AD103" s="180" t="n">
        <f aca="false">AD102+AA103</f>
        <v>0</v>
      </c>
      <c r="AE103" s="180" t="n">
        <f aca="false">AB103+AD103-AC103</f>
        <v>59537.9844887219</v>
      </c>
      <c r="AF103" s="180" t="n">
        <f aca="false">MAX(0,IFERROR(INDEX(TAB_IR,MATCH($C103,TAB_IR_DIAS,1),MATCH($C$8,TAB_IR_REGIMES,0)),0)*IF($C$26=2,AB103,MAX(0,AE103))-AD103)</f>
        <v>8930.69767330828</v>
      </c>
      <c r="AG103" s="181" t="n">
        <f aca="false">MAX(0,AB103-AF103-AB103*$C$25)</f>
        <v>200607.286815414</v>
      </c>
      <c r="AH103" s="180" t="n">
        <f aca="false">AG103/$D103</f>
        <v>174875.921759413</v>
      </c>
      <c r="AJ103" s="180" t="n">
        <f aca="false">AQ102</f>
        <v>199750.584494451</v>
      </c>
      <c r="AK103" s="180" t="n">
        <f aca="false">IF($D$9=0,0,IF($A103&gt;IN_PRAZO,0,IF(APORTE_CORRIGIDO="Sim",IN_APORTE*$D103,IN_APORTE))+IF(AND($D$35=1,PGBL_REINVESTE="Sim",$A103&gt;=13,$A103&lt;=IN_PRAZO,MONTH($B103)=5),PGBL_BENEFICIO,0))</f>
        <v>0</v>
      </c>
      <c r="AL103" s="180" t="n">
        <f aca="false">AK103*$D$24</f>
        <v>0</v>
      </c>
      <c r="AM103" s="180" t="n">
        <f aca="false">AJ103*$D$19</f>
        <v>1795.49748949038</v>
      </c>
      <c r="AN103" s="180" t="n">
        <f aca="false">AJ103*$D$22</f>
        <v>166.458820412043</v>
      </c>
      <c r="AO103" s="180" t="n">
        <f aca="false">$D$23*MAX(0,AM103-AJ103*$D$18)</f>
        <v>0</v>
      </c>
      <c r="AP103" s="180" t="n">
        <f aca="false">IF(AND($D$27=1,OR(MONTH($B103)=5,MONTH($B103)=11)),MAX(0,$D$28*MAX(0,(AJ103+AM103-AN103-AO103+AK103-AL103)+AS102-AR103)-AS102),0)</f>
        <v>0</v>
      </c>
      <c r="AQ103" s="181" t="n">
        <f aca="false">AJ103+AM103-AN103-AO103+AK103-AL103-AP103</f>
        <v>201379.62316353</v>
      </c>
      <c r="AR103" s="180" t="n">
        <f aca="false">AR102+AK103-AL103</f>
        <v>150000</v>
      </c>
      <c r="AS103" s="180" t="n">
        <f aca="false">AS102+AP103</f>
        <v>8211.51782663219</v>
      </c>
      <c r="AT103" s="180" t="n">
        <f aca="false">AQ103+AS103-AR103</f>
        <v>59591.1409901617</v>
      </c>
      <c r="AU103" s="180" t="n">
        <f aca="false">MAX(0,IFERROR(INDEX(TAB_IR,MATCH($C103,TAB_IR_DIAS,1),MATCH($D$8,TAB_IR_REGIMES,0)),0)*IF($D$26=2,AQ103,MAX(0,AT103))-AS103)</f>
        <v>727.153321892072</v>
      </c>
      <c r="AV103" s="181" t="n">
        <f aca="false">MAX(0,AQ103-AU103-AQ103*$D$25)</f>
        <v>200652.469841637</v>
      </c>
      <c r="AW103" s="180" t="n">
        <f aca="false">AV103/$D103</f>
        <v>174915.309278602</v>
      </c>
      <c r="AY103" s="180" t="n">
        <f aca="false">BF102</f>
        <v>212562.837205116</v>
      </c>
      <c r="AZ103" s="180" t="n">
        <f aca="false">IF($E$9=0,0,IF($A103&gt;IN_PRAZO,0,IF(APORTE_CORRIGIDO="Sim",IN_APORTE*$D103,IN_APORTE))+IF(AND($E$35=1,PGBL_REINVESTE="Sim",$A103&gt;=13,$A103&lt;=IN_PRAZO,MONTH($B103)=5),PGBL_BENEFICIO,0))</f>
        <v>0</v>
      </c>
      <c r="BA103" s="180" t="n">
        <f aca="false">AZ103*$E$24</f>
        <v>0</v>
      </c>
      <c r="BB103" s="180" t="n">
        <f aca="false">AY103*$E$19</f>
        <v>2080.72348432316</v>
      </c>
      <c r="BC103" s="180" t="n">
        <f aca="false">AY103*$E$22</f>
        <v>265.703546506396</v>
      </c>
      <c r="BD103" s="180" t="n">
        <f aca="false">$E$23*MAX(0,BB103-AY103*$E$18)</f>
        <v>0</v>
      </c>
      <c r="BE103" s="180" t="n">
        <f aca="false">IF(AND($E$27=1,OR(MONTH($B103)=5,MONTH($B103)=11)),MAX(0,$E$28*MAX(0,(AY103+BB103-BC103-BD103+AZ103-BA103)+BH102-BG103)-BH102),0)</f>
        <v>0</v>
      </c>
      <c r="BF103" s="181" t="n">
        <f aca="false">AY103+BB103-BC103-BD103+AZ103-BA103-BE103</f>
        <v>214377.857142933</v>
      </c>
      <c r="BG103" s="180" t="n">
        <f aca="false">BG102+AZ103-BA103</f>
        <v>150000</v>
      </c>
      <c r="BH103" s="180" t="n">
        <f aca="false">BH102+BE103</f>
        <v>0</v>
      </c>
      <c r="BI103" s="180" t="n">
        <f aca="false">BF103+BH103-BG103</f>
        <v>64377.8571429332</v>
      </c>
      <c r="BJ103" s="180" t="n">
        <f aca="false">MAX(0,IFERROR(INDEX(TAB_IR,MATCH($C103,TAB_IR_DIAS,1),MATCH($E$8,TAB_IR_REGIMES,0)),0)*IF($E$26=2,BF103,MAX(0,BI103))-BH103)</f>
        <v>19313.35714288</v>
      </c>
      <c r="BK103" s="181" t="n">
        <f aca="false">MAX(0,BF103-BJ103-BF103*$E$25)</f>
        <v>195064.500000053</v>
      </c>
      <c r="BL103" s="180" t="n">
        <f aca="false">BK103/$D103</f>
        <v>170044.093520073</v>
      </c>
      <c r="BN103" s="180" t="n">
        <f aca="false">BU102</f>
        <v>212562.837205116</v>
      </c>
      <c r="BO103" s="180" t="n">
        <f aca="false">IF($F$9=0,0,IF($A103&gt;IN_PRAZO,0,IF(APORTE_CORRIGIDO="Sim",IN_APORTE*$D103,IN_APORTE))+IF(AND($F$35=1,PGBL_REINVESTE="Sim",$A103&gt;=13,$A103&lt;=IN_PRAZO,MONTH($B103)=5),PGBL_BENEFICIO,0))</f>
        <v>0</v>
      </c>
      <c r="BP103" s="180" t="n">
        <f aca="false">BO103*$F$24</f>
        <v>0</v>
      </c>
      <c r="BQ103" s="180" t="n">
        <f aca="false">BN103*$F$19</f>
        <v>2080.72348432316</v>
      </c>
      <c r="BR103" s="180" t="n">
        <f aca="false">BN103*$F$22</f>
        <v>265.703546506396</v>
      </c>
      <c r="BS103" s="180" t="n">
        <f aca="false">$F$23*MAX(0,BQ103-BN103*$F$18)</f>
        <v>0</v>
      </c>
      <c r="BT103" s="180" t="n">
        <f aca="false">IF(AND($F$27=1,OR(MONTH($B103)=5,MONTH($B103)=11)),MAX(0,$F$28*MAX(0,(BN103+BQ103-BR103-BS103+BO103-BP103)+BW102-BV103)-BW102),0)</f>
        <v>0</v>
      </c>
      <c r="BU103" s="181" t="n">
        <f aca="false">BN103+BQ103-BR103-BS103+BO103-BP103-BT103</f>
        <v>214377.857142933</v>
      </c>
      <c r="BV103" s="180" t="n">
        <f aca="false">BV102+BO103-BP103</f>
        <v>150000</v>
      </c>
      <c r="BW103" s="180" t="n">
        <f aca="false">BW102+BT103</f>
        <v>0</v>
      </c>
      <c r="BX103" s="180" t="n">
        <f aca="false">BU103+BW103-BV103</f>
        <v>64377.8571429332</v>
      </c>
      <c r="BY103" s="180" t="n">
        <f aca="false">MAX(0,IFERROR(INDEX(TAB_IR,MATCH($C103,TAB_IR_DIAS,1),MATCH($F$8,TAB_IR_REGIMES,0)),0)*IF($F$26=2,BU103,MAX(0,BX103))-BW103)</f>
        <v>64313.35714288</v>
      </c>
      <c r="BZ103" s="181" t="n">
        <f aca="false">MAX(0,BU103-BY103-BU103*$F$25)</f>
        <v>150064.500000053</v>
      </c>
      <c r="CA103" s="180" t="n">
        <f aca="false">BZ103/$D103</f>
        <v>130816.12426682</v>
      </c>
      <c r="CC103" s="180" t="n">
        <f aca="false">CJ102</f>
        <v>194005.816597458</v>
      </c>
      <c r="CD103" s="180" t="n">
        <f aca="false">IF($G$9=0,0,IF($A103&gt;IN_PRAZO,0,IF(APORTE_CORRIGIDO="Sim",IN_APORTE*$D103,IN_APORTE))+IF(AND($G$35=1,PGBL_REINVESTE="Sim",$A103&gt;=13,$A103&lt;=IN_PRAZO,MONTH($B103)=5),PGBL_BENEFICIO,0))</f>
        <v>0</v>
      </c>
      <c r="CE103" s="180" t="n">
        <f aca="false">CD103*$G$24</f>
        <v>0</v>
      </c>
      <c r="CF103" s="180" t="n">
        <f aca="false">CC103*$G$19</f>
        <v>1582.54918294184</v>
      </c>
      <c r="CG103" s="180" t="n">
        <f aca="false">CC103*$G$22</f>
        <v>161.671513831215</v>
      </c>
      <c r="CH103" s="180" t="n">
        <f aca="false">$G$23*MAX(0,CF103-CC103*$G$18)</f>
        <v>0</v>
      </c>
      <c r="CI103" s="180" t="n">
        <f aca="false">IF(AND($G$27=1,OR(MONTH($B103)=5,MONTH($B103)=11)),MAX(0,$G$28*MAX(0,(CC103+CF103-CG103-CH103+CD103-CE103)+CL102-CK103)-CL102),0)</f>
        <v>0</v>
      </c>
      <c r="CJ103" s="181" t="n">
        <f aca="false">CC103+CF103-CG103-CH103+CD103-CE103-CI103</f>
        <v>195426.694266569</v>
      </c>
      <c r="CK103" s="180" t="n">
        <f aca="false">CK102+CD103-CE103</f>
        <v>150000</v>
      </c>
      <c r="CL103" s="180" t="n">
        <f aca="false">CL102+CI103</f>
        <v>7269.70204059412</v>
      </c>
      <c r="CM103" s="180" t="n">
        <f aca="false">CJ103+CL103-CK103</f>
        <v>52696.3963071628</v>
      </c>
      <c r="CN103" s="180" t="n">
        <f aca="false">MAX(0,IFERROR(INDEX(TAB_IR,MATCH($C103,TAB_IR_DIAS,1),MATCH($G$8,TAB_IR_REGIMES,0)),0)*IF($G$26=2,CJ103,MAX(0,CM103))-CL103)</f>
        <v>634.757405480292</v>
      </c>
      <c r="CO103" s="181" t="n">
        <f aca="false">MAX(0,CJ103-CN103-CJ103*$G$25)</f>
        <v>194791.936861088</v>
      </c>
      <c r="CP103" s="180" t="n">
        <f aca="false">CO103/$D103</f>
        <v>169806.491332631</v>
      </c>
    </row>
    <row r="104" customFormat="false" ht="12" hidden="false" customHeight="true" outlineLevel="0" collapsed="false">
      <c r="A104" s="177" t="n">
        <v>43</v>
      </c>
      <c r="B104" s="178" t="n">
        <f aca="false">EDATE(DATA_INICIO,$A104)</f>
        <v>47565</v>
      </c>
      <c r="C104" s="177" t="n">
        <f aca="false">$A104*30</f>
        <v>1290</v>
      </c>
      <c r="D104" s="179" t="n">
        <f aca="false">(1+IPCA_CENARIO)^($A104/12)</f>
        <v>1.1508961373639</v>
      </c>
      <c r="F104" s="180" t="n">
        <f aca="false">M103</f>
        <v>221484.125202799</v>
      </c>
      <c r="G104" s="180" t="n">
        <f aca="false">IF($B$9=0,0,IF($A104&gt;IN_PRAZO,0,IF(APORTE_CORRIGIDO="Sim",IN_APORTE*$D104,IN_APORTE))+IF(AND($B$35=1,PGBL_REINVESTE="Sim",$A104&gt;=13,$A104&lt;=IN_PRAZO,MONTH($B104)=5),PGBL_BENEFICIO,0))</f>
        <v>0</v>
      </c>
      <c r="H104" s="180" t="n">
        <f aca="false">G104*$B$24</f>
        <v>0</v>
      </c>
      <c r="I104" s="180" t="n">
        <f aca="false">F104*$B$19</f>
        <v>2101.61700234663</v>
      </c>
      <c r="J104" s="180" t="n">
        <f aca="false">F104*$B$22</f>
        <v>36.9140208671332</v>
      </c>
      <c r="K104" s="180" t="n">
        <f aca="false">$B$23*MAX(0,I104-F104*$B$18)</f>
        <v>0</v>
      </c>
      <c r="L104" s="180" t="n">
        <f aca="false">IF(AND($B$27=1,OR(MONTH($B104)=5,MONTH($B104)=11)),MAX(0,$B$28*MAX(0,(F104+I104-J104-K104+G104-H104)+O103-N104)-O103),0)</f>
        <v>0</v>
      </c>
      <c r="M104" s="181" t="n">
        <f aca="false">F104+I104-J104-K104+G104-H104-L104</f>
        <v>223548.828184279</v>
      </c>
      <c r="N104" s="180" t="n">
        <f aca="false">N103+G104-H104</f>
        <v>150000</v>
      </c>
      <c r="O104" s="180" t="n">
        <f aca="false">O103+L104</f>
        <v>0</v>
      </c>
      <c r="P104" s="180" t="n">
        <f aca="false">M104+O104-N104</f>
        <v>73548.8281842789</v>
      </c>
      <c r="Q104" s="180" t="n">
        <f aca="false">MAX(0,IFERROR(INDEX(TAB_IR,MATCH($C104,TAB_IR_DIAS,1),MATCH($B$8,TAB_IR_REGIMES,0)),0)*IF($B$26=2,M104,MAX(0,P104))-O104)</f>
        <v>11032.3242276418</v>
      </c>
      <c r="R104" s="181" t="n">
        <f aca="false">MAX(0,M104-Q104-M104*$B$25)</f>
        <v>212516.503956637</v>
      </c>
      <c r="S104" s="180" t="n">
        <f aca="false">R104/$D104</f>
        <v>184653.069080066</v>
      </c>
      <c r="U104" s="180" t="n">
        <f aca="false">AB103</f>
        <v>209537.984488722</v>
      </c>
      <c r="V104" s="180" t="n">
        <f aca="false">IF($C$9=0,0,IF($A104&gt;IN_PRAZO,0,IF(APORTE_CORRIGIDO="Sim",IN_APORTE*$D104,IN_APORTE))+IF(AND($C$35=1,PGBL_REINVESTE="Sim",$A104&gt;=13,$A104&lt;=IN_PRAZO,MONTH($B104)=5),PGBL_BENEFICIO,0))</f>
        <v>0</v>
      </c>
      <c r="W104" s="180" t="n">
        <f aca="false">V104*$C$24</f>
        <v>0</v>
      </c>
      <c r="X104" s="180" t="n">
        <f aca="false">U104*$C$19</f>
        <v>1709.24857802564</v>
      </c>
      <c r="Y104" s="180" t="n">
        <f aca="false">U104*$C$22</f>
        <v>34.922997414787</v>
      </c>
      <c r="Z104" s="180" t="n">
        <f aca="false">$C$23*MAX(0,X104-U104*$C$18)</f>
        <v>0</v>
      </c>
      <c r="AA104" s="180" t="n">
        <f aca="false">IF(AND($C$27=1,OR(MONTH($B104)=5,MONTH($B104)=11)),MAX(0,$C$28*MAX(0,(U104+X104-Y104-Z104+V104-W104)+AD103-AC104)-AD103),0)</f>
        <v>0</v>
      </c>
      <c r="AB104" s="181" t="n">
        <f aca="false">U104+X104-Y104-Z104+V104-W104-AA104</f>
        <v>211212.310069333</v>
      </c>
      <c r="AC104" s="180" t="n">
        <f aca="false">AC103+V104-W104</f>
        <v>150000</v>
      </c>
      <c r="AD104" s="180" t="n">
        <f aca="false">AD103+AA104</f>
        <v>0</v>
      </c>
      <c r="AE104" s="180" t="n">
        <f aca="false">AB104+AD104-AC104</f>
        <v>61212.3100693327</v>
      </c>
      <c r="AF104" s="180" t="n">
        <f aca="false">MAX(0,IFERROR(INDEX(TAB_IR,MATCH($C104,TAB_IR_DIAS,1),MATCH($C$8,TAB_IR_REGIMES,0)),0)*IF($C$26=2,AB104,MAX(0,AE104))-AD104)</f>
        <v>9181.84651039991</v>
      </c>
      <c r="AG104" s="181" t="n">
        <f aca="false">MAX(0,AB104-AF104-AB104*$C$25)</f>
        <v>202030.463558933</v>
      </c>
      <c r="AH104" s="180" t="n">
        <f aca="false">AG104/$D104</f>
        <v>175541.872980544</v>
      </c>
      <c r="AJ104" s="180" t="n">
        <f aca="false">AQ103</f>
        <v>201379.62316353</v>
      </c>
      <c r="AK104" s="180" t="n">
        <f aca="false">IF($D$9=0,0,IF($A104&gt;IN_PRAZO,0,IF(APORTE_CORRIGIDO="Sim",IN_APORTE*$D104,IN_APORTE))+IF(AND($D$35=1,PGBL_REINVESTE="Sim",$A104&gt;=13,$A104&lt;=IN_PRAZO,MONTH($B104)=5),PGBL_BENEFICIO,0))</f>
        <v>0</v>
      </c>
      <c r="AL104" s="180" t="n">
        <f aca="false">AK104*$D$24</f>
        <v>0</v>
      </c>
      <c r="AM104" s="180" t="n">
        <f aca="false">AJ104*$D$19</f>
        <v>1810.14042456872</v>
      </c>
      <c r="AN104" s="180" t="n">
        <f aca="false">AJ104*$D$22</f>
        <v>167.816352636275</v>
      </c>
      <c r="AO104" s="180" t="n">
        <f aca="false">$D$23*MAX(0,AM104-AJ104*$D$18)</f>
        <v>0</v>
      </c>
      <c r="AP104" s="180" t="n">
        <f aca="false">IF(AND($D$27=1,OR(MONTH($B104)=5,MONTH($B104)=11)),MAX(0,$D$28*MAX(0,(AJ104+AM104-AN104-AO104+AK104-AL104)+AS103-AR104)-AS103),0)</f>
        <v>0</v>
      </c>
      <c r="AQ104" s="181" t="n">
        <f aca="false">AJ104+AM104-AN104-AO104+AK104-AL104-AP104</f>
        <v>203021.947235462</v>
      </c>
      <c r="AR104" s="180" t="n">
        <f aca="false">AR103+AK104-AL104</f>
        <v>150000</v>
      </c>
      <c r="AS104" s="180" t="n">
        <f aca="false">AS103+AP104</f>
        <v>8211.51782663219</v>
      </c>
      <c r="AT104" s="180" t="n">
        <f aca="false">AQ104+AS104-AR104</f>
        <v>61233.4650620942</v>
      </c>
      <c r="AU104" s="180" t="n">
        <f aca="false">MAX(0,IFERROR(INDEX(TAB_IR,MATCH($C104,TAB_IR_DIAS,1),MATCH($D$8,TAB_IR_REGIMES,0)),0)*IF($D$26=2,AQ104,MAX(0,AT104))-AS104)</f>
        <v>973.501932681942</v>
      </c>
      <c r="AV104" s="181" t="n">
        <f aca="false">MAX(0,AQ104-AU104-AQ104*$D$25)</f>
        <v>202048.44530278</v>
      </c>
      <c r="AW104" s="180" t="n">
        <f aca="false">AV104/$D104</f>
        <v>175557.497104445</v>
      </c>
      <c r="AY104" s="180" t="n">
        <f aca="false">BF103</f>
        <v>214377.857142933</v>
      </c>
      <c r="AZ104" s="180" t="n">
        <f aca="false">IF($E$9=0,0,IF($A104&gt;IN_PRAZO,0,IF(APORTE_CORRIGIDO="Sim",IN_APORTE*$D104,IN_APORTE))+IF(AND($E$35=1,PGBL_REINVESTE="Sim",$A104&gt;=13,$A104&lt;=IN_PRAZO,MONTH($B104)=5),PGBL_BENEFICIO,0))</f>
        <v>0</v>
      </c>
      <c r="BA104" s="180" t="n">
        <f aca="false">AZ104*$E$24</f>
        <v>0</v>
      </c>
      <c r="BB104" s="180" t="n">
        <f aca="false">AY104*$E$19</f>
        <v>2098.49025230004</v>
      </c>
      <c r="BC104" s="180" t="n">
        <f aca="false">AY104*$E$22</f>
        <v>267.972321428667</v>
      </c>
      <c r="BD104" s="180" t="n">
        <f aca="false">$E$23*MAX(0,BB104-AY104*$E$18)</f>
        <v>0</v>
      </c>
      <c r="BE104" s="180" t="n">
        <f aca="false">IF(AND($E$27=1,OR(MONTH($B104)=5,MONTH($B104)=11)),MAX(0,$E$28*MAX(0,(AY104+BB104-BC104-BD104+AZ104-BA104)+BH103-BG104)-BH103),0)</f>
        <v>0</v>
      </c>
      <c r="BF104" s="181" t="n">
        <f aca="false">AY104+BB104-BC104-BD104+AZ104-BA104-BE104</f>
        <v>216208.375073805</v>
      </c>
      <c r="BG104" s="180" t="n">
        <f aca="false">BG103+AZ104-BA104</f>
        <v>150000</v>
      </c>
      <c r="BH104" s="180" t="n">
        <f aca="false">BH103+BE104</f>
        <v>0</v>
      </c>
      <c r="BI104" s="180" t="n">
        <f aca="false">BF104+BH104-BG104</f>
        <v>66208.3750738046</v>
      </c>
      <c r="BJ104" s="180" t="n">
        <f aca="false">MAX(0,IFERROR(INDEX(TAB_IR,MATCH($C104,TAB_IR_DIAS,1),MATCH($E$8,TAB_IR_REGIMES,0)),0)*IF($E$26=2,BF104,MAX(0,BI104))-BH104)</f>
        <v>19862.5125221414</v>
      </c>
      <c r="BK104" s="181" t="n">
        <f aca="false">MAX(0,BF104-BJ104-BF104*$E$25)</f>
        <v>196345.862551663</v>
      </c>
      <c r="BL104" s="180" t="n">
        <f aca="false">BK104/$D104</f>
        <v>170602.590605082</v>
      </c>
      <c r="BN104" s="180" t="n">
        <f aca="false">BU103</f>
        <v>214377.857142933</v>
      </c>
      <c r="BO104" s="180" t="n">
        <f aca="false">IF($F$9=0,0,IF($A104&gt;IN_PRAZO,0,IF(APORTE_CORRIGIDO="Sim",IN_APORTE*$D104,IN_APORTE))+IF(AND($F$35=1,PGBL_REINVESTE="Sim",$A104&gt;=13,$A104&lt;=IN_PRAZO,MONTH($B104)=5),PGBL_BENEFICIO,0))</f>
        <v>0</v>
      </c>
      <c r="BP104" s="180" t="n">
        <f aca="false">BO104*$F$24</f>
        <v>0</v>
      </c>
      <c r="BQ104" s="180" t="n">
        <f aca="false">BN104*$F$19</f>
        <v>2098.49025230004</v>
      </c>
      <c r="BR104" s="180" t="n">
        <f aca="false">BN104*$F$22</f>
        <v>267.972321428667</v>
      </c>
      <c r="BS104" s="180" t="n">
        <f aca="false">$F$23*MAX(0,BQ104-BN104*$F$18)</f>
        <v>0</v>
      </c>
      <c r="BT104" s="180" t="n">
        <f aca="false">IF(AND($F$27=1,OR(MONTH($B104)=5,MONTH($B104)=11)),MAX(0,$F$28*MAX(0,(BN104+BQ104-BR104-BS104+BO104-BP104)+BW103-BV104)-BW103),0)</f>
        <v>0</v>
      </c>
      <c r="BU104" s="181" t="n">
        <f aca="false">BN104+BQ104-BR104-BS104+BO104-BP104-BT104</f>
        <v>216208.375073805</v>
      </c>
      <c r="BV104" s="180" t="n">
        <f aca="false">BV103+BO104-BP104</f>
        <v>150000</v>
      </c>
      <c r="BW104" s="180" t="n">
        <f aca="false">BW103+BT104</f>
        <v>0</v>
      </c>
      <c r="BX104" s="180" t="n">
        <f aca="false">BU104+BW104-BV104</f>
        <v>66208.3750738046</v>
      </c>
      <c r="BY104" s="180" t="n">
        <f aca="false">MAX(0,IFERROR(INDEX(TAB_IR,MATCH($C104,TAB_IR_DIAS,1),MATCH($F$8,TAB_IR_REGIMES,0)),0)*IF($F$26=2,BU104,MAX(0,BX104))-BW104)</f>
        <v>64862.5125221414</v>
      </c>
      <c r="BZ104" s="181" t="n">
        <f aca="false">MAX(0,BU104-BY104-BU104*$F$25)</f>
        <v>151345.862551663</v>
      </c>
      <c r="CA104" s="180" t="n">
        <f aca="false">BZ104/$D104</f>
        <v>131502.624466459</v>
      </c>
      <c r="CC104" s="180" t="n">
        <f aca="false">CJ103</f>
        <v>195426.694266569</v>
      </c>
      <c r="CD104" s="180" t="n">
        <f aca="false">IF($G$9=0,0,IF($A104&gt;IN_PRAZO,0,IF(APORTE_CORRIGIDO="Sim",IN_APORTE*$D104,IN_APORTE))+IF(AND($G$35=1,PGBL_REINVESTE="Sim",$A104&gt;=13,$A104&lt;=IN_PRAZO,MONTH($B104)=5),PGBL_BENEFICIO,0))</f>
        <v>0</v>
      </c>
      <c r="CE104" s="180" t="n">
        <f aca="false">CD104*$G$24</f>
        <v>0</v>
      </c>
      <c r="CF104" s="180" t="n">
        <f aca="false">CC104*$G$19</f>
        <v>1594.13960241353</v>
      </c>
      <c r="CG104" s="180" t="n">
        <f aca="false">CC104*$G$22</f>
        <v>162.855578555474</v>
      </c>
      <c r="CH104" s="180" t="n">
        <f aca="false">$G$23*MAX(0,CF104-CC104*$G$18)</f>
        <v>0</v>
      </c>
      <c r="CI104" s="180" t="n">
        <f aca="false">IF(AND($G$27=1,OR(MONTH($B104)=5,MONTH($B104)=11)),MAX(0,$G$28*MAX(0,(CC104+CF104-CG104-CH104+CD104-CE104)+CL103-CK104)-CL103),0)</f>
        <v>0</v>
      </c>
      <c r="CJ104" s="181" t="n">
        <f aca="false">CC104+CF104-CG104-CH104+CD104-CE104-CI104</f>
        <v>196857.978290427</v>
      </c>
      <c r="CK104" s="180" t="n">
        <f aca="false">CK103+CD104-CE104</f>
        <v>150000</v>
      </c>
      <c r="CL104" s="180" t="n">
        <f aca="false">CL103+CI104</f>
        <v>7269.70204059412</v>
      </c>
      <c r="CM104" s="180" t="n">
        <f aca="false">CJ104+CL104-CK104</f>
        <v>54127.6803310208</v>
      </c>
      <c r="CN104" s="180" t="n">
        <f aca="false">MAX(0,IFERROR(INDEX(TAB_IR,MATCH($C104,TAB_IR_DIAS,1),MATCH($G$8,TAB_IR_REGIMES,0)),0)*IF($G$26=2,CJ104,MAX(0,CM104))-CL104)</f>
        <v>849.450009059</v>
      </c>
      <c r="CO104" s="181" t="n">
        <f aca="false">MAX(0,CJ104-CN104-CJ104*$G$25)</f>
        <v>196008.528281368</v>
      </c>
      <c r="CP104" s="180" t="n">
        <f aca="false">CO104/$D104</f>
        <v>170309.484859616</v>
      </c>
    </row>
    <row r="105" customFormat="false" ht="12" hidden="false" customHeight="true" outlineLevel="0" collapsed="false">
      <c r="A105" s="177" t="n">
        <v>44</v>
      </c>
      <c r="B105" s="178" t="n">
        <f aca="false">EDATE(DATA_INICIO,$A105)</f>
        <v>47596</v>
      </c>
      <c r="C105" s="177" t="n">
        <f aca="false">$A105*30</f>
        <v>1320</v>
      </c>
      <c r="D105" s="179" t="n">
        <f aca="false">(1+IPCA_CENARIO)^($A105/12)</f>
        <v>1.15466387183397</v>
      </c>
      <c r="F105" s="180" t="n">
        <f aca="false">M104</f>
        <v>223548.828184279</v>
      </c>
      <c r="G105" s="180" t="n">
        <f aca="false">IF($B$9=0,0,IF($A105&gt;IN_PRAZO,0,IF(APORTE_CORRIGIDO="Sim",IN_APORTE*$D105,IN_APORTE))+IF(AND($B$35=1,PGBL_REINVESTE="Sim",$A105&gt;=13,$A105&lt;=IN_PRAZO,MONTH($B105)=5),PGBL_BENEFICIO,0))</f>
        <v>0</v>
      </c>
      <c r="H105" s="180" t="n">
        <f aca="false">G105*$B$24</f>
        <v>0</v>
      </c>
      <c r="I105" s="180" t="n">
        <f aca="false">F105*$B$19</f>
        <v>2121.2085414093</v>
      </c>
      <c r="J105" s="180" t="n">
        <f aca="false">F105*$B$22</f>
        <v>37.2581380307131</v>
      </c>
      <c r="K105" s="180" t="n">
        <f aca="false">$B$23*MAX(0,I105-F105*$B$18)</f>
        <v>0</v>
      </c>
      <c r="L105" s="180" t="n">
        <f aca="false">IF(AND($B$27=1,OR(MONTH($B105)=5,MONTH($B105)=11)),MAX(0,$B$28*MAX(0,(F105+I105-J105-K105+G105-H105)+O104-N105)-O104),0)</f>
        <v>0</v>
      </c>
      <c r="M105" s="181" t="n">
        <f aca="false">F105+I105-J105-K105+G105-H105-L105</f>
        <v>225632.778587657</v>
      </c>
      <c r="N105" s="180" t="n">
        <f aca="false">N104+G105-H105</f>
        <v>150000</v>
      </c>
      <c r="O105" s="180" t="n">
        <f aca="false">O104+L105</f>
        <v>0</v>
      </c>
      <c r="P105" s="180" t="n">
        <f aca="false">M105+O105-N105</f>
        <v>75632.7785876575</v>
      </c>
      <c r="Q105" s="180" t="n">
        <f aca="false">MAX(0,IFERROR(INDEX(TAB_IR,MATCH($C105,TAB_IR_DIAS,1),MATCH($B$8,TAB_IR_REGIMES,0)),0)*IF($B$26=2,M105,MAX(0,P105))-O105)</f>
        <v>11344.9167881486</v>
      </c>
      <c r="R105" s="181" t="n">
        <f aca="false">MAX(0,M105-Q105-M105*$B$25)</f>
        <v>214287.861799509</v>
      </c>
      <c r="S105" s="180" t="n">
        <f aca="false">R105/$D105</f>
        <v>185584.625124845</v>
      </c>
      <c r="U105" s="180" t="n">
        <f aca="false">AB104</f>
        <v>211212.310069333</v>
      </c>
      <c r="V105" s="180" t="n">
        <f aca="false">IF($C$9=0,0,IF($A105&gt;IN_PRAZO,0,IF(APORTE_CORRIGIDO="Sim",IN_APORTE*$D105,IN_APORTE))+IF(AND($C$35=1,PGBL_REINVESTE="Sim",$A105&gt;=13,$A105&lt;=IN_PRAZO,MONTH($B105)=5),PGBL_BENEFICIO,0))</f>
        <v>0</v>
      </c>
      <c r="W105" s="180" t="n">
        <f aca="false">V105*$C$24</f>
        <v>0</v>
      </c>
      <c r="X105" s="180" t="n">
        <f aca="false">U105*$C$19</f>
        <v>1722.9064292491</v>
      </c>
      <c r="Y105" s="180" t="n">
        <f aca="false">U105*$C$22</f>
        <v>35.2020516782221</v>
      </c>
      <c r="Z105" s="180" t="n">
        <f aca="false">$C$23*MAX(0,X105-U105*$C$18)</f>
        <v>0</v>
      </c>
      <c r="AA105" s="180" t="n">
        <f aca="false">IF(AND($C$27=1,OR(MONTH($B105)=5,MONTH($B105)=11)),MAX(0,$C$28*MAX(0,(U105+X105-Y105-Z105+V105-W105)+AD104-AC105)-AD104),0)</f>
        <v>0</v>
      </c>
      <c r="AB105" s="181" t="n">
        <f aca="false">U105+X105-Y105-Z105+V105-W105-AA105</f>
        <v>212900.014446904</v>
      </c>
      <c r="AC105" s="180" t="n">
        <f aca="false">AC104+V105-W105</f>
        <v>150000</v>
      </c>
      <c r="AD105" s="180" t="n">
        <f aca="false">AD104+AA105</f>
        <v>0</v>
      </c>
      <c r="AE105" s="180" t="n">
        <f aca="false">AB105+AD105-AC105</f>
        <v>62900.0144469036</v>
      </c>
      <c r="AF105" s="180" t="n">
        <f aca="false">MAX(0,IFERROR(INDEX(TAB_IR,MATCH($C105,TAB_IR_DIAS,1),MATCH($C$8,TAB_IR_REGIMES,0)),0)*IF($C$26=2,AB105,MAX(0,AE105))-AD105)</f>
        <v>9435.00216703554</v>
      </c>
      <c r="AG105" s="181" t="n">
        <f aca="false">MAX(0,AB105-AF105-AB105*$C$25)</f>
        <v>203465.012279868</v>
      </c>
      <c r="AH105" s="180" t="n">
        <f aca="false">AG105/$D105</f>
        <v>176211.464862672</v>
      </c>
      <c r="AJ105" s="180" t="n">
        <f aca="false">AQ104</f>
        <v>203021.947235462</v>
      </c>
      <c r="AK105" s="180" t="n">
        <f aca="false">IF($D$9=0,0,IF($A105&gt;IN_PRAZO,0,IF(APORTE_CORRIGIDO="Sim",IN_APORTE*$D105,IN_APORTE))+IF(AND($D$35=1,PGBL_REINVESTE="Sim",$A105&gt;=13,$A105&lt;=IN_PRAZO,MONTH($B105)=5),PGBL_BENEFICIO,0))</f>
        <v>0</v>
      </c>
      <c r="AL105" s="180" t="n">
        <f aca="false">AK105*$D$24</f>
        <v>0</v>
      </c>
      <c r="AM105" s="180" t="n">
        <f aca="false">AJ105*$D$19</f>
        <v>1824.9027781085</v>
      </c>
      <c r="AN105" s="180" t="n">
        <f aca="false">AJ105*$D$22</f>
        <v>169.184956029552</v>
      </c>
      <c r="AO105" s="180" t="n">
        <f aca="false">$D$23*MAX(0,AM105-AJ105*$D$18)</f>
        <v>0</v>
      </c>
      <c r="AP105" s="180" t="n">
        <f aca="false">IF(AND($D$27=1,OR(MONTH($B105)=5,MONTH($B105)=11)),MAX(0,$D$28*MAX(0,(AJ105+AM105-AN105-AO105+AK105-AL105)+AS104-AR105)-AS104),0)</f>
        <v>0</v>
      </c>
      <c r="AQ105" s="181" t="n">
        <f aca="false">AJ105+AM105-AN105-AO105+AK105-AL105-AP105</f>
        <v>204677.665057541</v>
      </c>
      <c r="AR105" s="180" t="n">
        <f aca="false">AR104+AK105-AL105</f>
        <v>150000</v>
      </c>
      <c r="AS105" s="180" t="n">
        <f aca="false">AS104+AP105</f>
        <v>8211.51782663219</v>
      </c>
      <c r="AT105" s="180" t="n">
        <f aca="false">AQ105+AS105-AR105</f>
        <v>62889.1828841731</v>
      </c>
      <c r="AU105" s="180" t="n">
        <f aca="false">MAX(0,IFERROR(INDEX(TAB_IR,MATCH($C105,TAB_IR_DIAS,1),MATCH($D$8,TAB_IR_REGIMES,0)),0)*IF($D$26=2,AQ105,MAX(0,AT105))-AS105)</f>
        <v>1221.85960599378</v>
      </c>
      <c r="AV105" s="181" t="n">
        <f aca="false">MAX(0,AQ105-AU105-AQ105*$D$25)</f>
        <v>203455.805451547</v>
      </c>
      <c r="AW105" s="180" t="n">
        <f aca="false">AV105/$D105</f>
        <v>176203.491262263</v>
      </c>
      <c r="AY105" s="180" t="n">
        <f aca="false">BF104</f>
        <v>216208.375073805</v>
      </c>
      <c r="AZ105" s="180" t="n">
        <f aca="false">IF($E$9=0,0,IF($A105&gt;IN_PRAZO,0,IF(APORTE_CORRIGIDO="Sim",IN_APORTE*$D105,IN_APORTE))+IF(AND($E$35=1,PGBL_REINVESTE="Sim",$A105&gt;=13,$A105&lt;=IN_PRAZO,MONTH($B105)=5),PGBL_BENEFICIO,0))</f>
        <v>0</v>
      </c>
      <c r="BA105" s="180" t="n">
        <f aca="false">AZ105*$E$24</f>
        <v>0</v>
      </c>
      <c r="BB105" s="180" t="n">
        <f aca="false">AY105*$E$19</f>
        <v>2116.40872618437</v>
      </c>
      <c r="BC105" s="180" t="n">
        <f aca="false">AY105*$E$22</f>
        <v>270.260468842256</v>
      </c>
      <c r="BD105" s="180" t="n">
        <f aca="false">$E$23*MAX(0,BB105-AY105*$E$18)</f>
        <v>0</v>
      </c>
      <c r="BE105" s="180" t="n">
        <f aca="false">IF(AND($E$27=1,OR(MONTH($B105)=5,MONTH($B105)=11)),MAX(0,$E$28*MAX(0,(AY105+BB105-BC105-BD105+AZ105-BA105)+BH104-BG105)-BH104),0)</f>
        <v>0</v>
      </c>
      <c r="BF105" s="181" t="n">
        <f aca="false">AY105+BB105-BC105-BD105+AZ105-BA105-BE105</f>
        <v>218054.523331147</v>
      </c>
      <c r="BG105" s="180" t="n">
        <f aca="false">BG104+AZ105-BA105</f>
        <v>150000</v>
      </c>
      <c r="BH105" s="180" t="n">
        <f aca="false">BH104+BE105</f>
        <v>0</v>
      </c>
      <c r="BI105" s="180" t="n">
        <f aca="false">BF105+BH105-BG105</f>
        <v>68054.5233311467</v>
      </c>
      <c r="BJ105" s="180" t="n">
        <f aca="false">MAX(0,IFERROR(INDEX(TAB_IR,MATCH($C105,TAB_IR_DIAS,1),MATCH($E$8,TAB_IR_REGIMES,0)),0)*IF($E$26=2,BF105,MAX(0,BI105))-BH105)</f>
        <v>20416.356999344</v>
      </c>
      <c r="BK105" s="181" t="n">
        <f aca="false">MAX(0,BF105-BJ105-BF105*$E$25)</f>
        <v>197638.166331803</v>
      </c>
      <c r="BL105" s="180" t="n">
        <f aca="false">BK105/$D105</f>
        <v>171165.108004888</v>
      </c>
      <c r="BN105" s="180" t="n">
        <f aca="false">BU104</f>
        <v>216208.375073805</v>
      </c>
      <c r="BO105" s="180" t="n">
        <f aca="false">IF($F$9=0,0,IF($A105&gt;IN_PRAZO,0,IF(APORTE_CORRIGIDO="Sim",IN_APORTE*$D105,IN_APORTE))+IF(AND($F$35=1,PGBL_REINVESTE="Sim",$A105&gt;=13,$A105&lt;=IN_PRAZO,MONTH($B105)=5),PGBL_BENEFICIO,0))</f>
        <v>0</v>
      </c>
      <c r="BP105" s="180" t="n">
        <f aca="false">BO105*$F$24</f>
        <v>0</v>
      </c>
      <c r="BQ105" s="180" t="n">
        <f aca="false">BN105*$F$19</f>
        <v>2116.40872618437</v>
      </c>
      <c r="BR105" s="180" t="n">
        <f aca="false">BN105*$F$22</f>
        <v>270.260468842256</v>
      </c>
      <c r="BS105" s="180" t="n">
        <f aca="false">$F$23*MAX(0,BQ105-BN105*$F$18)</f>
        <v>0</v>
      </c>
      <c r="BT105" s="180" t="n">
        <f aca="false">IF(AND($F$27=1,OR(MONTH($B105)=5,MONTH($B105)=11)),MAX(0,$F$28*MAX(0,(BN105+BQ105-BR105-BS105+BO105-BP105)+BW104-BV105)-BW104),0)</f>
        <v>0</v>
      </c>
      <c r="BU105" s="181" t="n">
        <f aca="false">BN105+BQ105-BR105-BS105+BO105-BP105-BT105</f>
        <v>218054.523331147</v>
      </c>
      <c r="BV105" s="180" t="n">
        <f aca="false">BV104+BO105-BP105</f>
        <v>150000</v>
      </c>
      <c r="BW105" s="180" t="n">
        <f aca="false">BW104+BT105</f>
        <v>0</v>
      </c>
      <c r="BX105" s="180" t="n">
        <f aca="false">BU105+BW105-BV105</f>
        <v>68054.5233311467</v>
      </c>
      <c r="BY105" s="180" t="n">
        <f aca="false">MAX(0,IFERROR(INDEX(TAB_IR,MATCH($C105,TAB_IR_DIAS,1),MATCH($F$8,TAB_IR_REGIMES,0)),0)*IF($F$26=2,BU105,MAX(0,BX105))-BW105)</f>
        <v>65416.356999344</v>
      </c>
      <c r="BZ105" s="181" t="n">
        <f aca="false">MAX(0,BU105-BY105-BU105*$F$25)</f>
        <v>152638.166331803</v>
      </c>
      <c r="CA105" s="180" t="n">
        <f aca="false">BZ105/$D105</f>
        <v>132192.727299388</v>
      </c>
      <c r="CC105" s="180" t="n">
        <f aca="false">CJ104</f>
        <v>196857.978290427</v>
      </c>
      <c r="CD105" s="180" t="n">
        <f aca="false">IF($G$9=0,0,IF($A105&gt;IN_PRAZO,0,IF(APORTE_CORRIGIDO="Sim",IN_APORTE*$D105,IN_APORTE))+IF(AND($G$35=1,PGBL_REINVESTE="Sim",$A105&gt;=13,$A105&lt;=IN_PRAZO,MONTH($B105)=5),PGBL_BENEFICIO,0))</f>
        <v>0</v>
      </c>
      <c r="CE105" s="180" t="n">
        <f aca="false">CD105*$G$24</f>
        <v>0</v>
      </c>
      <c r="CF105" s="180" t="n">
        <f aca="false">CC105*$G$19</f>
        <v>1605.81490886691</v>
      </c>
      <c r="CG105" s="180" t="n">
        <f aca="false">CC105*$G$22</f>
        <v>164.048315242022</v>
      </c>
      <c r="CH105" s="180" t="n">
        <f aca="false">$G$23*MAX(0,CF105-CC105*$G$18)</f>
        <v>0</v>
      </c>
      <c r="CI105" s="180" t="n">
        <f aca="false">IF(AND($G$27=1,OR(MONTH($B105)=5,MONTH($B105)=11)),MAX(0,$G$28*MAX(0,(CC105+CF105-CG105-CH105+CD105-CE105)+CL104-CK105)-CL104),0)</f>
        <v>0</v>
      </c>
      <c r="CJ105" s="181" t="n">
        <f aca="false">CC105+CF105-CG105-CH105+CD105-CE105-CI105</f>
        <v>198299.744884052</v>
      </c>
      <c r="CK105" s="180" t="n">
        <f aca="false">CK104+CD105-CE105</f>
        <v>150000</v>
      </c>
      <c r="CL105" s="180" t="n">
        <f aca="false">CL104+CI105</f>
        <v>7269.70204059412</v>
      </c>
      <c r="CM105" s="180" t="n">
        <f aca="false">CJ105+CL105-CK105</f>
        <v>55569.4469246457</v>
      </c>
      <c r="CN105" s="180" t="n">
        <f aca="false">MAX(0,IFERROR(INDEX(TAB_IR,MATCH($C105,TAB_IR_DIAS,1),MATCH($G$8,TAB_IR_REGIMES,0)),0)*IF($G$26=2,CJ105,MAX(0,CM105))-CL105)</f>
        <v>1065.71499810273</v>
      </c>
      <c r="CO105" s="181" t="n">
        <f aca="false">MAX(0,CJ105-CN105-CJ105*$G$25)</f>
        <v>197234.029885949</v>
      </c>
      <c r="CP105" s="180" t="n">
        <f aca="false">CO105/$D105</f>
        <v>170815.104462115</v>
      </c>
    </row>
    <row r="106" customFormat="false" ht="12" hidden="false" customHeight="true" outlineLevel="0" collapsed="false">
      <c r="A106" s="177" t="n">
        <v>45</v>
      </c>
      <c r="B106" s="178" t="n">
        <f aca="false">EDATE(DATA_INICIO,$A106)</f>
        <v>47626</v>
      </c>
      <c r="C106" s="177" t="n">
        <f aca="false">$A106*30</f>
        <v>1350</v>
      </c>
      <c r="D106" s="179" t="n">
        <f aca="false">(1+IPCA_CENARIO)^($A106/12)</f>
        <v>1.15844394088626</v>
      </c>
      <c r="F106" s="180" t="n">
        <f aca="false">M105</f>
        <v>225632.778587657</v>
      </c>
      <c r="G106" s="180" t="n">
        <f aca="false">IF($B$9=0,0,IF($A106&gt;IN_PRAZO,0,IF(APORTE_CORRIGIDO="Sim",IN_APORTE*$D106,IN_APORTE))+IF(AND($B$35=1,PGBL_REINVESTE="Sim",$A106&gt;=13,$A106&lt;=IN_PRAZO,MONTH($B106)=5),PGBL_BENEFICIO,0))</f>
        <v>0</v>
      </c>
      <c r="H106" s="180" t="n">
        <f aca="false">G106*$B$24</f>
        <v>0</v>
      </c>
      <c r="I106" s="180" t="n">
        <f aca="false">F106*$B$19</f>
        <v>2140.98271527291</v>
      </c>
      <c r="J106" s="180" t="n">
        <f aca="false">F106*$B$22</f>
        <v>37.6054630979429</v>
      </c>
      <c r="K106" s="180" t="n">
        <f aca="false">$B$23*MAX(0,I106-F106*$B$18)</f>
        <v>0</v>
      </c>
      <c r="L106" s="180" t="n">
        <f aca="false">IF(AND($B$27=1,OR(MONTH($B106)=5,MONTH($B106)=11)),MAX(0,$B$28*MAX(0,(F106+I106-J106-K106+G106-H106)+O105-N106)-O105),0)</f>
        <v>0</v>
      </c>
      <c r="M106" s="181" t="n">
        <f aca="false">F106+I106-J106-K106+G106-H106-L106</f>
        <v>227736.155839832</v>
      </c>
      <c r="N106" s="180" t="n">
        <f aca="false">N105+G106-H106</f>
        <v>150000</v>
      </c>
      <c r="O106" s="180" t="n">
        <f aca="false">O105+L106</f>
        <v>0</v>
      </c>
      <c r="P106" s="180" t="n">
        <f aca="false">M106+O106-N106</f>
        <v>77736.1558398324</v>
      </c>
      <c r="Q106" s="180" t="n">
        <f aca="false">MAX(0,IFERROR(INDEX(TAB_IR,MATCH($C106,TAB_IR_DIAS,1),MATCH($B$8,TAB_IR_REGIMES,0)),0)*IF($B$26=2,M106,MAX(0,P106))-O106)</f>
        <v>11660.4233759749</v>
      </c>
      <c r="R106" s="181" t="n">
        <f aca="false">MAX(0,M106-Q106-M106*$B$25)</f>
        <v>216075.732463858</v>
      </c>
      <c r="S106" s="180" t="n">
        <f aca="false">R106/$D106</f>
        <v>186522.389938481</v>
      </c>
      <c r="U106" s="180" t="n">
        <f aca="false">AB105</f>
        <v>212900.014446904</v>
      </c>
      <c r="V106" s="180" t="n">
        <f aca="false">IF($C$9=0,0,IF($A106&gt;IN_PRAZO,0,IF(APORTE_CORRIGIDO="Sim",IN_APORTE*$D106,IN_APORTE))+IF(AND($C$35=1,PGBL_REINVESTE="Sim",$A106&gt;=13,$A106&lt;=IN_PRAZO,MONTH($B106)=5),PGBL_BENEFICIO,0))</f>
        <v>0</v>
      </c>
      <c r="W106" s="180" t="n">
        <f aca="false">V106*$C$24</f>
        <v>0</v>
      </c>
      <c r="X106" s="180" t="n">
        <f aca="false">U106*$C$19</f>
        <v>1736.6734143355</v>
      </c>
      <c r="Y106" s="180" t="n">
        <f aca="false">U106*$C$22</f>
        <v>35.4833357411506</v>
      </c>
      <c r="Z106" s="180" t="n">
        <f aca="false">$C$23*MAX(0,X106-U106*$C$18)</f>
        <v>0</v>
      </c>
      <c r="AA106" s="180" t="n">
        <f aca="false">IF(AND($C$27=1,OR(MONTH($B106)=5,MONTH($B106)=11)),MAX(0,$C$28*MAX(0,(U106+X106-Y106-Z106+V106-W106)+AD105-AC106)-AD105),0)</f>
        <v>0</v>
      </c>
      <c r="AB106" s="181" t="n">
        <f aca="false">U106+X106-Y106-Z106+V106-W106-AA106</f>
        <v>214601.204525498</v>
      </c>
      <c r="AC106" s="180" t="n">
        <f aca="false">AC105+V106-W106</f>
        <v>150000</v>
      </c>
      <c r="AD106" s="180" t="n">
        <f aca="false">AD105+AA106</f>
        <v>0</v>
      </c>
      <c r="AE106" s="180" t="n">
        <f aca="false">AB106+AD106-AC106</f>
        <v>64601.2045254979</v>
      </c>
      <c r="AF106" s="180" t="n">
        <f aca="false">MAX(0,IFERROR(INDEX(TAB_IR,MATCH($C106,TAB_IR_DIAS,1),MATCH($C$8,TAB_IR_REGIMES,0)),0)*IF($C$26=2,AB106,MAX(0,AE106))-AD106)</f>
        <v>9690.18067882469</v>
      </c>
      <c r="AG106" s="181" t="n">
        <f aca="false">MAX(0,AB106-AF106-AB106*$C$25)</f>
        <v>204911.023846673</v>
      </c>
      <c r="AH106" s="180" t="n">
        <f aca="false">AG106/$D106</f>
        <v>176884.712858792</v>
      </c>
      <c r="AJ106" s="180" t="n">
        <f aca="false">AQ105</f>
        <v>204677.665057541</v>
      </c>
      <c r="AK106" s="180" t="n">
        <f aca="false">IF($D$9=0,0,IF($A106&gt;IN_PRAZO,0,IF(APORTE_CORRIGIDO="Sim",IN_APORTE*$D106,IN_APORTE))+IF(AND($D$35=1,PGBL_REINVESTE="Sim",$A106&gt;=13,$A106&lt;=IN_PRAZO,MONTH($B106)=5),PGBL_BENEFICIO,0))</f>
        <v>0</v>
      </c>
      <c r="AL106" s="180" t="n">
        <f aca="false">AK106*$D$24</f>
        <v>0</v>
      </c>
      <c r="AM106" s="180" t="n">
        <f aca="false">AJ106*$D$19</f>
        <v>1839.7855240107</v>
      </c>
      <c r="AN106" s="180" t="n">
        <f aca="false">AJ106*$D$22</f>
        <v>170.564720881284</v>
      </c>
      <c r="AO106" s="180" t="n">
        <f aca="false">$D$23*MAX(0,AM106-AJ106*$D$18)</f>
        <v>0</v>
      </c>
      <c r="AP106" s="180" t="n">
        <f aca="false">IF(AND($D$27=1,OR(MONTH($B106)=5,MONTH($B106)=11)),MAX(0,$D$28*MAX(0,(AJ106+AM106-AN106-AO106+AK106-AL106)+AS105-AR106)-AS105),0)</f>
        <v>1472.24272646319</v>
      </c>
      <c r="AQ106" s="181" t="n">
        <f aca="false">AJ106+AM106-AN106-AO106+AK106-AL106-AP106</f>
        <v>204874.643134207</v>
      </c>
      <c r="AR106" s="180" t="n">
        <f aca="false">AR105+AK106-AL106</f>
        <v>150000</v>
      </c>
      <c r="AS106" s="180" t="n">
        <f aca="false">AS105+AP106</f>
        <v>9683.76055309538</v>
      </c>
      <c r="AT106" s="180" t="n">
        <f aca="false">AQ106+AS106-AR106</f>
        <v>64558.4036873025</v>
      </c>
      <c r="AU106" s="180" t="n">
        <f aca="false">MAX(0,IFERROR(INDEX(TAB_IR,MATCH($C106,TAB_IR_DIAS,1),MATCH($D$8,TAB_IR_REGIMES,0)),0)*IF($D$26=2,AQ106,MAX(0,AT106))-AS106)</f>
        <v>0</v>
      </c>
      <c r="AV106" s="181" t="n">
        <f aca="false">MAX(0,AQ106-AU106-AQ106*$D$25)</f>
        <v>204874.643134207</v>
      </c>
      <c r="AW106" s="180" t="n">
        <f aca="false">AV106/$D106</f>
        <v>176853.308048268</v>
      </c>
      <c r="AY106" s="180" t="n">
        <f aca="false">BF105</f>
        <v>218054.523331147</v>
      </c>
      <c r="AZ106" s="180" t="n">
        <f aca="false">IF($E$9=0,0,IF($A106&gt;IN_PRAZO,0,IF(APORTE_CORRIGIDO="Sim",IN_APORTE*$D106,IN_APORTE))+IF(AND($E$35=1,PGBL_REINVESTE="Sim",$A106&gt;=13,$A106&lt;=IN_PRAZO,MONTH($B106)=5),PGBL_BENEFICIO,0))</f>
        <v>0</v>
      </c>
      <c r="BA106" s="180" t="n">
        <f aca="false">AZ106*$E$24</f>
        <v>0</v>
      </c>
      <c r="BB106" s="180" t="n">
        <f aca="false">AY106*$E$19</f>
        <v>2134.48020135426</v>
      </c>
      <c r="BC106" s="180" t="n">
        <f aca="false">AY106*$E$22</f>
        <v>272.568154163933</v>
      </c>
      <c r="BD106" s="180" t="n">
        <f aca="false">$E$23*MAX(0,BB106-AY106*$E$18)</f>
        <v>0</v>
      </c>
      <c r="BE106" s="180" t="n">
        <f aca="false">IF(AND($E$27=1,OR(MONTH($B106)=5,MONTH($B106)=11)),MAX(0,$E$28*MAX(0,(AY106+BB106-BC106-BD106+AZ106-BA106)+BH105-BG106)-BH105),0)</f>
        <v>0</v>
      </c>
      <c r="BF106" s="181" t="n">
        <f aca="false">AY106+BB106-BC106-BD106+AZ106-BA106-BE106</f>
        <v>219916.435378337</v>
      </c>
      <c r="BG106" s="180" t="n">
        <f aca="false">BG105+AZ106-BA106</f>
        <v>150000</v>
      </c>
      <c r="BH106" s="180" t="n">
        <f aca="false">BH105+BE106</f>
        <v>0</v>
      </c>
      <c r="BI106" s="180" t="n">
        <f aca="false">BF106+BH106-BG106</f>
        <v>69916.435378337</v>
      </c>
      <c r="BJ106" s="180" t="n">
        <f aca="false">MAX(0,IFERROR(INDEX(TAB_IR,MATCH($C106,TAB_IR_DIAS,1),MATCH($E$8,TAB_IR_REGIMES,0)),0)*IF($E$26=2,BF106,MAX(0,BI106))-BH106)</f>
        <v>20974.9306135011</v>
      </c>
      <c r="BK106" s="181" t="n">
        <f aca="false">MAX(0,BF106-BJ106-BF106*$E$25)</f>
        <v>198941.504764836</v>
      </c>
      <c r="BL106" s="180" t="n">
        <f aca="false">BK106/$D106</f>
        <v>171731.663262564</v>
      </c>
      <c r="BN106" s="180" t="n">
        <f aca="false">BU105</f>
        <v>218054.523331147</v>
      </c>
      <c r="BO106" s="180" t="n">
        <f aca="false">IF($F$9=0,0,IF($A106&gt;IN_PRAZO,0,IF(APORTE_CORRIGIDO="Sim",IN_APORTE*$D106,IN_APORTE))+IF(AND($F$35=1,PGBL_REINVESTE="Sim",$A106&gt;=13,$A106&lt;=IN_PRAZO,MONTH($B106)=5),PGBL_BENEFICIO,0))</f>
        <v>0</v>
      </c>
      <c r="BP106" s="180" t="n">
        <f aca="false">BO106*$F$24</f>
        <v>0</v>
      </c>
      <c r="BQ106" s="180" t="n">
        <f aca="false">BN106*$F$19</f>
        <v>2134.48020135426</v>
      </c>
      <c r="BR106" s="180" t="n">
        <f aca="false">BN106*$F$22</f>
        <v>272.568154163933</v>
      </c>
      <c r="BS106" s="180" t="n">
        <f aca="false">$F$23*MAX(0,BQ106-BN106*$F$18)</f>
        <v>0</v>
      </c>
      <c r="BT106" s="180" t="n">
        <f aca="false">IF(AND($F$27=1,OR(MONTH($B106)=5,MONTH($B106)=11)),MAX(0,$F$28*MAX(0,(BN106+BQ106-BR106-BS106+BO106-BP106)+BW105-BV106)-BW105),0)</f>
        <v>0</v>
      </c>
      <c r="BU106" s="181" t="n">
        <f aca="false">BN106+BQ106-BR106-BS106+BO106-BP106-BT106</f>
        <v>219916.435378337</v>
      </c>
      <c r="BV106" s="180" t="n">
        <f aca="false">BV105+BO106-BP106</f>
        <v>150000</v>
      </c>
      <c r="BW106" s="180" t="n">
        <f aca="false">BW105+BT106</f>
        <v>0</v>
      </c>
      <c r="BX106" s="180" t="n">
        <f aca="false">BU106+BW106-BV106</f>
        <v>69916.435378337</v>
      </c>
      <c r="BY106" s="180" t="n">
        <f aca="false">MAX(0,IFERROR(INDEX(TAB_IR,MATCH($C106,TAB_IR_DIAS,1),MATCH($F$8,TAB_IR_REGIMES,0)),0)*IF($F$26=2,BU106,MAX(0,BX106))-BW106)</f>
        <v>65974.9306135011</v>
      </c>
      <c r="BZ106" s="181" t="n">
        <f aca="false">MAX(0,BU106-BY106-BU106*$F$25)</f>
        <v>153941.504764836</v>
      </c>
      <c r="CA106" s="180" t="n">
        <f aca="false">BZ106/$D106</f>
        <v>132886.451671597</v>
      </c>
      <c r="CC106" s="180" t="n">
        <f aca="false">CJ105</f>
        <v>198299.744884052</v>
      </c>
      <c r="CD106" s="180" t="n">
        <f aca="false">IF($G$9=0,0,IF($A106&gt;IN_PRAZO,0,IF(APORTE_CORRIGIDO="Sim",IN_APORTE*$D106,IN_APORTE))+IF(AND($G$35=1,PGBL_REINVESTE="Sim",$A106&gt;=13,$A106&lt;=IN_PRAZO,MONTH($B106)=5),PGBL_BENEFICIO,0))</f>
        <v>0</v>
      </c>
      <c r="CE106" s="180" t="n">
        <f aca="false">CD106*$G$24</f>
        <v>0</v>
      </c>
      <c r="CF106" s="180" t="n">
        <f aca="false">CC106*$G$19</f>
        <v>1617.57572400509</v>
      </c>
      <c r="CG106" s="180" t="n">
        <f aca="false">CC106*$G$22</f>
        <v>165.249787403376</v>
      </c>
      <c r="CH106" s="180" t="n">
        <f aca="false">$G$23*MAX(0,CF106-CC106*$G$18)</f>
        <v>0</v>
      </c>
      <c r="CI106" s="180" t="n">
        <f aca="false">IF(AND($G$27=1,OR(MONTH($B106)=5,MONTH($B106)=11)),MAX(0,$G$28*MAX(0,(CC106+CF106-CG106-CH106+CD106-CE106)+CL105-CK106)-CL105),0)</f>
        <v>1283.56388859299</v>
      </c>
      <c r="CJ106" s="181" t="n">
        <f aca="false">CC106+CF106-CG106-CH106+CD106-CE106-CI106</f>
        <v>198468.50693206</v>
      </c>
      <c r="CK106" s="180" t="n">
        <f aca="false">CK105+CD106-CE106</f>
        <v>150000</v>
      </c>
      <c r="CL106" s="180" t="n">
        <f aca="false">CL105+CI106</f>
        <v>8553.26592918711</v>
      </c>
      <c r="CM106" s="180" t="n">
        <f aca="false">CJ106+CL106-CK106</f>
        <v>57021.7728612474</v>
      </c>
      <c r="CN106" s="180" t="n">
        <f aca="false">MAX(0,IFERROR(INDEX(TAB_IR,MATCH($C106,TAB_IR_DIAS,1),MATCH($G$8,TAB_IR_REGIMES,0)),0)*IF($G$26=2,CJ106,MAX(0,CM106))-CL106)</f>
        <v>0</v>
      </c>
      <c r="CO106" s="181" t="n">
        <f aca="false">MAX(0,CJ106-CN106-CJ106*$G$25)</f>
        <v>198468.50693206</v>
      </c>
      <c r="CP106" s="180" t="n">
        <f aca="false">CO106/$D106</f>
        <v>171323.358798203</v>
      </c>
    </row>
    <row r="107" customFormat="false" ht="12" hidden="false" customHeight="true" outlineLevel="0" collapsed="false">
      <c r="A107" s="177" t="n">
        <v>46</v>
      </c>
      <c r="B107" s="178" t="n">
        <f aca="false">EDATE(DATA_INICIO,$A107)</f>
        <v>47657</v>
      </c>
      <c r="C107" s="177" t="n">
        <f aca="false">$A107*30</f>
        <v>1380</v>
      </c>
      <c r="D107" s="179" t="n">
        <f aca="false">(1+IPCA_CENARIO)^($A107/12)</f>
        <v>1.16223638490098</v>
      </c>
      <c r="F107" s="180" t="n">
        <f aca="false">M106</f>
        <v>227736.155839832</v>
      </c>
      <c r="G107" s="180" t="n">
        <f aca="false">IF($B$9=0,0,IF($A107&gt;IN_PRAZO,0,IF(APORTE_CORRIGIDO="Sim",IN_APORTE*$D107,IN_APORTE))+IF(AND($B$35=1,PGBL_REINVESTE="Sim",$A107&gt;=13,$A107&lt;=IN_PRAZO,MONTH($B107)=5),PGBL_BENEFICIO,0))</f>
        <v>0</v>
      </c>
      <c r="H107" s="180" t="n">
        <f aca="false">G107*$B$24</f>
        <v>0</v>
      </c>
      <c r="I107" s="180" t="n">
        <f aca="false">F107*$B$19</f>
        <v>2160.94122648211</v>
      </c>
      <c r="J107" s="180" t="n">
        <f aca="false">F107*$B$22</f>
        <v>37.9560259733054</v>
      </c>
      <c r="K107" s="180" t="n">
        <f aca="false">$B$23*MAX(0,I107-F107*$B$18)</f>
        <v>0</v>
      </c>
      <c r="L107" s="180" t="n">
        <f aca="false">IF(AND($B$27=1,OR(MONTH($B107)=5,MONTH($B107)=11)),MAX(0,$B$28*MAX(0,(F107+I107-J107-K107+G107-H107)+O106-N107)-O106),0)</f>
        <v>0</v>
      </c>
      <c r="M107" s="181" t="n">
        <f aca="false">F107+I107-J107-K107+G107-H107-L107</f>
        <v>229859.141040341</v>
      </c>
      <c r="N107" s="180" t="n">
        <f aca="false">N106+G107-H107</f>
        <v>150000</v>
      </c>
      <c r="O107" s="180" t="n">
        <f aca="false">O106+L107</f>
        <v>0</v>
      </c>
      <c r="P107" s="180" t="n">
        <f aca="false">M107+O107-N107</f>
        <v>79859.1410403412</v>
      </c>
      <c r="Q107" s="180" t="n">
        <f aca="false">MAX(0,IFERROR(INDEX(TAB_IR,MATCH($C107,TAB_IR_DIAS,1),MATCH($B$8,TAB_IR_REGIMES,0)),0)*IF($B$26=2,M107,MAX(0,P107))-O107)</f>
        <v>11978.8711560512</v>
      </c>
      <c r="R107" s="181" t="n">
        <f aca="false">MAX(0,M107-Q107-M107*$B$25)</f>
        <v>217880.26988429</v>
      </c>
      <c r="S107" s="180" t="n">
        <f aca="false">R107/$D107</f>
        <v>187466.399017315</v>
      </c>
      <c r="U107" s="180" t="n">
        <f aca="false">AB106</f>
        <v>214601.204525498</v>
      </c>
      <c r="V107" s="180" t="n">
        <f aca="false">IF($C$9=0,0,IF($A107&gt;IN_PRAZO,0,IF(APORTE_CORRIGIDO="Sim",IN_APORTE*$D107,IN_APORTE))+IF(AND($C$35=1,PGBL_REINVESTE="Sim",$A107&gt;=13,$A107&lt;=IN_PRAZO,MONTH($B107)=5),PGBL_BENEFICIO,0))</f>
        <v>0</v>
      </c>
      <c r="W107" s="180" t="n">
        <f aca="false">V107*$C$24</f>
        <v>0</v>
      </c>
      <c r="X107" s="180" t="n">
        <f aca="false">U107*$C$19</f>
        <v>1750.55040532538</v>
      </c>
      <c r="Y107" s="180" t="n">
        <f aca="false">U107*$C$22</f>
        <v>35.7668674209163</v>
      </c>
      <c r="Z107" s="180" t="n">
        <f aca="false">$C$23*MAX(0,X107-U107*$C$18)</f>
        <v>0</v>
      </c>
      <c r="AA107" s="180" t="n">
        <f aca="false">IF(AND($C$27=1,OR(MONTH($B107)=5,MONTH($B107)=11)),MAX(0,$C$28*MAX(0,(U107+X107-Y107-Z107+V107-W107)+AD106-AC107)-AD106),0)</f>
        <v>0</v>
      </c>
      <c r="AB107" s="181" t="n">
        <f aca="false">U107+X107-Y107-Z107+V107-W107-AA107</f>
        <v>216315.988063402</v>
      </c>
      <c r="AC107" s="180" t="n">
        <f aca="false">AC106+V107-W107</f>
        <v>150000</v>
      </c>
      <c r="AD107" s="180" t="n">
        <f aca="false">AD106+AA107</f>
        <v>0</v>
      </c>
      <c r="AE107" s="180" t="n">
        <f aca="false">AB107+AD107-AC107</f>
        <v>66315.9880634024</v>
      </c>
      <c r="AF107" s="180" t="n">
        <f aca="false">MAX(0,IFERROR(INDEX(TAB_IR,MATCH($C107,TAB_IR_DIAS,1),MATCH($C$8,TAB_IR_REGIMES,0)),0)*IF($C$26=2,AB107,MAX(0,AE107))-AD107)</f>
        <v>9947.39820951036</v>
      </c>
      <c r="AG107" s="181" t="n">
        <f aca="false">MAX(0,AB107-AF107-AB107*$C$25)</f>
        <v>206368.589853892</v>
      </c>
      <c r="AH107" s="180" t="n">
        <f aca="false">AG107/$D107</f>
        <v>177561.632499978</v>
      </c>
      <c r="AJ107" s="180" t="n">
        <f aca="false">AQ106</f>
        <v>204874.643134207</v>
      </c>
      <c r="AK107" s="180" t="n">
        <f aca="false">IF($D$9=0,0,IF($A107&gt;IN_PRAZO,0,IF(APORTE_CORRIGIDO="Sim",IN_APORTE*$D107,IN_APORTE))+IF(AND($D$35=1,PGBL_REINVESTE="Sim",$A107&gt;=13,$A107&lt;=IN_PRAZO,MONTH($B107)=5),PGBL_BENEFICIO,0))</f>
        <v>0</v>
      </c>
      <c r="AL107" s="180" t="n">
        <f aca="false">AK107*$D$24</f>
        <v>0</v>
      </c>
      <c r="AM107" s="180" t="n">
        <f aca="false">AJ107*$D$19</f>
        <v>1841.55610026725</v>
      </c>
      <c r="AN107" s="180" t="n">
        <f aca="false">AJ107*$D$22</f>
        <v>170.728869278506</v>
      </c>
      <c r="AO107" s="180" t="n">
        <f aca="false">$D$23*MAX(0,AM107-AJ107*$D$18)</f>
        <v>0</v>
      </c>
      <c r="AP107" s="180" t="n">
        <f aca="false">IF(AND($D$27=1,OR(MONTH($B107)=5,MONTH($B107)=11)),MAX(0,$D$28*MAX(0,(AJ107+AM107-AN107-AO107+AK107-AL107)+AS106-AR107)-AS106),0)</f>
        <v>0</v>
      </c>
      <c r="AQ107" s="181" t="n">
        <f aca="false">AJ107+AM107-AN107-AO107+AK107-AL107-AP107</f>
        <v>206545.470365196</v>
      </c>
      <c r="AR107" s="180" t="n">
        <f aca="false">AR106+AK107-AL107</f>
        <v>150000</v>
      </c>
      <c r="AS107" s="180" t="n">
        <f aca="false">AS106+AP107</f>
        <v>9683.76055309538</v>
      </c>
      <c r="AT107" s="180" t="n">
        <f aca="false">AQ107+AS107-AR107</f>
        <v>66229.2309182913</v>
      </c>
      <c r="AU107" s="180" t="n">
        <f aca="false">MAX(0,IFERROR(INDEX(TAB_IR,MATCH($C107,TAB_IR_DIAS,1),MATCH($D$8,TAB_IR_REGIMES,0)),0)*IF($D$26=2,AQ107,MAX(0,AT107))-AS107)</f>
        <v>250.624084648311</v>
      </c>
      <c r="AV107" s="181" t="n">
        <f aca="false">MAX(0,AQ107-AU107-AQ107*$D$25)</f>
        <v>206294.846280548</v>
      </c>
      <c r="AW107" s="180" t="n">
        <f aca="false">AV107/$D107</f>
        <v>177498.18277985</v>
      </c>
      <c r="AY107" s="180" t="n">
        <f aca="false">BF106</f>
        <v>219916.435378337</v>
      </c>
      <c r="AZ107" s="180" t="n">
        <f aca="false">IF($E$9=0,0,IF($A107&gt;IN_PRAZO,0,IF(APORTE_CORRIGIDO="Sim",IN_APORTE*$D107,IN_APORTE))+IF(AND($E$35=1,PGBL_REINVESTE="Sim",$A107&gt;=13,$A107&lt;=IN_PRAZO,MONTH($B107)=5),PGBL_BENEFICIO,0))</f>
        <v>0</v>
      </c>
      <c r="BA107" s="180" t="n">
        <f aca="false">AZ107*$E$24</f>
        <v>0</v>
      </c>
      <c r="BB107" s="180" t="n">
        <f aca="false">AY107*$E$19</f>
        <v>2152.70598424873</v>
      </c>
      <c r="BC107" s="180" t="n">
        <f aca="false">AY107*$E$22</f>
        <v>274.895544222921</v>
      </c>
      <c r="BD107" s="180" t="n">
        <f aca="false">$E$23*MAX(0,BB107-AY107*$E$18)</f>
        <v>0</v>
      </c>
      <c r="BE107" s="180" t="n">
        <f aca="false">IF(AND($E$27=1,OR(MONTH($B107)=5,MONTH($B107)=11)),MAX(0,$E$28*MAX(0,(AY107+BB107-BC107-BD107+AZ107-BA107)+BH106-BG107)-BH106),0)</f>
        <v>0</v>
      </c>
      <c r="BF107" s="181" t="n">
        <f aca="false">AY107+BB107-BC107-BD107+AZ107-BA107-BE107</f>
        <v>221794.245818363</v>
      </c>
      <c r="BG107" s="180" t="n">
        <f aca="false">BG106+AZ107-BA107</f>
        <v>150000</v>
      </c>
      <c r="BH107" s="180" t="n">
        <f aca="false">BH106+BE107</f>
        <v>0</v>
      </c>
      <c r="BI107" s="180" t="n">
        <f aca="false">BF107+BH107-BG107</f>
        <v>71794.2458183628</v>
      </c>
      <c r="BJ107" s="180" t="n">
        <f aca="false">MAX(0,IFERROR(INDEX(TAB_IR,MATCH($C107,TAB_IR_DIAS,1),MATCH($E$8,TAB_IR_REGIMES,0)),0)*IF($E$26=2,BF107,MAX(0,BI107))-BH107)</f>
        <v>21538.2737455088</v>
      </c>
      <c r="BK107" s="181" t="n">
        <f aca="false">MAX(0,BF107-BJ107-BF107*$E$25)</f>
        <v>200255.972072854</v>
      </c>
      <c r="BL107" s="180" t="n">
        <f aca="false">BK107/$D107</f>
        <v>172302.274024844</v>
      </c>
      <c r="BN107" s="180" t="n">
        <f aca="false">BU106</f>
        <v>219916.435378337</v>
      </c>
      <c r="BO107" s="180" t="n">
        <f aca="false">IF($F$9=0,0,IF($A107&gt;IN_PRAZO,0,IF(APORTE_CORRIGIDO="Sim",IN_APORTE*$D107,IN_APORTE))+IF(AND($F$35=1,PGBL_REINVESTE="Sim",$A107&gt;=13,$A107&lt;=IN_PRAZO,MONTH($B107)=5),PGBL_BENEFICIO,0))</f>
        <v>0</v>
      </c>
      <c r="BP107" s="180" t="n">
        <f aca="false">BO107*$F$24</f>
        <v>0</v>
      </c>
      <c r="BQ107" s="180" t="n">
        <f aca="false">BN107*$F$19</f>
        <v>2152.70598424873</v>
      </c>
      <c r="BR107" s="180" t="n">
        <f aca="false">BN107*$F$22</f>
        <v>274.895544222921</v>
      </c>
      <c r="BS107" s="180" t="n">
        <f aca="false">$F$23*MAX(0,BQ107-BN107*$F$18)</f>
        <v>0</v>
      </c>
      <c r="BT107" s="180" t="n">
        <f aca="false">IF(AND($F$27=1,OR(MONTH($B107)=5,MONTH($B107)=11)),MAX(0,$F$28*MAX(0,(BN107+BQ107-BR107-BS107+BO107-BP107)+BW106-BV107)-BW106),0)</f>
        <v>0</v>
      </c>
      <c r="BU107" s="181" t="n">
        <f aca="false">BN107+BQ107-BR107-BS107+BO107-BP107-BT107</f>
        <v>221794.245818363</v>
      </c>
      <c r="BV107" s="180" t="n">
        <f aca="false">BV106+BO107-BP107</f>
        <v>150000</v>
      </c>
      <c r="BW107" s="180" t="n">
        <f aca="false">BW106+BT107</f>
        <v>0</v>
      </c>
      <c r="BX107" s="180" t="n">
        <f aca="false">BU107+BW107-BV107</f>
        <v>71794.2458183628</v>
      </c>
      <c r="BY107" s="180" t="n">
        <f aca="false">MAX(0,IFERROR(INDEX(TAB_IR,MATCH($C107,TAB_IR_DIAS,1),MATCH($F$8,TAB_IR_REGIMES,0)),0)*IF($F$26=2,BU107,MAX(0,BX107))-BW107)</f>
        <v>66538.2737455088</v>
      </c>
      <c r="BZ107" s="181" t="n">
        <f aca="false">MAX(0,BU107-BY107-BU107*$F$25)</f>
        <v>155255.972072854</v>
      </c>
      <c r="CA107" s="180" t="n">
        <f aca="false">BZ107/$D107</f>
        <v>133583.816588293</v>
      </c>
      <c r="CC107" s="180" t="n">
        <f aca="false">CJ106</f>
        <v>198468.50693206</v>
      </c>
      <c r="CD107" s="180" t="n">
        <f aca="false">IF($G$9=0,0,IF($A107&gt;IN_PRAZO,0,IF(APORTE_CORRIGIDO="Sim",IN_APORTE*$D107,IN_APORTE))+IF(AND($G$35=1,PGBL_REINVESTE="Sim",$A107&gt;=13,$A107&lt;=IN_PRAZO,MONTH($B107)=5),PGBL_BENEFICIO,0))</f>
        <v>0</v>
      </c>
      <c r="CE107" s="180" t="n">
        <f aca="false">CD107*$G$24</f>
        <v>0</v>
      </c>
      <c r="CF107" s="180" t="n">
        <f aca="false">CC107*$G$19</f>
        <v>1618.95235407666</v>
      </c>
      <c r="CG107" s="180" t="n">
        <f aca="false">CC107*$G$22</f>
        <v>165.390422443384</v>
      </c>
      <c r="CH107" s="180" t="n">
        <f aca="false">$G$23*MAX(0,CF107-CC107*$G$18)</f>
        <v>0</v>
      </c>
      <c r="CI107" s="180" t="n">
        <f aca="false">IF(AND($G$27=1,OR(MONTH($B107)=5,MONTH($B107)=11)),MAX(0,$G$28*MAX(0,(CC107+CF107-CG107-CH107+CD107-CE107)+CL106-CK107)-CL106),0)</f>
        <v>0</v>
      </c>
      <c r="CJ107" s="181" t="n">
        <f aca="false">CC107+CF107-CG107-CH107+CD107-CE107-CI107</f>
        <v>199922.068863694</v>
      </c>
      <c r="CK107" s="180" t="n">
        <f aca="false">CK106+CD107-CE107</f>
        <v>150000</v>
      </c>
      <c r="CL107" s="180" t="n">
        <f aca="false">CL106+CI107</f>
        <v>8553.26592918711</v>
      </c>
      <c r="CM107" s="180" t="n">
        <f aca="false">CJ107+CL107-CK107</f>
        <v>58475.3347928807</v>
      </c>
      <c r="CN107" s="180" t="n">
        <f aca="false">MAX(0,IFERROR(INDEX(TAB_IR,MATCH($C107,TAB_IR_DIAS,1),MATCH($G$8,TAB_IR_REGIMES,0)),0)*IF($G$26=2,CJ107,MAX(0,CM107))-CL107)</f>
        <v>218.034289744992</v>
      </c>
      <c r="CO107" s="181" t="n">
        <f aca="false">MAX(0,CJ107-CN107-CJ107*$G$25)</f>
        <v>199704.034573949</v>
      </c>
      <c r="CP107" s="180" t="n">
        <f aca="false">CO107/$D107</f>
        <v>171827.3813902</v>
      </c>
    </row>
    <row r="108" customFormat="false" ht="12" hidden="false" customHeight="true" outlineLevel="0" collapsed="false">
      <c r="A108" s="177" t="n">
        <v>47</v>
      </c>
      <c r="B108" s="178" t="n">
        <f aca="false">EDATE(DATA_INICIO,$A108)</f>
        <v>47687</v>
      </c>
      <c r="C108" s="177" t="n">
        <f aca="false">$A108*30</f>
        <v>1410</v>
      </c>
      <c r="D108" s="179" t="n">
        <f aca="false">(1+IPCA_CENARIO)^($A108/12)</f>
        <v>1.16604124439055</v>
      </c>
      <c r="F108" s="180" t="n">
        <f aca="false">M107</f>
        <v>229859.141040341</v>
      </c>
      <c r="G108" s="180" t="n">
        <f aca="false">IF($B$9=0,0,IF($A108&gt;IN_PRAZO,0,IF(APORTE_CORRIGIDO="Sim",IN_APORTE*$D108,IN_APORTE))+IF(AND($B$35=1,PGBL_REINVESTE="Sim",$A108&gt;=13,$A108&lt;=IN_PRAZO,MONTH($B108)=5),PGBL_BENEFICIO,0))</f>
        <v>0</v>
      </c>
      <c r="H108" s="180" t="n">
        <f aca="false">G108*$B$24</f>
        <v>0</v>
      </c>
      <c r="I108" s="180" t="n">
        <f aca="false">F108*$B$19</f>
        <v>2181.08579345292</v>
      </c>
      <c r="J108" s="180" t="n">
        <f aca="false">F108*$B$22</f>
        <v>38.3098568400569</v>
      </c>
      <c r="K108" s="180" t="n">
        <f aca="false">$B$23*MAX(0,I108-F108*$B$18)</f>
        <v>0</v>
      </c>
      <c r="L108" s="180" t="n">
        <f aca="false">IF(AND($B$27=1,OR(MONTH($B108)=5,MONTH($B108)=11)),MAX(0,$B$28*MAX(0,(F108+I108-J108-K108+G108-H108)+O107-N108)-O107),0)</f>
        <v>0</v>
      </c>
      <c r="M108" s="181" t="n">
        <f aca="false">F108+I108-J108-K108+G108-H108-L108</f>
        <v>232001.916976954</v>
      </c>
      <c r="N108" s="180" t="n">
        <f aca="false">N107+G108-H108</f>
        <v>150000</v>
      </c>
      <c r="O108" s="180" t="n">
        <f aca="false">O107+L108</f>
        <v>0</v>
      </c>
      <c r="P108" s="180" t="n">
        <f aca="false">M108+O108-N108</f>
        <v>82001.9169769541</v>
      </c>
      <c r="Q108" s="180" t="n">
        <f aca="false">MAX(0,IFERROR(INDEX(TAB_IR,MATCH($C108,TAB_IR_DIAS,1),MATCH($B$8,TAB_IR_REGIMES,0)),0)*IF($B$26=2,M108,MAX(0,P108))-O108)</f>
        <v>12300.2875465431</v>
      </c>
      <c r="R108" s="181" t="n">
        <f aca="false">MAX(0,M108-Q108-M108*$B$25)</f>
        <v>219701.629430411</v>
      </c>
      <c r="S108" s="180" t="n">
        <f aca="false">R108/$D108</f>
        <v>188416.688077994</v>
      </c>
      <c r="U108" s="180" t="n">
        <f aca="false">AB107</f>
        <v>216315.988063402</v>
      </c>
      <c r="V108" s="180" t="n">
        <f aca="false">IF($C$9=0,0,IF($A108&gt;IN_PRAZO,0,IF(APORTE_CORRIGIDO="Sim",IN_APORTE*$D108,IN_APORTE))+IF(AND($C$35=1,PGBL_REINVESTE="Sim",$A108&gt;=13,$A108&lt;=IN_PRAZO,MONTH($B108)=5),PGBL_BENEFICIO,0))</f>
        <v>0</v>
      </c>
      <c r="W108" s="180" t="n">
        <f aca="false">V108*$C$24</f>
        <v>0</v>
      </c>
      <c r="X108" s="180" t="n">
        <f aca="false">U108*$C$19</f>
        <v>1764.53828122739</v>
      </c>
      <c r="Y108" s="180" t="n">
        <f aca="false">U108*$C$22</f>
        <v>36.0526646772337</v>
      </c>
      <c r="Z108" s="180" t="n">
        <f aca="false">$C$23*MAX(0,X108-U108*$C$18)</f>
        <v>0</v>
      </c>
      <c r="AA108" s="180" t="n">
        <f aca="false">IF(AND($C$27=1,OR(MONTH($B108)=5,MONTH($B108)=11)),MAX(0,$C$28*MAX(0,(U108+X108-Y108-Z108+V108-W108)+AD107-AC108)-AD107),0)</f>
        <v>0</v>
      </c>
      <c r="AB108" s="181" t="n">
        <f aca="false">U108+X108-Y108-Z108+V108-W108-AA108</f>
        <v>218044.473679953</v>
      </c>
      <c r="AC108" s="180" t="n">
        <f aca="false">AC107+V108-W108</f>
        <v>150000</v>
      </c>
      <c r="AD108" s="180" t="n">
        <f aca="false">AD107+AA108</f>
        <v>0</v>
      </c>
      <c r="AE108" s="180" t="n">
        <f aca="false">AB108+AD108-AC108</f>
        <v>68044.4736799526</v>
      </c>
      <c r="AF108" s="180" t="n">
        <f aca="false">MAX(0,IFERROR(INDEX(TAB_IR,MATCH($C108,TAB_IR_DIAS,1),MATCH($C$8,TAB_IR_REGIMES,0)),0)*IF($C$26=2,AB108,MAX(0,AE108))-AD108)</f>
        <v>10206.6710519929</v>
      </c>
      <c r="AG108" s="181" t="n">
        <f aca="false">MAX(0,AB108-AF108-AB108*$C$25)</f>
        <v>207837.80262796</v>
      </c>
      <c r="AH108" s="180" t="n">
        <f aca="false">AG108/$D108</f>
        <v>178242.239395733</v>
      </c>
      <c r="AJ108" s="180" t="n">
        <f aca="false">AQ107</f>
        <v>206545.470365196</v>
      </c>
      <c r="AK108" s="180" t="n">
        <f aca="false">IF($D$9=0,0,IF($A108&gt;IN_PRAZO,0,IF(APORTE_CORRIGIDO="Sim",IN_APORTE*$D108,IN_APORTE))+IF(AND($D$35=1,PGBL_REINVESTE="Sim",$A108&gt;=13,$A108&lt;=IN_PRAZO,MONTH($B108)=5),PGBL_BENEFICIO,0))</f>
        <v>0</v>
      </c>
      <c r="AL108" s="180" t="n">
        <f aca="false">AK108*$D$24</f>
        <v>0</v>
      </c>
      <c r="AM108" s="180" t="n">
        <f aca="false">AJ108*$D$19</f>
        <v>1856.57466006874</v>
      </c>
      <c r="AN108" s="180" t="n">
        <f aca="false">AJ108*$D$22</f>
        <v>172.12122530433</v>
      </c>
      <c r="AO108" s="180" t="n">
        <f aca="false">$D$23*MAX(0,AM108-AJ108*$D$18)</f>
        <v>0</v>
      </c>
      <c r="AP108" s="180" t="n">
        <f aca="false">IF(AND($D$27=1,OR(MONTH($B108)=5,MONTH($B108)=11)),MAX(0,$D$28*MAX(0,(AJ108+AM108-AN108-AO108+AK108-AL108)+AS107-AR108)-AS107),0)</f>
        <v>0</v>
      </c>
      <c r="AQ108" s="181" t="n">
        <f aca="false">AJ108+AM108-AN108-AO108+AK108-AL108-AP108</f>
        <v>208229.92379996</v>
      </c>
      <c r="AR108" s="180" t="n">
        <f aca="false">AR107+AK108-AL108</f>
        <v>150000</v>
      </c>
      <c r="AS108" s="180" t="n">
        <f aca="false">AS107+AP108</f>
        <v>9683.76055309538</v>
      </c>
      <c r="AT108" s="180" t="n">
        <f aca="false">AQ108+AS108-AR108</f>
        <v>67913.6843530557</v>
      </c>
      <c r="AU108" s="180" t="n">
        <f aca="false">MAX(0,IFERROR(INDEX(TAB_IR,MATCH($C108,TAB_IR_DIAS,1),MATCH($D$8,TAB_IR_REGIMES,0)),0)*IF($D$26=2,AQ108,MAX(0,AT108))-AS108)</f>
        <v>503.292099862976</v>
      </c>
      <c r="AV108" s="181" t="n">
        <f aca="false">MAX(0,AQ108-AU108-AQ108*$D$25)</f>
        <v>207726.631700097</v>
      </c>
      <c r="AW108" s="180" t="n">
        <f aca="false">AV108/$D108</f>
        <v>178146.89891923</v>
      </c>
      <c r="AY108" s="180" t="n">
        <f aca="false">BF107</f>
        <v>221794.245818363</v>
      </c>
      <c r="AZ108" s="180" t="n">
        <f aca="false">IF($E$9=0,0,IF($A108&gt;IN_PRAZO,0,IF(APORTE_CORRIGIDO="Sim",IN_APORTE*$D108,IN_APORTE))+IF(AND($E$35=1,PGBL_REINVESTE="Sim",$A108&gt;=13,$A108&lt;=IN_PRAZO,MONTH($B108)=5),PGBL_BENEFICIO,0))</f>
        <v>0</v>
      </c>
      <c r="BA108" s="180" t="n">
        <f aca="false">AZ108*$E$24</f>
        <v>0</v>
      </c>
      <c r="BB108" s="180" t="n">
        <f aca="false">AY108*$E$19</f>
        <v>2171.08739246215</v>
      </c>
      <c r="BC108" s="180" t="n">
        <f aca="false">AY108*$E$22</f>
        <v>277.242807272954</v>
      </c>
      <c r="BD108" s="180" t="n">
        <f aca="false">$E$23*MAX(0,BB108-AY108*$E$18)</f>
        <v>0</v>
      </c>
      <c r="BE108" s="180" t="n">
        <f aca="false">IF(AND($E$27=1,OR(MONTH($B108)=5,MONTH($B108)=11)),MAX(0,$E$28*MAX(0,(AY108+BB108-BC108-BD108+AZ108-BA108)+BH107-BG108)-BH107),0)</f>
        <v>0</v>
      </c>
      <c r="BF108" s="181" t="n">
        <f aca="false">AY108+BB108-BC108-BD108+AZ108-BA108-BE108</f>
        <v>223688.090403552</v>
      </c>
      <c r="BG108" s="180" t="n">
        <f aca="false">BG107+AZ108-BA108</f>
        <v>150000</v>
      </c>
      <c r="BH108" s="180" t="n">
        <f aca="false">BH107+BE108</f>
        <v>0</v>
      </c>
      <c r="BI108" s="180" t="n">
        <f aca="false">BF108+BH108-BG108</f>
        <v>73688.090403552</v>
      </c>
      <c r="BJ108" s="180" t="n">
        <f aca="false">MAX(0,IFERROR(INDEX(TAB_IR,MATCH($C108,TAB_IR_DIAS,1),MATCH($E$8,TAB_IR_REGIMES,0)),0)*IF($E$26=2,BF108,MAX(0,BI108))-BH108)</f>
        <v>22106.4271210656</v>
      </c>
      <c r="BK108" s="181" t="n">
        <f aca="false">MAX(0,BF108-BJ108-BF108*$E$25)</f>
        <v>201581.663282486</v>
      </c>
      <c r="BL108" s="180" t="n">
        <f aca="false">BK108/$D108</f>
        <v>172876.958042634</v>
      </c>
      <c r="BN108" s="180" t="n">
        <f aca="false">BU107</f>
        <v>221794.245818363</v>
      </c>
      <c r="BO108" s="180" t="n">
        <f aca="false">IF($F$9=0,0,IF($A108&gt;IN_PRAZO,0,IF(APORTE_CORRIGIDO="Sim",IN_APORTE*$D108,IN_APORTE))+IF(AND($F$35=1,PGBL_REINVESTE="Sim",$A108&gt;=13,$A108&lt;=IN_PRAZO,MONTH($B108)=5),PGBL_BENEFICIO,0))</f>
        <v>0</v>
      </c>
      <c r="BP108" s="180" t="n">
        <f aca="false">BO108*$F$24</f>
        <v>0</v>
      </c>
      <c r="BQ108" s="180" t="n">
        <f aca="false">BN108*$F$19</f>
        <v>2171.08739246215</v>
      </c>
      <c r="BR108" s="180" t="n">
        <f aca="false">BN108*$F$22</f>
        <v>277.242807272954</v>
      </c>
      <c r="BS108" s="180" t="n">
        <f aca="false">$F$23*MAX(0,BQ108-BN108*$F$18)</f>
        <v>0</v>
      </c>
      <c r="BT108" s="180" t="n">
        <f aca="false">IF(AND($F$27=1,OR(MONTH($B108)=5,MONTH($B108)=11)),MAX(0,$F$28*MAX(0,(BN108+BQ108-BR108-BS108+BO108-BP108)+BW107-BV108)-BW107),0)</f>
        <v>0</v>
      </c>
      <c r="BU108" s="181" t="n">
        <f aca="false">BN108+BQ108-BR108-BS108+BO108-BP108-BT108</f>
        <v>223688.090403552</v>
      </c>
      <c r="BV108" s="180" t="n">
        <f aca="false">BV107+BO108-BP108</f>
        <v>150000</v>
      </c>
      <c r="BW108" s="180" t="n">
        <f aca="false">BW107+BT108</f>
        <v>0</v>
      </c>
      <c r="BX108" s="180" t="n">
        <f aca="false">BU108+BW108-BV108</f>
        <v>73688.090403552</v>
      </c>
      <c r="BY108" s="180" t="n">
        <f aca="false">MAX(0,IFERROR(INDEX(TAB_IR,MATCH($C108,TAB_IR_DIAS,1),MATCH($F$8,TAB_IR_REGIMES,0)),0)*IF($F$26=2,BU108,MAX(0,BX108))-BW108)</f>
        <v>67106.4271210656</v>
      </c>
      <c r="BZ108" s="181" t="n">
        <f aca="false">MAX(0,BU108-BY108-BU108*$F$25)</f>
        <v>156581.663282486</v>
      </c>
      <c r="CA108" s="180" t="n">
        <f aca="false">BZ108/$D108</f>
        <v>134284.841154419</v>
      </c>
      <c r="CC108" s="180" t="n">
        <f aca="false">CJ107</f>
        <v>199922.068863694</v>
      </c>
      <c r="CD108" s="180" t="n">
        <f aca="false">IF($G$9=0,0,IF($A108&gt;IN_PRAZO,0,IF(APORTE_CORRIGIDO="Sim",IN_APORTE*$D108,IN_APORTE))+IF(AND($G$35=1,PGBL_REINVESTE="Sim",$A108&gt;=13,$A108&lt;=IN_PRAZO,MONTH($B108)=5),PGBL_BENEFICIO,0))</f>
        <v>0</v>
      </c>
      <c r="CE108" s="180" t="n">
        <f aca="false">CD108*$G$24</f>
        <v>0</v>
      </c>
      <c r="CF108" s="180" t="n">
        <f aca="false">CC108*$G$19</f>
        <v>1630.80938644613</v>
      </c>
      <c r="CG108" s="180" t="n">
        <f aca="false">CC108*$G$22</f>
        <v>166.601724053078</v>
      </c>
      <c r="CH108" s="180" t="n">
        <f aca="false">$G$23*MAX(0,CF108-CC108*$G$18)</f>
        <v>0</v>
      </c>
      <c r="CI108" s="180" t="n">
        <f aca="false">IF(AND($G$27=1,OR(MONTH($B108)=5,MONTH($B108)=11)),MAX(0,$G$28*MAX(0,(CC108+CF108-CG108-CH108+CD108-CE108)+CL107-CK108)-CL107),0)</f>
        <v>0</v>
      </c>
      <c r="CJ108" s="181" t="n">
        <f aca="false">CC108+CF108-CG108-CH108+CD108-CE108-CI108</f>
        <v>201386.276526087</v>
      </c>
      <c r="CK108" s="180" t="n">
        <f aca="false">CK107+CD108-CE108</f>
        <v>150000</v>
      </c>
      <c r="CL108" s="180" t="n">
        <f aca="false">CL107+CI108</f>
        <v>8553.26592918711</v>
      </c>
      <c r="CM108" s="180" t="n">
        <f aca="false">CJ108+CL108-CK108</f>
        <v>59939.5424552738</v>
      </c>
      <c r="CN108" s="180" t="n">
        <f aca="false">MAX(0,IFERROR(INDEX(TAB_IR,MATCH($C108,TAB_IR_DIAS,1),MATCH($G$8,TAB_IR_REGIMES,0)),0)*IF($G$26=2,CJ108,MAX(0,CM108))-CL108)</f>
        <v>437.665439103954</v>
      </c>
      <c r="CO108" s="181" t="n">
        <f aca="false">MAX(0,CJ108-CN108-CJ108*$G$25)</f>
        <v>200948.611086983</v>
      </c>
      <c r="CP108" s="180" t="n">
        <f aca="false">CO108/$D108</f>
        <v>172334.050835407</v>
      </c>
    </row>
    <row r="109" customFormat="false" ht="12" hidden="false" customHeight="true" outlineLevel="0" collapsed="false">
      <c r="A109" s="177" t="n">
        <v>48</v>
      </c>
      <c r="B109" s="178" t="n">
        <f aca="false">EDATE(DATA_INICIO,$A109)</f>
        <v>47718</v>
      </c>
      <c r="C109" s="177" t="n">
        <f aca="false">$A109*30</f>
        <v>1440</v>
      </c>
      <c r="D109" s="179" t="n">
        <f aca="false">(1+IPCA_CENARIO)^($A109/12)</f>
        <v>1.16985856</v>
      </c>
      <c r="F109" s="180" t="n">
        <f aca="false">M108</f>
        <v>232001.916976954</v>
      </c>
      <c r="G109" s="180" t="n">
        <f aca="false">IF($B$9=0,0,IF($A109&gt;IN_PRAZO,0,IF(APORTE_CORRIGIDO="Sim",IN_APORTE*$D109,IN_APORTE))+IF(AND($B$35=1,PGBL_REINVESTE="Sim",$A109&gt;=13,$A109&lt;=IN_PRAZO,MONTH($B109)=5),PGBL_BENEFICIO,0))</f>
        <v>0</v>
      </c>
      <c r="H109" s="180" t="n">
        <f aca="false">G109*$B$24</f>
        <v>0</v>
      </c>
      <c r="I109" s="180" t="n">
        <f aca="false">F109*$B$19</f>
        <v>2201.41815062064</v>
      </c>
      <c r="J109" s="180" t="n">
        <f aca="false">F109*$B$22</f>
        <v>38.6669861628257</v>
      </c>
      <c r="K109" s="180" t="n">
        <f aca="false">$B$23*MAX(0,I109-F109*$B$18)</f>
        <v>0</v>
      </c>
      <c r="L109" s="180" t="n">
        <f aca="false">IF(AND($B$27=1,OR(MONTH($B109)=5,MONTH($B109)=11)),MAX(0,$B$28*MAX(0,(F109+I109-J109-K109+G109-H109)+O108-N109)-O108),0)</f>
        <v>0</v>
      </c>
      <c r="M109" s="181" t="n">
        <f aca="false">F109+I109-J109-K109+G109-H109-L109</f>
        <v>234164.668141412</v>
      </c>
      <c r="N109" s="180" t="n">
        <f aca="false">N108+G109-H109</f>
        <v>150000</v>
      </c>
      <c r="O109" s="180" t="n">
        <f aca="false">O108+L109</f>
        <v>0</v>
      </c>
      <c r="P109" s="180" t="n">
        <f aca="false">M109+O109-N109</f>
        <v>84164.6681414119</v>
      </c>
      <c r="Q109" s="180" t="n">
        <f aca="false">MAX(0,IFERROR(INDEX(TAB_IR,MATCH($C109,TAB_IR_DIAS,1),MATCH($B$8,TAB_IR_REGIMES,0)),0)*IF($B$26=2,M109,MAX(0,P109))-O109)</f>
        <v>12624.7002212118</v>
      </c>
      <c r="R109" s="181" t="n">
        <f aca="false">MAX(0,M109-Q109-M109*$B$25)</f>
        <v>221539.9679202</v>
      </c>
      <c r="S109" s="180" t="n">
        <f aca="false">R109/$D109</f>
        <v>189373.293058778</v>
      </c>
      <c r="U109" s="180" t="n">
        <f aca="false">AB108</f>
        <v>218044.473679953</v>
      </c>
      <c r="V109" s="180" t="n">
        <f aca="false">IF($C$9=0,0,IF($A109&gt;IN_PRAZO,0,IF(APORTE_CORRIGIDO="Sim",IN_APORTE*$D109,IN_APORTE))+IF(AND($C$35=1,PGBL_REINVESTE="Sim",$A109&gt;=13,$A109&lt;=IN_PRAZO,MONTH($B109)=5),PGBL_BENEFICIO,0))</f>
        <v>0</v>
      </c>
      <c r="W109" s="180" t="n">
        <f aca="false">V109*$C$24</f>
        <v>0</v>
      </c>
      <c r="X109" s="180" t="n">
        <f aca="false">U109*$C$19</f>
        <v>1778.63792807393</v>
      </c>
      <c r="Y109" s="180" t="n">
        <f aca="false">U109*$C$22</f>
        <v>36.3407456133254</v>
      </c>
      <c r="Z109" s="180" t="n">
        <f aca="false">$C$23*MAX(0,X109-U109*$C$18)</f>
        <v>0</v>
      </c>
      <c r="AA109" s="180" t="n">
        <f aca="false">IF(AND($C$27=1,OR(MONTH($B109)=5,MONTH($B109)=11)),MAX(0,$C$28*MAX(0,(U109+X109-Y109-Z109+V109-W109)+AD108-AC109)-AD108),0)</f>
        <v>0</v>
      </c>
      <c r="AB109" s="181" t="n">
        <f aca="false">U109+X109-Y109-Z109+V109-W109-AA109</f>
        <v>219786.770862413</v>
      </c>
      <c r="AC109" s="180" t="n">
        <f aca="false">AC108+V109-W109</f>
        <v>150000</v>
      </c>
      <c r="AD109" s="180" t="n">
        <f aca="false">AD108+AA109</f>
        <v>0</v>
      </c>
      <c r="AE109" s="180" t="n">
        <f aca="false">AB109+AD109-AC109</f>
        <v>69786.7708624132</v>
      </c>
      <c r="AF109" s="180" t="n">
        <f aca="false">MAX(0,IFERROR(INDEX(TAB_IR,MATCH($C109,TAB_IR_DIAS,1),MATCH($C$8,TAB_IR_REGIMES,0)),0)*IF($C$26=2,AB109,MAX(0,AE109))-AD109)</f>
        <v>10468.015629362</v>
      </c>
      <c r="AG109" s="181" t="n">
        <f aca="false">MAX(0,AB109-AF109-AB109*$C$25)</f>
        <v>209318.755233051</v>
      </c>
      <c r="AH109" s="180" t="n">
        <f aca="false">AG109/$D109</f>
        <v>178926.549234338</v>
      </c>
      <c r="AJ109" s="180" t="n">
        <f aca="false">AQ108</f>
        <v>208229.92379996</v>
      </c>
      <c r="AK109" s="180" t="n">
        <f aca="false">IF($D$9=0,0,IF($A109&gt;IN_PRAZO,0,IF(APORTE_CORRIGIDO="Sim",IN_APORTE*$D109,IN_APORTE))+IF(AND($D$35=1,PGBL_REINVESTE="Sim",$A109&gt;=13,$A109&lt;=IN_PRAZO,MONTH($B109)=5),PGBL_BENEFICIO,0))</f>
        <v>0</v>
      </c>
      <c r="AL109" s="180" t="n">
        <f aca="false">AK109*$D$24</f>
        <v>0</v>
      </c>
      <c r="AM109" s="180" t="n">
        <f aca="false">AJ109*$D$19</f>
        <v>1871.71570168791</v>
      </c>
      <c r="AN109" s="180" t="n">
        <f aca="false">AJ109*$D$22</f>
        <v>173.524936499967</v>
      </c>
      <c r="AO109" s="180" t="n">
        <f aca="false">$D$23*MAX(0,AM109-AJ109*$D$18)</f>
        <v>0</v>
      </c>
      <c r="AP109" s="180" t="n">
        <f aca="false">IF(AND($D$27=1,OR(MONTH($B109)=5,MONTH($B109)=11)),MAX(0,$D$28*MAX(0,(AJ109+AM109-AN109-AO109+AK109-AL109)+AS108-AR109)-AS108),0)</f>
        <v>0</v>
      </c>
      <c r="AQ109" s="181" t="n">
        <f aca="false">AJ109+AM109-AN109-AO109+AK109-AL109-AP109</f>
        <v>209928.114565148</v>
      </c>
      <c r="AR109" s="180" t="n">
        <f aca="false">AR108+AK109-AL109</f>
        <v>150000</v>
      </c>
      <c r="AS109" s="180" t="n">
        <f aca="false">AS108+AP109</f>
        <v>9683.76055309538</v>
      </c>
      <c r="AT109" s="180" t="n">
        <f aca="false">AQ109+AS109-AR109</f>
        <v>69611.8751182436</v>
      </c>
      <c r="AU109" s="180" t="n">
        <f aca="false">MAX(0,IFERROR(INDEX(TAB_IR,MATCH($C109,TAB_IR_DIAS,1),MATCH($D$8,TAB_IR_REGIMES,0)),0)*IF($D$26=2,AQ109,MAX(0,AT109))-AS109)</f>
        <v>758.020714641167</v>
      </c>
      <c r="AV109" s="181" t="n">
        <f aca="false">MAX(0,AQ109-AU109-AQ109*$D$25)</f>
        <v>209170.093850507</v>
      </c>
      <c r="AW109" s="180" t="n">
        <f aca="false">AV109/$D109</f>
        <v>178799.472861495</v>
      </c>
      <c r="AY109" s="180" t="n">
        <f aca="false">BF108</f>
        <v>223688.090403552</v>
      </c>
      <c r="AZ109" s="180" t="n">
        <f aca="false">IF($E$9=0,0,IF($A109&gt;IN_PRAZO,0,IF(APORTE_CORRIGIDO="Sim",IN_APORTE*$D109,IN_APORTE))+IF(AND($E$35=1,PGBL_REINVESTE="Sim",$A109&gt;=13,$A109&lt;=IN_PRAZO,MONTH($B109)=5),PGBL_BENEFICIO,0))</f>
        <v>0</v>
      </c>
      <c r="BA109" s="180" t="n">
        <f aca="false">AZ109*$E$24</f>
        <v>0</v>
      </c>
      <c r="BB109" s="180" t="n">
        <f aca="false">AY109*$E$19</f>
        <v>2189.62575483947</v>
      </c>
      <c r="BC109" s="180" t="n">
        <f aca="false">AY109*$E$22</f>
        <v>279.61011300444</v>
      </c>
      <c r="BD109" s="180" t="n">
        <f aca="false">$E$23*MAX(0,BB109-AY109*$E$18)</f>
        <v>0</v>
      </c>
      <c r="BE109" s="180" t="n">
        <f aca="false">IF(AND($E$27=1,OR(MONTH($B109)=5,MONTH($B109)=11)),MAX(0,$E$28*MAX(0,(AY109+BB109-BC109-BD109+AZ109-BA109)+BH108-BG109)-BH108),0)</f>
        <v>0</v>
      </c>
      <c r="BF109" s="181" t="n">
        <f aca="false">AY109+BB109-BC109-BD109+AZ109-BA109-BE109</f>
        <v>225598.106045387</v>
      </c>
      <c r="BG109" s="180" t="n">
        <f aca="false">BG108+AZ109-BA109</f>
        <v>150000</v>
      </c>
      <c r="BH109" s="180" t="n">
        <f aca="false">BH108+BE109</f>
        <v>0</v>
      </c>
      <c r="BI109" s="180" t="n">
        <f aca="false">BF109+BH109-BG109</f>
        <v>75598.1060453871</v>
      </c>
      <c r="BJ109" s="180" t="n">
        <f aca="false">MAX(0,IFERROR(INDEX(TAB_IR,MATCH($C109,TAB_IR_DIAS,1),MATCH($E$8,TAB_IR_REGIMES,0)),0)*IF($E$26=2,BF109,MAX(0,BI109))-BH109)</f>
        <v>22679.4318136161</v>
      </c>
      <c r="BK109" s="181" t="n">
        <f aca="false">MAX(0,BF109-BJ109-BF109*$E$25)</f>
        <v>202918.674231771</v>
      </c>
      <c r="BL109" s="180" t="n">
        <f aca="false">BK109/$D109</f>
        <v>173455.733171513</v>
      </c>
      <c r="BN109" s="180" t="n">
        <f aca="false">BU108</f>
        <v>223688.090403552</v>
      </c>
      <c r="BO109" s="180" t="n">
        <f aca="false">IF($F$9=0,0,IF($A109&gt;IN_PRAZO,0,IF(APORTE_CORRIGIDO="Sim",IN_APORTE*$D109,IN_APORTE))+IF(AND($F$35=1,PGBL_REINVESTE="Sim",$A109&gt;=13,$A109&lt;=IN_PRAZO,MONTH($B109)=5),PGBL_BENEFICIO,0))</f>
        <v>0</v>
      </c>
      <c r="BP109" s="180" t="n">
        <f aca="false">BO109*$F$24</f>
        <v>0</v>
      </c>
      <c r="BQ109" s="180" t="n">
        <f aca="false">BN109*$F$19</f>
        <v>2189.62575483947</v>
      </c>
      <c r="BR109" s="180" t="n">
        <f aca="false">BN109*$F$22</f>
        <v>279.61011300444</v>
      </c>
      <c r="BS109" s="180" t="n">
        <f aca="false">$F$23*MAX(0,BQ109-BN109*$F$18)</f>
        <v>0</v>
      </c>
      <c r="BT109" s="180" t="n">
        <f aca="false">IF(AND($F$27=1,OR(MONTH($B109)=5,MONTH($B109)=11)),MAX(0,$F$28*MAX(0,(BN109+BQ109-BR109-BS109+BO109-BP109)+BW108-BV109)-BW108),0)</f>
        <v>0</v>
      </c>
      <c r="BU109" s="181" t="n">
        <f aca="false">BN109+BQ109-BR109-BS109+BO109-BP109-BT109</f>
        <v>225598.106045387</v>
      </c>
      <c r="BV109" s="180" t="n">
        <f aca="false">BV108+BO109-BP109</f>
        <v>150000</v>
      </c>
      <c r="BW109" s="180" t="n">
        <f aca="false">BW108+BT109</f>
        <v>0</v>
      </c>
      <c r="BX109" s="180" t="n">
        <f aca="false">BU109+BW109-BV109</f>
        <v>75598.1060453871</v>
      </c>
      <c r="BY109" s="180" t="n">
        <f aca="false">MAX(0,IFERROR(INDEX(TAB_IR,MATCH($C109,TAB_IR_DIAS,1),MATCH($F$8,TAB_IR_REGIMES,0)),0)*IF($F$26=2,BU109,MAX(0,BX109))-BW109)</f>
        <v>67679.4318136161</v>
      </c>
      <c r="BZ109" s="181" t="n">
        <f aca="false">MAX(0,BU109-BY109-BU109*$F$25)</f>
        <v>157918.674231771</v>
      </c>
      <c r="CA109" s="180" t="n">
        <f aca="false">BZ109/$D109</f>
        <v>134989.544575176</v>
      </c>
      <c r="CC109" s="180" t="n">
        <f aca="false">CJ108</f>
        <v>201386.276526087</v>
      </c>
      <c r="CD109" s="180" t="n">
        <f aca="false">IF($G$9=0,0,IF($A109&gt;IN_PRAZO,0,IF(APORTE_CORRIGIDO="Sim",IN_APORTE*$D109,IN_APORTE))+IF(AND($G$35=1,PGBL_REINVESTE="Sim",$A109&gt;=13,$A109&lt;=IN_PRAZO,MONTH($B109)=5),PGBL_BENEFICIO,0))</f>
        <v>0</v>
      </c>
      <c r="CE109" s="180" t="n">
        <f aca="false">CD109*$G$24</f>
        <v>0</v>
      </c>
      <c r="CF109" s="180" t="n">
        <f aca="false">CC109*$G$19</f>
        <v>1642.7532584414</v>
      </c>
      <c r="CG109" s="180" t="n">
        <f aca="false">CC109*$G$22</f>
        <v>167.821897105072</v>
      </c>
      <c r="CH109" s="180" t="n">
        <f aca="false">$G$23*MAX(0,CF109-CC109*$G$18)</f>
        <v>0</v>
      </c>
      <c r="CI109" s="180" t="n">
        <f aca="false">IF(AND($G$27=1,OR(MONTH($B109)=5,MONTH($B109)=11)),MAX(0,$G$28*MAX(0,(CC109+CF109-CG109-CH109+CD109-CE109)+CL108-CK109)-CL108),0)</f>
        <v>0</v>
      </c>
      <c r="CJ109" s="181" t="n">
        <f aca="false">CC109+CF109-CG109-CH109+CD109-CE109-CI109</f>
        <v>202861.207887423</v>
      </c>
      <c r="CK109" s="180" t="n">
        <f aca="false">CK108+CD109-CE109</f>
        <v>150000</v>
      </c>
      <c r="CL109" s="180" t="n">
        <f aca="false">CL108+CI109</f>
        <v>8553.26592918711</v>
      </c>
      <c r="CM109" s="180" t="n">
        <f aca="false">CJ109+CL109-CK109</f>
        <v>61414.4738166101</v>
      </c>
      <c r="CN109" s="180" t="n">
        <f aca="false">MAX(0,IFERROR(INDEX(TAB_IR,MATCH($C109,TAB_IR_DIAS,1),MATCH($G$8,TAB_IR_REGIMES,0)),0)*IF($G$26=2,CJ109,MAX(0,CM109))-CL109)</f>
        <v>658.905143304401</v>
      </c>
      <c r="CO109" s="181" t="n">
        <f aca="false">MAX(0,CJ109-CN109-CJ109*$G$25)</f>
        <v>202202.302744119</v>
      </c>
      <c r="CP109" s="180" t="n">
        <f aca="false">CO109/$D109</f>
        <v>172843.375821534</v>
      </c>
    </row>
    <row r="110" customFormat="false" ht="12" hidden="false" customHeight="true" outlineLevel="0" collapsed="false">
      <c r="A110" s="177" t="n">
        <v>49</v>
      </c>
      <c r="B110" s="178" t="n">
        <f aca="false">EDATE(DATA_INICIO,$A110)</f>
        <v>47749</v>
      </c>
      <c r="C110" s="177" t="n">
        <f aca="false">$A110*30</f>
        <v>1470</v>
      </c>
      <c r="D110" s="179" t="n">
        <f aca="false">(1+IPCA_CENARIO)^($A110/12)</f>
        <v>1.17368837250742</v>
      </c>
      <c r="F110" s="180" t="n">
        <f aca="false">M109</f>
        <v>234164.668141412</v>
      </c>
      <c r="G110" s="180" t="n">
        <f aca="false">IF($B$9=0,0,IF($A110&gt;IN_PRAZO,0,IF(APORTE_CORRIGIDO="Sim",IN_APORTE*$D110,IN_APORTE))+IF(AND($B$35=1,PGBL_REINVESTE="Sim",$A110&gt;=13,$A110&lt;=IN_PRAZO,MONTH($B110)=5),PGBL_BENEFICIO,0))</f>
        <v>0</v>
      </c>
      <c r="H110" s="180" t="n">
        <f aca="false">G110*$B$24</f>
        <v>0</v>
      </c>
      <c r="I110" s="180" t="n">
        <f aca="false">F110*$B$19</f>
        <v>2221.94004858921</v>
      </c>
      <c r="J110" s="180" t="n">
        <f aca="false">F110*$B$22</f>
        <v>39.0274446902353</v>
      </c>
      <c r="K110" s="180" t="n">
        <f aca="false">$B$23*MAX(0,I110-F110*$B$18)</f>
        <v>0</v>
      </c>
      <c r="L110" s="180" t="n">
        <f aca="false">IF(AND($B$27=1,OR(MONTH($B110)=5,MONTH($B110)=11)),MAX(0,$B$28*MAX(0,(F110+I110-J110-K110+G110-H110)+O109-N110)-O109),0)</f>
        <v>0</v>
      </c>
      <c r="M110" s="181" t="n">
        <f aca="false">F110+I110-J110-K110+G110-H110-L110</f>
        <v>236347.580745311</v>
      </c>
      <c r="N110" s="180" t="n">
        <f aca="false">N109+G110-H110</f>
        <v>150000</v>
      </c>
      <c r="O110" s="180" t="n">
        <f aca="false">O109+L110</f>
        <v>0</v>
      </c>
      <c r="P110" s="180" t="n">
        <f aca="false">M110+O110-N110</f>
        <v>86347.5807453109</v>
      </c>
      <c r="Q110" s="180" t="n">
        <f aca="false">MAX(0,IFERROR(INDEX(TAB_IR,MATCH($C110,TAB_IR_DIAS,1),MATCH($B$8,TAB_IR_REGIMES,0)),0)*IF($B$26=2,M110,MAX(0,P110))-O110)</f>
        <v>12952.1371117966</v>
      </c>
      <c r="R110" s="181" t="n">
        <f aca="false">MAX(0,M110-Q110-M110*$B$25)</f>
        <v>223395.443633514</v>
      </c>
      <c r="S110" s="180" t="n">
        <f aca="false">R110/$D110</f>
        <v>190336.250120858</v>
      </c>
      <c r="U110" s="180" t="n">
        <f aca="false">AB109</f>
        <v>219786.770862413</v>
      </c>
      <c r="V110" s="180" t="n">
        <f aca="false">IF($C$9=0,0,IF($A110&gt;IN_PRAZO,0,IF(APORTE_CORRIGIDO="Sim",IN_APORTE*$D110,IN_APORTE))+IF(AND($C$35=1,PGBL_REINVESTE="Sim",$A110&gt;=13,$A110&lt;=IN_PRAZO,MONTH($B110)=5),PGBL_BENEFICIO,0))</f>
        <v>0</v>
      </c>
      <c r="W110" s="180" t="n">
        <f aca="false">V110*$C$24</f>
        <v>0</v>
      </c>
      <c r="X110" s="180" t="n">
        <f aca="false">U110*$C$19</f>
        <v>1792.8502389773</v>
      </c>
      <c r="Y110" s="180" t="n">
        <f aca="false">U110*$C$22</f>
        <v>36.6311284770689</v>
      </c>
      <c r="Z110" s="180" t="n">
        <f aca="false">$C$23*MAX(0,X110-U110*$C$18)</f>
        <v>0</v>
      </c>
      <c r="AA110" s="180" t="n">
        <f aca="false">IF(AND($C$27=1,OR(MONTH($B110)=5,MONTH($B110)=11)),MAX(0,$C$28*MAX(0,(U110+X110-Y110-Z110+V110-W110)+AD109-AC110)-AD109),0)</f>
        <v>0</v>
      </c>
      <c r="AB110" s="181" t="n">
        <f aca="false">U110+X110-Y110-Z110+V110-W110-AA110</f>
        <v>221542.989972913</v>
      </c>
      <c r="AC110" s="180" t="n">
        <f aca="false">AC109+V110-W110</f>
        <v>150000</v>
      </c>
      <c r="AD110" s="180" t="n">
        <f aca="false">AD109+AA110</f>
        <v>0</v>
      </c>
      <c r="AE110" s="180" t="n">
        <f aca="false">AB110+AD110-AC110</f>
        <v>71542.9899729134</v>
      </c>
      <c r="AF110" s="180" t="n">
        <f aca="false">MAX(0,IFERROR(INDEX(TAB_IR,MATCH($C110,TAB_IR_DIAS,1),MATCH($C$8,TAB_IR_REGIMES,0)),0)*IF($C$26=2,AB110,MAX(0,AE110))-AD110)</f>
        <v>10731.448495937</v>
      </c>
      <c r="AG110" s="181" t="n">
        <f aca="false">MAX(0,AB110-AF110-AB110*$C$25)</f>
        <v>210811.541476976</v>
      </c>
      <c r="AH110" s="180" t="n">
        <f aca="false">AG110/$D110</f>
        <v>179614.577783205</v>
      </c>
      <c r="AJ110" s="180" t="n">
        <f aca="false">AQ109</f>
        <v>209928.114565148</v>
      </c>
      <c r="AK110" s="180" t="n">
        <f aca="false">IF($D$9=0,0,IF($A110&gt;IN_PRAZO,0,IF(APORTE_CORRIGIDO="Sim",IN_APORTE*$D110,IN_APORTE))+IF(AND($D$35=1,PGBL_REINVESTE="Sim",$A110&gt;=13,$A110&lt;=IN_PRAZO,MONTH($B110)=5),PGBL_BENEFICIO,0))</f>
        <v>0</v>
      </c>
      <c r="AL110" s="180" t="n">
        <f aca="false">AK110*$D$24</f>
        <v>0</v>
      </c>
      <c r="AM110" s="180" t="n">
        <f aca="false">AJ110*$D$19</f>
        <v>1886.98022400852</v>
      </c>
      <c r="AN110" s="180" t="n">
        <f aca="false">AJ110*$D$22</f>
        <v>174.940095470957</v>
      </c>
      <c r="AO110" s="180" t="n">
        <f aca="false">$D$23*MAX(0,AM110-AJ110*$D$18)</f>
        <v>0</v>
      </c>
      <c r="AP110" s="180" t="n">
        <f aca="false">IF(AND($D$27=1,OR(MONTH($B110)=5,MONTH($B110)=11)),MAX(0,$D$28*MAX(0,(AJ110+AM110-AN110-AO110+AK110-AL110)+AS109-AR110)-AS109),0)</f>
        <v>0</v>
      </c>
      <c r="AQ110" s="181" t="n">
        <f aca="false">AJ110+AM110-AN110-AO110+AK110-AL110-AP110</f>
        <v>211640.154693686</v>
      </c>
      <c r="AR110" s="180" t="n">
        <f aca="false">AR109+AK110-AL110</f>
        <v>150000</v>
      </c>
      <c r="AS110" s="180" t="n">
        <f aca="false">AS109+AP110</f>
        <v>9683.76055309538</v>
      </c>
      <c r="AT110" s="180" t="n">
        <f aca="false">AQ110+AS110-AR110</f>
        <v>71323.9152467812</v>
      </c>
      <c r="AU110" s="180" t="n">
        <f aca="false">MAX(0,IFERROR(INDEX(TAB_IR,MATCH($C110,TAB_IR_DIAS,1),MATCH($D$8,TAB_IR_REGIMES,0)),0)*IF($D$26=2,AQ110,MAX(0,AT110))-AS110)</f>
        <v>1014.8267339218</v>
      </c>
      <c r="AV110" s="181" t="n">
        <f aca="false">MAX(0,AQ110-AU110-AQ110*$D$25)</f>
        <v>210625.327959764</v>
      </c>
      <c r="AW110" s="180" t="n">
        <f aca="false">AV110/$D110</f>
        <v>179455.921088997</v>
      </c>
      <c r="AY110" s="180" t="n">
        <f aca="false">BF109</f>
        <v>225598.106045387</v>
      </c>
      <c r="AZ110" s="180" t="n">
        <f aca="false">IF($E$9=0,0,IF($A110&gt;IN_PRAZO,0,IF(APORTE_CORRIGIDO="Sim",IN_APORTE*$D110,IN_APORTE))+IF(AND($E$35=1,PGBL_REINVESTE="Sim",$A110&gt;=13,$A110&lt;=IN_PRAZO,MONTH($B110)=5),PGBL_BENEFICIO,0))</f>
        <v>0</v>
      </c>
      <c r="BA110" s="180" t="n">
        <f aca="false">AZ110*$E$24</f>
        <v>0</v>
      </c>
      <c r="BB110" s="180" t="n">
        <f aca="false">AY110*$E$19</f>
        <v>2208.32241157235</v>
      </c>
      <c r="BC110" s="180" t="n">
        <f aca="false">AY110*$E$22</f>
        <v>281.997632556734</v>
      </c>
      <c r="BD110" s="180" t="n">
        <f aca="false">$E$23*MAX(0,BB110-AY110*$E$18)</f>
        <v>0</v>
      </c>
      <c r="BE110" s="180" t="n">
        <f aca="false">IF(AND($E$27=1,OR(MONTH($B110)=5,MONTH($B110)=11)),MAX(0,$E$28*MAX(0,(AY110+BB110-BC110-BD110+AZ110-BA110)+BH109-BG110)-BH109),0)</f>
        <v>0</v>
      </c>
      <c r="BF110" s="181" t="n">
        <f aca="false">AY110+BB110-BC110-BD110+AZ110-BA110-BE110</f>
        <v>227524.430824403</v>
      </c>
      <c r="BG110" s="180" t="n">
        <f aca="false">BG109+AZ110-BA110</f>
        <v>150000</v>
      </c>
      <c r="BH110" s="180" t="n">
        <f aca="false">BH109+BE110</f>
        <v>0</v>
      </c>
      <c r="BI110" s="180" t="n">
        <f aca="false">BF110+BH110-BG110</f>
        <v>77524.4308244027</v>
      </c>
      <c r="BJ110" s="180" t="n">
        <f aca="false">MAX(0,IFERROR(INDEX(TAB_IR,MATCH($C110,TAB_IR_DIAS,1),MATCH($E$8,TAB_IR_REGIMES,0)),0)*IF($E$26=2,BF110,MAX(0,BI110))-BH110)</f>
        <v>19381.1077061007</v>
      </c>
      <c r="BK110" s="181" t="n">
        <f aca="false">MAX(0,BF110-BJ110-BF110*$E$25)</f>
        <v>208143.323118302</v>
      </c>
      <c r="BL110" s="180" t="n">
        <f aca="false">BK110/$D110</f>
        <v>177341.215942724</v>
      </c>
      <c r="BN110" s="180" t="n">
        <f aca="false">BU109</f>
        <v>225598.106045387</v>
      </c>
      <c r="BO110" s="180" t="n">
        <f aca="false">IF($F$9=0,0,IF($A110&gt;IN_PRAZO,0,IF(APORTE_CORRIGIDO="Sim",IN_APORTE*$D110,IN_APORTE))+IF(AND($F$35=1,PGBL_REINVESTE="Sim",$A110&gt;=13,$A110&lt;=IN_PRAZO,MONTH($B110)=5),PGBL_BENEFICIO,0))</f>
        <v>0</v>
      </c>
      <c r="BP110" s="180" t="n">
        <f aca="false">BO110*$F$24</f>
        <v>0</v>
      </c>
      <c r="BQ110" s="180" t="n">
        <f aca="false">BN110*$F$19</f>
        <v>2208.32241157235</v>
      </c>
      <c r="BR110" s="180" t="n">
        <f aca="false">BN110*$F$22</f>
        <v>281.997632556734</v>
      </c>
      <c r="BS110" s="180" t="n">
        <f aca="false">$F$23*MAX(0,BQ110-BN110*$F$18)</f>
        <v>0</v>
      </c>
      <c r="BT110" s="180" t="n">
        <f aca="false">IF(AND($F$27=1,OR(MONTH($B110)=5,MONTH($B110)=11)),MAX(0,$F$28*MAX(0,(BN110+BQ110-BR110-BS110+BO110-BP110)+BW109-BV110)-BW109),0)</f>
        <v>0</v>
      </c>
      <c r="BU110" s="181" t="n">
        <f aca="false">BN110+BQ110-BR110-BS110+BO110-BP110-BT110</f>
        <v>227524.430824403</v>
      </c>
      <c r="BV110" s="180" t="n">
        <f aca="false">BV109+BO110-BP110</f>
        <v>150000</v>
      </c>
      <c r="BW110" s="180" t="n">
        <f aca="false">BW109+BT110</f>
        <v>0</v>
      </c>
      <c r="BX110" s="180" t="n">
        <f aca="false">BU110+BW110-BV110</f>
        <v>77524.4308244027</v>
      </c>
      <c r="BY110" s="180" t="n">
        <f aca="false">MAX(0,IFERROR(INDEX(TAB_IR,MATCH($C110,TAB_IR_DIAS,1),MATCH($F$8,TAB_IR_REGIMES,0)),0)*IF($F$26=2,BU110,MAX(0,BX110))-BW110)</f>
        <v>56881.1077061007</v>
      </c>
      <c r="BZ110" s="181" t="n">
        <f aca="false">MAX(0,BU110-BY110-BU110*$F$25)</f>
        <v>170643.323118302</v>
      </c>
      <c r="CA110" s="180" t="n">
        <f aca="false">BZ110/$D110</f>
        <v>145390.656596305</v>
      </c>
      <c r="CC110" s="180" t="n">
        <f aca="false">CJ109</f>
        <v>202861.207887423</v>
      </c>
      <c r="CD110" s="180" t="n">
        <f aca="false">IF($G$9=0,0,IF($A110&gt;IN_PRAZO,0,IF(APORTE_CORRIGIDO="Sim",IN_APORTE*$D110,IN_APORTE))+IF(AND($G$35=1,PGBL_REINVESTE="Sim",$A110&gt;=13,$A110&lt;=IN_PRAZO,MONTH($B110)=5),PGBL_BENEFICIO,0))</f>
        <v>0</v>
      </c>
      <c r="CE110" s="180" t="n">
        <f aca="false">CD110*$G$24</f>
        <v>0</v>
      </c>
      <c r="CF110" s="180" t="n">
        <f aca="false">CC110*$G$19</f>
        <v>1654.78460606651</v>
      </c>
      <c r="CG110" s="180" t="n">
        <f aca="false">CC110*$G$22</f>
        <v>169.051006572853</v>
      </c>
      <c r="CH110" s="180" t="n">
        <f aca="false">$G$23*MAX(0,CF110-CC110*$G$18)</f>
        <v>0</v>
      </c>
      <c r="CI110" s="180" t="n">
        <f aca="false">IF(AND($G$27=1,OR(MONTH($B110)=5,MONTH($B110)=11)),MAX(0,$G$28*MAX(0,(CC110+CF110-CG110-CH110+CD110-CE110)+CL109-CK110)-CL109),0)</f>
        <v>0</v>
      </c>
      <c r="CJ110" s="181" t="n">
        <f aca="false">CC110+CF110-CG110-CH110+CD110-CE110-CI110</f>
        <v>204346.941486917</v>
      </c>
      <c r="CK110" s="180" t="n">
        <f aca="false">CK109+CD110-CE110</f>
        <v>150000</v>
      </c>
      <c r="CL110" s="180" t="n">
        <f aca="false">CL109+CI110</f>
        <v>8553.26592918711</v>
      </c>
      <c r="CM110" s="180" t="n">
        <f aca="false">CJ110+CL110-CK110</f>
        <v>62900.2074161037</v>
      </c>
      <c r="CN110" s="180" t="n">
        <f aca="false">MAX(0,IFERROR(INDEX(TAB_IR,MATCH($C110,TAB_IR_DIAS,1),MATCH($G$8,TAB_IR_REGIMES,0)),0)*IF($G$26=2,CJ110,MAX(0,CM110))-CL110)</f>
        <v>881.76518322845</v>
      </c>
      <c r="CO110" s="181" t="n">
        <f aca="false">MAX(0,CJ110-CN110-CJ110*$G$25)</f>
        <v>203465.176303688</v>
      </c>
      <c r="CP110" s="180" t="n">
        <f aca="false">CO110/$D110</f>
        <v>173355.365077882</v>
      </c>
    </row>
    <row r="111" customFormat="false" ht="12" hidden="false" customHeight="true" outlineLevel="0" collapsed="false">
      <c r="A111" s="177" t="n">
        <v>50</v>
      </c>
      <c r="B111" s="178" t="n">
        <f aca="false">EDATE(DATA_INICIO,$A111)</f>
        <v>47779</v>
      </c>
      <c r="C111" s="177" t="n">
        <f aca="false">$A111*30</f>
        <v>1500</v>
      </c>
      <c r="D111" s="179" t="n">
        <f aca="false">(1+IPCA_CENARIO)^($A111/12)</f>
        <v>1.1775307228244</v>
      </c>
      <c r="F111" s="180" t="n">
        <f aca="false">M110</f>
        <v>236347.580745311</v>
      </c>
      <c r="G111" s="180" t="n">
        <f aca="false">IF($B$9=0,0,IF($A111&gt;IN_PRAZO,0,IF(APORTE_CORRIGIDO="Sim",IN_APORTE*$D111,IN_APORTE))+IF(AND($B$35=1,PGBL_REINVESTE="Sim",$A111&gt;=13,$A111&lt;=IN_PRAZO,MONTH($B111)=5),PGBL_BENEFICIO,0))</f>
        <v>0</v>
      </c>
      <c r="H111" s="180" t="n">
        <f aca="false">G111*$B$24</f>
        <v>0</v>
      </c>
      <c r="I111" s="180" t="n">
        <f aca="false">F111*$B$19</f>
        <v>2242.6532542819</v>
      </c>
      <c r="J111" s="180" t="n">
        <f aca="false">F111*$B$22</f>
        <v>39.3912634575518</v>
      </c>
      <c r="K111" s="180" t="n">
        <f aca="false">$B$23*MAX(0,I111-F111*$B$18)</f>
        <v>0</v>
      </c>
      <c r="L111" s="180" t="n">
        <f aca="false">IF(AND($B$27=1,OR(MONTH($B111)=5,MONTH($B111)=11)),MAX(0,$B$28*MAX(0,(F111+I111-J111-K111+G111-H111)+O110-N111)-O110),0)</f>
        <v>0</v>
      </c>
      <c r="M111" s="181" t="n">
        <f aca="false">F111+I111-J111-K111+G111-H111-L111</f>
        <v>238550.842736135</v>
      </c>
      <c r="N111" s="180" t="n">
        <f aca="false">N110+G111-H111</f>
        <v>150000</v>
      </c>
      <c r="O111" s="180" t="n">
        <f aca="false">O110+L111</f>
        <v>0</v>
      </c>
      <c r="P111" s="180" t="n">
        <f aca="false">M111+O111-N111</f>
        <v>88550.8427361352</v>
      </c>
      <c r="Q111" s="180" t="n">
        <f aca="false">MAX(0,IFERROR(INDEX(TAB_IR,MATCH($C111,TAB_IR_DIAS,1),MATCH($B$8,TAB_IR_REGIMES,0)),0)*IF($B$26=2,M111,MAX(0,P111))-O111)</f>
        <v>13282.6264104203</v>
      </c>
      <c r="R111" s="181" t="n">
        <f aca="false">MAX(0,M111-Q111-M111*$B$25)</f>
        <v>225268.216325715</v>
      </c>
      <c r="S111" s="180" t="n">
        <f aca="false">R111/$D111</f>
        <v>191305.595649676</v>
      </c>
      <c r="U111" s="180" t="n">
        <f aca="false">AB110</f>
        <v>221542.989972913</v>
      </c>
      <c r="V111" s="180" t="n">
        <f aca="false">IF($C$9=0,0,IF($A111&gt;IN_PRAZO,0,IF(APORTE_CORRIGIDO="Sim",IN_APORTE*$D111,IN_APORTE))+IF(AND($C$35=1,PGBL_REINVESTE="Sim",$A111&gt;=13,$A111&lt;=IN_PRAZO,MONTH($B111)=5),PGBL_BENEFICIO,0))</f>
        <v>0</v>
      </c>
      <c r="W111" s="180" t="n">
        <f aca="false">V111*$C$24</f>
        <v>0</v>
      </c>
      <c r="X111" s="180" t="n">
        <f aca="false">U111*$C$19</f>
        <v>1807.17611418626</v>
      </c>
      <c r="Y111" s="180" t="n">
        <f aca="false">U111*$C$22</f>
        <v>36.9238316621522</v>
      </c>
      <c r="Z111" s="180" t="n">
        <f aca="false">$C$23*MAX(0,X111-U111*$C$18)</f>
        <v>0</v>
      </c>
      <c r="AA111" s="180" t="n">
        <f aca="false">IF(AND($C$27=1,OR(MONTH($B111)=5,MONTH($B111)=11)),MAX(0,$C$28*MAX(0,(U111+X111-Y111-Z111+V111-W111)+AD110-AC111)-AD110),0)</f>
        <v>0</v>
      </c>
      <c r="AB111" s="181" t="n">
        <f aca="false">U111+X111-Y111-Z111+V111-W111-AA111</f>
        <v>223313.242255438</v>
      </c>
      <c r="AC111" s="180" t="n">
        <f aca="false">AC110+V111-W111</f>
        <v>150000</v>
      </c>
      <c r="AD111" s="180" t="n">
        <f aca="false">AD110+AA111</f>
        <v>0</v>
      </c>
      <c r="AE111" s="180" t="n">
        <f aca="false">AB111+AD111-AC111</f>
        <v>73313.2422554375</v>
      </c>
      <c r="AF111" s="180" t="n">
        <f aca="false">MAX(0,IFERROR(INDEX(TAB_IR,MATCH($C111,TAB_IR_DIAS,1),MATCH($C$8,TAB_IR_REGIMES,0)),0)*IF($C$26=2,AB111,MAX(0,AE111))-AD111)</f>
        <v>10996.9863383156</v>
      </c>
      <c r="AG111" s="181" t="n">
        <f aca="false">MAX(0,AB111-AF111-AB111*$C$25)</f>
        <v>212316.255917122</v>
      </c>
      <c r="AH111" s="180" t="n">
        <f aca="false">AG111/$D111</f>
        <v>180306.340889234</v>
      </c>
      <c r="AJ111" s="180" t="n">
        <f aca="false">AQ110</f>
        <v>211640.154693686</v>
      </c>
      <c r="AK111" s="180" t="n">
        <f aca="false">IF($D$9=0,0,IF($A111&gt;IN_PRAZO,0,IF(APORTE_CORRIGIDO="Sim",IN_APORTE*$D111,IN_APORTE))+IF(AND($D$35=1,PGBL_REINVESTE="Sim",$A111&gt;=13,$A111&lt;=IN_PRAZO,MONTH($B111)=5),PGBL_BENEFICIO,0))</f>
        <v>0</v>
      </c>
      <c r="AL111" s="180" t="n">
        <f aca="false">AK111*$D$24</f>
        <v>0</v>
      </c>
      <c r="AM111" s="180" t="n">
        <f aca="false">AJ111*$D$19</f>
        <v>1902.36923406061</v>
      </c>
      <c r="AN111" s="180" t="n">
        <f aca="false">AJ111*$D$22</f>
        <v>176.366795578072</v>
      </c>
      <c r="AO111" s="180" t="n">
        <f aca="false">$D$23*MAX(0,AM111-AJ111*$D$18)</f>
        <v>0</v>
      </c>
      <c r="AP111" s="180" t="n">
        <f aca="false">IF(AND($D$27=1,OR(MONTH($B111)=5,MONTH($B111)=11)),MAX(0,$D$28*MAX(0,(AJ111+AM111-AN111-AO111+AK111-AL111)+AS110-AR111)-AS110),0)</f>
        <v>0</v>
      </c>
      <c r="AQ111" s="181" t="n">
        <f aca="false">AJ111+AM111-AN111-AO111+AK111-AL111-AP111</f>
        <v>213366.157132168</v>
      </c>
      <c r="AR111" s="180" t="n">
        <f aca="false">AR110+AK111-AL111</f>
        <v>150000</v>
      </c>
      <c r="AS111" s="180" t="n">
        <f aca="false">AS110+AP111</f>
        <v>9683.76055309538</v>
      </c>
      <c r="AT111" s="180" t="n">
        <f aca="false">AQ111+AS111-AR111</f>
        <v>73049.9176852637</v>
      </c>
      <c r="AU111" s="180" t="n">
        <f aca="false">MAX(0,IFERROR(INDEX(TAB_IR,MATCH($C111,TAB_IR_DIAS,1),MATCH($D$8,TAB_IR_REGIMES,0)),0)*IF($D$26=2,AQ111,MAX(0,AT111))-AS111)</f>
        <v>1273.72709969418</v>
      </c>
      <c r="AV111" s="181" t="n">
        <f aca="false">MAX(0,AQ111-AU111-AQ111*$D$25)</f>
        <v>212092.430032474</v>
      </c>
      <c r="AW111" s="180" t="n">
        <f aca="false">AV111/$D111</f>
        <v>180116.260171755</v>
      </c>
      <c r="AY111" s="180" t="n">
        <f aca="false">BF110</f>
        <v>227524.430824403</v>
      </c>
      <c r="AZ111" s="180" t="n">
        <f aca="false">IF($E$9=0,0,IF($A111&gt;IN_PRAZO,0,IF(APORTE_CORRIGIDO="Sim",IN_APORTE*$D111,IN_APORTE))+IF(AND($E$35=1,PGBL_REINVESTE="Sim",$A111&gt;=13,$A111&lt;=IN_PRAZO,MONTH($B111)=5),PGBL_BENEFICIO,0))</f>
        <v>0</v>
      </c>
      <c r="BA111" s="180" t="n">
        <f aca="false">AZ111*$E$24</f>
        <v>0</v>
      </c>
      <c r="BB111" s="180" t="n">
        <f aca="false">AY111*$E$19</f>
        <v>2227.17871429597</v>
      </c>
      <c r="BC111" s="180" t="n">
        <f aca="false">AY111*$E$22</f>
        <v>284.405538530503</v>
      </c>
      <c r="BD111" s="180" t="n">
        <f aca="false">$E$23*MAX(0,BB111-AY111*$E$18)</f>
        <v>0</v>
      </c>
      <c r="BE111" s="180" t="n">
        <f aca="false">IF(AND($E$27=1,OR(MONTH($B111)=5,MONTH($B111)=11)),MAX(0,$E$28*MAX(0,(AY111+BB111-BC111-BD111+AZ111-BA111)+BH110-BG111)-BH110),0)</f>
        <v>0</v>
      </c>
      <c r="BF111" s="181" t="n">
        <f aca="false">AY111+BB111-BC111-BD111+AZ111-BA111-BE111</f>
        <v>229467.204000168</v>
      </c>
      <c r="BG111" s="180" t="n">
        <f aca="false">BG110+AZ111-BA111</f>
        <v>150000</v>
      </c>
      <c r="BH111" s="180" t="n">
        <f aca="false">BH110+BE111</f>
        <v>0</v>
      </c>
      <c r="BI111" s="180" t="n">
        <f aca="false">BF111+BH111-BG111</f>
        <v>79467.2040001681</v>
      </c>
      <c r="BJ111" s="180" t="n">
        <f aca="false">MAX(0,IFERROR(INDEX(TAB_IR,MATCH($C111,TAB_IR_DIAS,1),MATCH($E$8,TAB_IR_REGIMES,0)),0)*IF($E$26=2,BF111,MAX(0,BI111))-BH111)</f>
        <v>19866.801000042</v>
      </c>
      <c r="BK111" s="181" t="n">
        <f aca="false">MAX(0,BF111-BJ111-BF111*$E$25)</f>
        <v>209600.403000126</v>
      </c>
      <c r="BL111" s="180" t="n">
        <f aca="false">BK111/$D111</f>
        <v>177999.944237024</v>
      </c>
      <c r="BN111" s="180" t="n">
        <f aca="false">BU110</f>
        <v>227524.430824403</v>
      </c>
      <c r="BO111" s="180" t="n">
        <f aca="false">IF($F$9=0,0,IF($A111&gt;IN_PRAZO,0,IF(APORTE_CORRIGIDO="Sim",IN_APORTE*$D111,IN_APORTE))+IF(AND($F$35=1,PGBL_REINVESTE="Sim",$A111&gt;=13,$A111&lt;=IN_PRAZO,MONTH($B111)=5),PGBL_BENEFICIO,0))</f>
        <v>0</v>
      </c>
      <c r="BP111" s="180" t="n">
        <f aca="false">BO111*$F$24</f>
        <v>0</v>
      </c>
      <c r="BQ111" s="180" t="n">
        <f aca="false">BN111*$F$19</f>
        <v>2227.17871429597</v>
      </c>
      <c r="BR111" s="180" t="n">
        <f aca="false">BN111*$F$22</f>
        <v>284.405538530503</v>
      </c>
      <c r="BS111" s="180" t="n">
        <f aca="false">$F$23*MAX(0,BQ111-BN111*$F$18)</f>
        <v>0</v>
      </c>
      <c r="BT111" s="180" t="n">
        <f aca="false">IF(AND($F$27=1,OR(MONTH($B111)=5,MONTH($B111)=11)),MAX(0,$F$28*MAX(0,(BN111+BQ111-BR111-BS111+BO111-BP111)+BW110-BV111)-BW110),0)</f>
        <v>0</v>
      </c>
      <c r="BU111" s="181" t="n">
        <f aca="false">BN111+BQ111-BR111-BS111+BO111-BP111-BT111</f>
        <v>229467.204000168</v>
      </c>
      <c r="BV111" s="180" t="n">
        <f aca="false">BV110+BO111-BP111</f>
        <v>150000</v>
      </c>
      <c r="BW111" s="180" t="n">
        <f aca="false">BW110+BT111</f>
        <v>0</v>
      </c>
      <c r="BX111" s="180" t="n">
        <f aca="false">BU111+BW111-BV111</f>
        <v>79467.2040001681</v>
      </c>
      <c r="BY111" s="180" t="n">
        <f aca="false">MAX(0,IFERROR(INDEX(TAB_IR,MATCH($C111,TAB_IR_DIAS,1),MATCH($F$8,TAB_IR_REGIMES,0)),0)*IF($F$26=2,BU111,MAX(0,BX111))-BW111)</f>
        <v>57366.801000042</v>
      </c>
      <c r="BZ111" s="181" t="n">
        <f aca="false">MAX(0,BU111-BY111-BU111*$F$25)</f>
        <v>172100.403000126</v>
      </c>
      <c r="CA111" s="180" t="n">
        <f aca="false">BZ111/$D111</f>
        <v>146153.641399122</v>
      </c>
      <c r="CC111" s="180" t="n">
        <f aca="false">CJ110</f>
        <v>204346.941486917</v>
      </c>
      <c r="CD111" s="180" t="n">
        <f aca="false">IF($G$9=0,0,IF($A111&gt;IN_PRAZO,0,IF(APORTE_CORRIGIDO="Sim",IN_APORTE*$D111,IN_APORTE))+IF(AND($G$35=1,PGBL_REINVESTE="Sim",$A111&gt;=13,$A111&lt;=IN_PRAZO,MONTH($B111)=5),PGBL_BENEFICIO,0))</f>
        <v>0</v>
      </c>
      <c r="CE111" s="180" t="n">
        <f aca="false">CD111*$G$24</f>
        <v>0</v>
      </c>
      <c r="CF111" s="180" t="n">
        <f aca="false">CC111*$G$19</f>
        <v>1666.90406998355</v>
      </c>
      <c r="CG111" s="180" t="n">
        <f aca="false">CC111*$G$22</f>
        <v>170.289117905764</v>
      </c>
      <c r="CH111" s="180" t="n">
        <f aca="false">$G$23*MAX(0,CF111-CC111*$G$18)</f>
        <v>0</v>
      </c>
      <c r="CI111" s="180" t="n">
        <f aca="false">IF(AND($G$27=1,OR(MONTH($B111)=5,MONTH($B111)=11)),MAX(0,$G$28*MAX(0,(CC111+CF111-CG111-CH111+CD111-CE111)+CL110-CK111)-CL110),0)</f>
        <v>0</v>
      </c>
      <c r="CJ111" s="181" t="n">
        <f aca="false">CC111+CF111-CG111-CH111+CD111-CE111-CI111</f>
        <v>205843.556438994</v>
      </c>
      <c r="CK111" s="180" t="n">
        <f aca="false">CK110+CD111-CE111</f>
        <v>150000</v>
      </c>
      <c r="CL111" s="180" t="n">
        <f aca="false">CL110+CI111</f>
        <v>8553.26592918711</v>
      </c>
      <c r="CM111" s="180" t="n">
        <f aca="false">CJ111+CL111-CK111</f>
        <v>64396.8223681815</v>
      </c>
      <c r="CN111" s="180" t="n">
        <f aca="false">MAX(0,IFERROR(INDEX(TAB_IR,MATCH($C111,TAB_IR_DIAS,1),MATCH($G$8,TAB_IR_REGIMES,0)),0)*IF($G$26=2,CJ111,MAX(0,CM111))-CL111)</f>
        <v>1106.25742604012</v>
      </c>
      <c r="CO111" s="181" t="n">
        <f aca="false">MAX(0,CJ111-CN111-CJ111*$G$25)</f>
        <v>204737.299012954</v>
      </c>
      <c r="CP111" s="180" t="n">
        <f aca="false">CO111/$D111</f>
        <v>173870.027375486</v>
      </c>
    </row>
    <row r="112" customFormat="false" ht="12" hidden="false" customHeight="true" outlineLevel="0" collapsed="false">
      <c r="A112" s="177" t="n">
        <v>51</v>
      </c>
      <c r="B112" s="178" t="n">
        <f aca="false">EDATE(DATA_INICIO,$A112)</f>
        <v>47810</v>
      </c>
      <c r="C112" s="177" t="n">
        <f aca="false">$A112*30</f>
        <v>1530</v>
      </c>
      <c r="D112" s="179" t="n">
        <f aca="false">(1+IPCA_CENARIO)^($A112/12)</f>
        <v>1.18138565199647</v>
      </c>
      <c r="F112" s="180" t="n">
        <f aca="false">M111</f>
        <v>238550.842736135</v>
      </c>
      <c r="G112" s="180" t="n">
        <f aca="false">IF($B$9=0,0,IF($A112&gt;IN_PRAZO,0,IF(APORTE_CORRIGIDO="Sim",IN_APORTE*$D112,IN_APORTE))+IF(AND($B$35=1,PGBL_REINVESTE="Sim",$A112&gt;=13,$A112&lt;=IN_PRAZO,MONTH($B112)=5),PGBL_BENEFICIO,0))</f>
        <v>0</v>
      </c>
      <c r="H112" s="180" t="n">
        <f aca="false">G112*$B$24</f>
        <v>0</v>
      </c>
      <c r="I112" s="180" t="n">
        <f aca="false">F112*$B$19</f>
        <v>2263.55955109347</v>
      </c>
      <c r="J112" s="180" t="n">
        <f aca="false">F112*$B$22</f>
        <v>39.7584737893559</v>
      </c>
      <c r="K112" s="180" t="n">
        <f aca="false">$B$23*MAX(0,I112-F112*$B$18)</f>
        <v>0</v>
      </c>
      <c r="L112" s="180" t="n">
        <f aca="false">IF(AND($B$27=1,OR(MONTH($B112)=5,MONTH($B112)=11)),MAX(0,$B$28*MAX(0,(F112+I112-J112-K112+G112-H112)+O111-N112)-O111),0)</f>
        <v>0</v>
      </c>
      <c r="M112" s="181" t="n">
        <f aca="false">F112+I112-J112-K112+G112-H112-L112</f>
        <v>240774.643813439</v>
      </c>
      <c r="N112" s="180" t="n">
        <f aca="false">N111+G112-H112</f>
        <v>150000</v>
      </c>
      <c r="O112" s="180" t="n">
        <f aca="false">O111+L112</f>
        <v>0</v>
      </c>
      <c r="P112" s="180" t="n">
        <f aca="false">M112+O112-N112</f>
        <v>90774.6438134394</v>
      </c>
      <c r="Q112" s="180" t="n">
        <f aca="false">MAX(0,IFERROR(INDEX(TAB_IR,MATCH($C112,TAB_IR_DIAS,1),MATCH($B$8,TAB_IR_REGIMES,0)),0)*IF($B$26=2,M112,MAX(0,P112))-O112)</f>
        <v>13616.1965720159</v>
      </c>
      <c r="R112" s="181" t="n">
        <f aca="false">MAX(0,M112-Q112-M112*$B$25)</f>
        <v>227158.447241423</v>
      </c>
      <c r="S112" s="180" t="n">
        <f aca="false">R112/$D112</f>
        <v>192281.36625626</v>
      </c>
      <c r="U112" s="180" t="n">
        <f aca="false">AB111</f>
        <v>223313.242255438</v>
      </c>
      <c r="V112" s="180" t="n">
        <f aca="false">IF($C$9=0,0,IF($A112&gt;IN_PRAZO,0,IF(APORTE_CORRIGIDO="Sim",IN_APORTE*$D112,IN_APORTE))+IF(AND($C$35=1,PGBL_REINVESTE="Sim",$A112&gt;=13,$A112&lt;=IN_PRAZO,MONTH($B112)=5),PGBL_BENEFICIO,0))</f>
        <v>0</v>
      </c>
      <c r="W112" s="180" t="n">
        <f aca="false">V112*$C$24</f>
        <v>0</v>
      </c>
      <c r="X112" s="180" t="n">
        <f aca="false">U112*$C$19</f>
        <v>1821.61646114309</v>
      </c>
      <c r="Y112" s="180" t="n">
        <f aca="false">U112*$C$22</f>
        <v>37.2188737092396</v>
      </c>
      <c r="Z112" s="180" t="n">
        <f aca="false">$C$23*MAX(0,X112-U112*$C$18)</f>
        <v>0</v>
      </c>
      <c r="AA112" s="180" t="n">
        <f aca="false">IF(AND($C$27=1,OR(MONTH($B112)=5,MONTH($B112)=11)),MAX(0,$C$28*MAX(0,(U112+X112-Y112-Z112+V112-W112)+AD111-AC112)-AD111),0)</f>
        <v>0</v>
      </c>
      <c r="AB112" s="181" t="n">
        <f aca="false">U112+X112-Y112-Z112+V112-W112-AA112</f>
        <v>225097.639842871</v>
      </c>
      <c r="AC112" s="180" t="n">
        <f aca="false">AC111+V112-W112</f>
        <v>150000</v>
      </c>
      <c r="AD112" s="180" t="n">
        <f aca="false">AD111+AA112</f>
        <v>0</v>
      </c>
      <c r="AE112" s="180" t="n">
        <f aca="false">AB112+AD112-AC112</f>
        <v>75097.6398428714</v>
      </c>
      <c r="AF112" s="180" t="n">
        <f aca="false">MAX(0,IFERROR(INDEX(TAB_IR,MATCH($C112,TAB_IR_DIAS,1),MATCH($C$8,TAB_IR_REGIMES,0)),0)*IF($C$26=2,AB112,MAX(0,AE112))-AD112)</f>
        <v>11264.6459764307</v>
      </c>
      <c r="AG112" s="181" t="n">
        <f aca="false">MAX(0,AB112-AF112-AB112*$C$25)</f>
        <v>213832.993866441</v>
      </c>
      <c r="AH112" s="180" t="n">
        <f aca="false">AG112/$D112</f>
        <v>181001.854479167</v>
      </c>
      <c r="AJ112" s="180" t="n">
        <f aca="false">AQ111</f>
        <v>213366.157132168</v>
      </c>
      <c r="AK112" s="180" t="n">
        <f aca="false">IF($D$9=0,0,IF($A112&gt;IN_PRAZO,0,IF(APORTE_CORRIGIDO="Sim",IN_APORTE*$D112,IN_APORTE))+IF(AND($D$35=1,PGBL_REINVESTE="Sim",$A112&gt;=13,$A112&lt;=IN_PRAZO,MONTH($B112)=5),PGBL_BENEFICIO,0))</f>
        <v>0</v>
      </c>
      <c r="AL112" s="180" t="n">
        <f aca="false">AK112*$D$24</f>
        <v>0</v>
      </c>
      <c r="AM112" s="180" t="n">
        <f aca="false">AJ112*$D$19</f>
        <v>1917.88374708691</v>
      </c>
      <c r="AN112" s="180" t="n">
        <f aca="false">AJ112*$D$22</f>
        <v>177.805130943474</v>
      </c>
      <c r="AO112" s="180" t="n">
        <f aca="false">$D$23*MAX(0,AM112-AJ112*$D$18)</f>
        <v>0</v>
      </c>
      <c r="AP112" s="180" t="n">
        <f aca="false">IF(AND($D$27=1,OR(MONTH($B112)=5,MONTH($B112)=11)),MAX(0,$D$28*MAX(0,(AJ112+AM112-AN112-AO112+AK112-AL112)+AS111-AR112)-AS111),0)</f>
        <v>1534.7388921157</v>
      </c>
      <c r="AQ112" s="181" t="n">
        <f aca="false">AJ112+AM112-AN112-AO112+AK112-AL112-AP112</f>
        <v>213571.496856196</v>
      </c>
      <c r="AR112" s="180" t="n">
        <f aca="false">AR111+AK112-AL112</f>
        <v>150000</v>
      </c>
      <c r="AS112" s="180" t="n">
        <f aca="false">AS111+AP112</f>
        <v>11218.4994452111</v>
      </c>
      <c r="AT112" s="180" t="n">
        <f aca="false">AQ112+AS112-AR112</f>
        <v>74789.9963014072</v>
      </c>
      <c r="AU112" s="180" t="n">
        <f aca="false">MAX(0,IFERROR(INDEX(TAB_IR,MATCH($C112,TAB_IR_DIAS,1),MATCH($D$8,TAB_IR_REGIMES,0)),0)*IF($D$26=2,AQ112,MAX(0,AT112))-AS112)</f>
        <v>0</v>
      </c>
      <c r="AV112" s="181" t="n">
        <f aca="false">MAX(0,AQ112-AU112-AQ112*$D$25)</f>
        <v>213571.496856196</v>
      </c>
      <c r="AW112" s="180" t="n">
        <f aca="false">AV112/$D112</f>
        <v>180780.506767856</v>
      </c>
      <c r="AY112" s="180" t="n">
        <f aca="false">BF111</f>
        <v>229467.204000168</v>
      </c>
      <c r="AZ112" s="180" t="n">
        <f aca="false">IF($E$9=0,0,IF($A112&gt;IN_PRAZO,0,IF(APORTE_CORRIGIDO="Sim",IN_APORTE*$D112,IN_APORTE))+IF(AND($E$35=1,PGBL_REINVESTE="Sim",$A112&gt;=13,$A112&lt;=IN_PRAZO,MONTH($B112)=5),PGBL_BENEFICIO,0))</f>
        <v>0</v>
      </c>
      <c r="BA112" s="180" t="n">
        <f aca="false">AZ112*$E$24</f>
        <v>0</v>
      </c>
      <c r="BB112" s="180" t="n">
        <f aca="false">AY112*$E$19</f>
        <v>2246.1960261868</v>
      </c>
      <c r="BC112" s="180" t="n">
        <f aca="false">AY112*$E$22</f>
        <v>286.83400500021</v>
      </c>
      <c r="BD112" s="180" t="n">
        <f aca="false">$E$23*MAX(0,BB112-AY112*$E$18)</f>
        <v>0</v>
      </c>
      <c r="BE112" s="180" t="n">
        <f aca="false">IF(AND($E$27=1,OR(MONTH($B112)=5,MONTH($B112)=11)),MAX(0,$E$28*MAX(0,(AY112+BB112-BC112-BD112+AZ112-BA112)+BH111-BG112)-BH111),0)</f>
        <v>0</v>
      </c>
      <c r="BF112" s="181" t="n">
        <f aca="false">AY112+BB112-BC112-BD112+AZ112-BA112-BE112</f>
        <v>231426.566021355</v>
      </c>
      <c r="BG112" s="180" t="n">
        <f aca="false">BG111+AZ112-BA112</f>
        <v>150000</v>
      </c>
      <c r="BH112" s="180" t="n">
        <f aca="false">BH111+BE112</f>
        <v>0</v>
      </c>
      <c r="BI112" s="180" t="n">
        <f aca="false">BF112+BH112-BG112</f>
        <v>81426.5660213547</v>
      </c>
      <c r="BJ112" s="180" t="n">
        <f aca="false">MAX(0,IFERROR(INDEX(TAB_IR,MATCH($C112,TAB_IR_DIAS,1),MATCH($E$8,TAB_IR_REGIMES,0)),0)*IF($E$26=2,BF112,MAX(0,BI112))-BH112)</f>
        <v>20356.6415053387</v>
      </c>
      <c r="BK112" s="181" t="n">
        <f aca="false">MAX(0,BF112-BJ112-BF112*$E$25)</f>
        <v>211069.924516016</v>
      </c>
      <c r="BL112" s="180" t="n">
        <f aca="false">BK112/$D112</f>
        <v>178663.016737439</v>
      </c>
      <c r="BN112" s="180" t="n">
        <f aca="false">BU111</f>
        <v>229467.204000168</v>
      </c>
      <c r="BO112" s="180" t="n">
        <f aca="false">IF($F$9=0,0,IF($A112&gt;IN_PRAZO,0,IF(APORTE_CORRIGIDO="Sim",IN_APORTE*$D112,IN_APORTE))+IF(AND($F$35=1,PGBL_REINVESTE="Sim",$A112&gt;=13,$A112&lt;=IN_PRAZO,MONTH($B112)=5),PGBL_BENEFICIO,0))</f>
        <v>0</v>
      </c>
      <c r="BP112" s="180" t="n">
        <f aca="false">BO112*$F$24</f>
        <v>0</v>
      </c>
      <c r="BQ112" s="180" t="n">
        <f aca="false">BN112*$F$19</f>
        <v>2246.1960261868</v>
      </c>
      <c r="BR112" s="180" t="n">
        <f aca="false">BN112*$F$22</f>
        <v>286.83400500021</v>
      </c>
      <c r="BS112" s="180" t="n">
        <f aca="false">$F$23*MAX(0,BQ112-BN112*$F$18)</f>
        <v>0</v>
      </c>
      <c r="BT112" s="180" t="n">
        <f aca="false">IF(AND($F$27=1,OR(MONTH($B112)=5,MONTH($B112)=11)),MAX(0,$F$28*MAX(0,(BN112+BQ112-BR112-BS112+BO112-BP112)+BW111-BV112)-BW111),0)</f>
        <v>0</v>
      </c>
      <c r="BU112" s="181" t="n">
        <f aca="false">BN112+BQ112-BR112-BS112+BO112-BP112-BT112</f>
        <v>231426.566021355</v>
      </c>
      <c r="BV112" s="180" t="n">
        <f aca="false">BV111+BO112-BP112</f>
        <v>150000</v>
      </c>
      <c r="BW112" s="180" t="n">
        <f aca="false">BW111+BT112</f>
        <v>0</v>
      </c>
      <c r="BX112" s="180" t="n">
        <f aca="false">BU112+BW112-BV112</f>
        <v>81426.5660213547</v>
      </c>
      <c r="BY112" s="180" t="n">
        <f aca="false">MAX(0,IFERROR(INDEX(TAB_IR,MATCH($C112,TAB_IR_DIAS,1),MATCH($F$8,TAB_IR_REGIMES,0)),0)*IF($F$26=2,BU112,MAX(0,BX112))-BW112)</f>
        <v>57856.6415053387</v>
      </c>
      <c r="BZ112" s="181" t="n">
        <f aca="false">MAX(0,BU112-BY112-BU112*$F$25)</f>
        <v>173569.924516016</v>
      </c>
      <c r="CA112" s="180" t="n">
        <f aca="false">BZ112/$D112</f>
        <v>146920.630213083</v>
      </c>
      <c r="CC112" s="180" t="n">
        <f aca="false">CJ111</f>
        <v>205843.556438994</v>
      </c>
      <c r="CD112" s="180" t="n">
        <f aca="false">IF($G$9=0,0,IF($A112&gt;IN_PRAZO,0,IF(APORTE_CORRIGIDO="Sim",IN_APORTE*$D112,IN_APORTE))+IF(AND($G$35=1,PGBL_REINVESTE="Sim",$A112&gt;=13,$A112&lt;=IN_PRAZO,MONTH($B112)=5),PGBL_BENEFICIO,0))</f>
        <v>0</v>
      </c>
      <c r="CE112" s="180" t="n">
        <f aca="false">CD112*$G$24</f>
        <v>0</v>
      </c>
      <c r="CF112" s="180" t="n">
        <f aca="false">CC112*$G$19</f>
        <v>1679.11229554672</v>
      </c>
      <c r="CG112" s="180" t="n">
        <f aca="false">CC112*$G$22</f>
        <v>171.536297032495</v>
      </c>
      <c r="CH112" s="180" t="n">
        <f aca="false">$G$23*MAX(0,CF112-CC112*$G$18)</f>
        <v>0</v>
      </c>
      <c r="CI112" s="180" t="n">
        <f aca="false">IF(AND($G$27=1,OR(MONTH($B112)=5,MONTH($B112)=11)),MAX(0,$G$28*MAX(0,(CC112+CF112-CG112-CH112+CD112-CE112)+CL111-CK112)-CL111),0)</f>
        <v>1332.39382581725</v>
      </c>
      <c r="CJ112" s="181" t="n">
        <f aca="false">CC112+CF112-CG112-CH112+CD112-CE112-CI112</f>
        <v>206018.738611691</v>
      </c>
      <c r="CK112" s="180" t="n">
        <f aca="false">CK111+CD112-CE112</f>
        <v>150000</v>
      </c>
      <c r="CL112" s="180" t="n">
        <f aca="false">CL111+CI112</f>
        <v>9885.65975500436</v>
      </c>
      <c r="CM112" s="180" t="n">
        <f aca="false">CJ112+CL112-CK112</f>
        <v>65904.3983666957</v>
      </c>
      <c r="CN112" s="180" t="n">
        <f aca="false">MAX(0,IFERROR(INDEX(TAB_IR,MATCH($C112,TAB_IR_DIAS,1),MATCH($G$8,TAB_IR_REGIMES,0)),0)*IF($G$26=2,CJ112,MAX(0,CM112))-CL112)</f>
        <v>0</v>
      </c>
      <c r="CO112" s="181" t="n">
        <f aca="false">MAX(0,CJ112-CN112-CJ112*$G$25)</f>
        <v>206018.738611691</v>
      </c>
      <c r="CP112" s="180" t="n">
        <f aca="false">CO112/$D112</f>
        <v>174387.371527267</v>
      </c>
    </row>
    <row r="113" customFormat="false" ht="12" hidden="false" customHeight="true" outlineLevel="0" collapsed="false">
      <c r="A113" s="177" t="n">
        <v>52</v>
      </c>
      <c r="B113" s="178" t="n">
        <f aca="false">EDATE(DATA_INICIO,$A113)</f>
        <v>47840</v>
      </c>
      <c r="C113" s="177" t="n">
        <f aca="false">$A113*30</f>
        <v>1560</v>
      </c>
      <c r="D113" s="179" t="n">
        <f aca="false">(1+IPCA_CENARIO)^($A113/12)</f>
        <v>1.18525320120353</v>
      </c>
      <c r="F113" s="180" t="n">
        <f aca="false">M112</f>
        <v>240774.643813439</v>
      </c>
      <c r="G113" s="180" t="n">
        <f aca="false">IF($B$9=0,0,IF($A113&gt;IN_PRAZO,0,IF(APORTE_CORRIGIDO="Sim",IN_APORTE*$D113,IN_APORTE))+IF(AND($B$35=1,PGBL_REINVESTE="Sim",$A113&gt;=13,$A113&lt;=IN_PRAZO,MONTH($B113)=5),PGBL_BENEFICIO,0))</f>
        <v>0</v>
      </c>
      <c r="H113" s="180" t="n">
        <f aca="false">G113*$B$24</f>
        <v>0</v>
      </c>
      <c r="I113" s="180" t="n">
        <f aca="false">F113*$B$19</f>
        <v>2284.66073904371</v>
      </c>
      <c r="J113" s="180" t="n">
        <f aca="false">F113*$B$22</f>
        <v>40.1291073022399</v>
      </c>
      <c r="K113" s="180" t="n">
        <f aca="false">$B$23*MAX(0,I113-F113*$B$18)</f>
        <v>0</v>
      </c>
      <c r="L113" s="180" t="n">
        <f aca="false">IF(AND($B$27=1,OR(MONTH($B113)=5,MONTH($B113)=11)),MAX(0,$B$28*MAX(0,(F113+I113-J113-K113+G113-H113)+O112-N113)-O112),0)</f>
        <v>0</v>
      </c>
      <c r="M113" s="181" t="n">
        <f aca="false">F113+I113-J113-K113+G113-H113-L113</f>
        <v>243019.175445181</v>
      </c>
      <c r="N113" s="180" t="n">
        <f aca="false">N112+G113-H113</f>
        <v>150000</v>
      </c>
      <c r="O113" s="180" t="n">
        <f aca="false">O112+L113</f>
        <v>0</v>
      </c>
      <c r="P113" s="180" t="n">
        <f aca="false">M113+O113-N113</f>
        <v>93019.1754451809</v>
      </c>
      <c r="Q113" s="180" t="n">
        <f aca="false">MAX(0,IFERROR(INDEX(TAB_IR,MATCH($C113,TAB_IR_DIAS,1),MATCH($B$8,TAB_IR_REGIMES,0)),0)*IF($B$26=2,M113,MAX(0,P113))-O113)</f>
        <v>13952.8763167771</v>
      </c>
      <c r="R113" s="181" t="n">
        <f aca="false">MAX(0,M113-Q113-M113*$B$25)</f>
        <v>229066.299128404</v>
      </c>
      <c r="S113" s="180" t="n">
        <f aca="false">R113/$D113</f>
        <v>193263.598778561</v>
      </c>
      <c r="U113" s="180" t="n">
        <f aca="false">AB112</f>
        <v>225097.639842871</v>
      </c>
      <c r="V113" s="180" t="n">
        <f aca="false">IF($C$9=0,0,IF($A113&gt;IN_PRAZO,0,IF(APORTE_CORRIGIDO="Sim",IN_APORTE*$D113,IN_APORTE))+IF(AND($C$35=1,PGBL_REINVESTE="Sim",$A113&gt;=13,$A113&lt;=IN_PRAZO,MONTH($B113)=5),PGBL_BENEFICIO,0))</f>
        <v>0</v>
      </c>
      <c r="W113" s="180" t="n">
        <f aca="false">V113*$C$24</f>
        <v>0</v>
      </c>
      <c r="X113" s="180" t="n">
        <f aca="false">U113*$C$19</f>
        <v>1836.172194541</v>
      </c>
      <c r="Y113" s="180" t="n">
        <f aca="false">U113*$C$22</f>
        <v>37.5162733071452</v>
      </c>
      <c r="Z113" s="180" t="n">
        <f aca="false">$C$23*MAX(0,X113-U113*$C$18)</f>
        <v>0</v>
      </c>
      <c r="AA113" s="180" t="n">
        <f aca="false">IF(AND($C$27=1,OR(MONTH($B113)=5,MONTH($B113)=11)),MAX(0,$C$28*MAX(0,(U113+X113-Y113-Z113+V113-W113)+AD112-AC113)-AD112),0)</f>
        <v>0</v>
      </c>
      <c r="AB113" s="181" t="n">
        <f aca="false">U113+X113-Y113-Z113+V113-W113-AA113</f>
        <v>226896.295764105</v>
      </c>
      <c r="AC113" s="180" t="n">
        <f aca="false">AC112+V113-W113</f>
        <v>150000</v>
      </c>
      <c r="AD113" s="180" t="n">
        <f aca="false">AD112+AA113</f>
        <v>0</v>
      </c>
      <c r="AE113" s="180" t="n">
        <f aca="false">AB113+AD113-AC113</f>
        <v>76896.2957641052</v>
      </c>
      <c r="AF113" s="180" t="n">
        <f aca="false">MAX(0,IFERROR(INDEX(TAB_IR,MATCH($C113,TAB_IR_DIAS,1),MATCH($C$8,TAB_IR_REGIMES,0)),0)*IF($C$26=2,AB113,MAX(0,AE113))-AD113)</f>
        <v>11534.4443646158</v>
      </c>
      <c r="AG113" s="181" t="n">
        <f aca="false">MAX(0,AB113-AF113-AB113*$C$25)</f>
        <v>215361.851399489</v>
      </c>
      <c r="AH113" s="180" t="n">
        <f aca="false">AG113/$D113</f>
        <v>181701.134559946</v>
      </c>
      <c r="AJ113" s="180" t="n">
        <f aca="false">AQ112</f>
        <v>213571.496856196</v>
      </c>
      <c r="AK113" s="180" t="n">
        <f aca="false">IF($D$9=0,0,IF($A113&gt;IN_PRAZO,0,IF(APORTE_CORRIGIDO="Sim",IN_APORTE*$D113,IN_APORTE))+IF(AND($D$35=1,PGBL_REINVESTE="Sim",$A113&gt;=13,$A113&lt;=IN_PRAZO,MONTH($B113)=5),PGBL_BENEFICIO,0))</f>
        <v>0</v>
      </c>
      <c r="AL113" s="180" t="n">
        <f aca="false">AK113*$D$24</f>
        <v>0</v>
      </c>
      <c r="AM113" s="180" t="n">
        <f aca="false">AJ113*$D$19</f>
        <v>1919.72948365843</v>
      </c>
      <c r="AN113" s="180" t="n">
        <f aca="false">AJ113*$D$22</f>
        <v>177.976247380163</v>
      </c>
      <c r="AO113" s="180" t="n">
        <f aca="false">$D$23*MAX(0,AM113-AJ113*$D$18)</f>
        <v>0</v>
      </c>
      <c r="AP113" s="180" t="n">
        <f aca="false">IF(AND($D$27=1,OR(MONTH($B113)=5,MONTH($B113)=11)),MAX(0,$D$28*MAX(0,(AJ113+AM113-AN113-AO113+AK113-AL113)+AS112-AR113)-AS112),0)</f>
        <v>0</v>
      </c>
      <c r="AQ113" s="181" t="n">
        <f aca="false">AJ113+AM113-AN113-AO113+AK113-AL113-AP113</f>
        <v>215313.250092474</v>
      </c>
      <c r="AR113" s="180" t="n">
        <f aca="false">AR112+AK113-AL113</f>
        <v>150000</v>
      </c>
      <c r="AS113" s="180" t="n">
        <f aca="false">AS112+AP113</f>
        <v>11218.4994452111</v>
      </c>
      <c r="AT113" s="180" t="n">
        <f aca="false">AQ113+AS113-AR113</f>
        <v>76531.7495376854</v>
      </c>
      <c r="AU113" s="180" t="n">
        <f aca="false">MAX(0,IFERROR(INDEX(TAB_IR,MATCH($C113,TAB_IR_DIAS,1),MATCH($D$8,TAB_IR_REGIMES,0)),0)*IF($D$26=2,AQ113,MAX(0,AT113))-AS113)</f>
        <v>261.262985441737</v>
      </c>
      <c r="AV113" s="181" t="n">
        <f aca="false">MAX(0,AQ113-AU113-AQ113*$D$25)</f>
        <v>215051.987107033</v>
      </c>
      <c r="AW113" s="180" t="n">
        <f aca="false">AV113/$D113</f>
        <v>181439.701566437</v>
      </c>
      <c r="AY113" s="180" t="n">
        <f aca="false">BF112</f>
        <v>231426.566021355</v>
      </c>
      <c r="AZ113" s="180" t="n">
        <f aca="false">IF($E$9=0,0,IF($A113&gt;IN_PRAZO,0,IF(APORTE_CORRIGIDO="Sim",IN_APORTE*$D113,IN_APORTE))+IF(AND($E$35=1,PGBL_REINVESTE="Sim",$A113&gt;=13,$A113&lt;=IN_PRAZO,MONTH($B113)=5),PGBL_BENEFICIO,0))</f>
        <v>0</v>
      </c>
      <c r="BA113" s="180" t="n">
        <f aca="false">AZ113*$E$24</f>
        <v>0</v>
      </c>
      <c r="BB113" s="180" t="n">
        <f aca="false">AY113*$E$19</f>
        <v>2265.3757220611</v>
      </c>
      <c r="BC113" s="180" t="n">
        <f aca="false">AY113*$E$22</f>
        <v>289.283207526693</v>
      </c>
      <c r="BD113" s="180" t="n">
        <f aca="false">$E$23*MAX(0,BB113-AY113*$E$18)</f>
        <v>0</v>
      </c>
      <c r="BE113" s="180" t="n">
        <f aca="false">IF(AND($E$27=1,OR(MONTH($B113)=5,MONTH($B113)=11)),MAX(0,$E$28*MAX(0,(AY113+BB113-BC113-BD113+AZ113-BA113)+BH112-BG113)-BH112),0)</f>
        <v>0</v>
      </c>
      <c r="BF113" s="181" t="n">
        <f aca="false">AY113+BB113-BC113-BD113+AZ113-BA113-BE113</f>
        <v>233402.658535889</v>
      </c>
      <c r="BG113" s="180" t="n">
        <f aca="false">BG112+AZ113-BA113</f>
        <v>150000</v>
      </c>
      <c r="BH113" s="180" t="n">
        <f aca="false">BH112+BE113</f>
        <v>0</v>
      </c>
      <c r="BI113" s="180" t="n">
        <f aca="false">BF113+BH113-BG113</f>
        <v>83402.6585358892</v>
      </c>
      <c r="BJ113" s="180" t="n">
        <f aca="false">MAX(0,IFERROR(INDEX(TAB_IR,MATCH($C113,TAB_IR_DIAS,1),MATCH($E$8,TAB_IR_REGIMES,0)),0)*IF($E$26=2,BF113,MAX(0,BI113))-BH113)</f>
        <v>20850.6646339723</v>
      </c>
      <c r="BK113" s="181" t="n">
        <f aca="false">MAX(0,BF113-BJ113-BF113*$E$25)</f>
        <v>212551.993901917</v>
      </c>
      <c r="BL113" s="180" t="n">
        <f aca="false">BK113/$D113</f>
        <v>179330.453346245</v>
      </c>
      <c r="BN113" s="180" t="n">
        <f aca="false">BU112</f>
        <v>231426.566021355</v>
      </c>
      <c r="BO113" s="180" t="n">
        <f aca="false">IF($F$9=0,0,IF($A113&gt;IN_PRAZO,0,IF(APORTE_CORRIGIDO="Sim",IN_APORTE*$D113,IN_APORTE))+IF(AND($F$35=1,PGBL_REINVESTE="Sim",$A113&gt;=13,$A113&lt;=IN_PRAZO,MONTH($B113)=5),PGBL_BENEFICIO,0))</f>
        <v>0</v>
      </c>
      <c r="BP113" s="180" t="n">
        <f aca="false">BO113*$F$24</f>
        <v>0</v>
      </c>
      <c r="BQ113" s="180" t="n">
        <f aca="false">BN113*$F$19</f>
        <v>2265.3757220611</v>
      </c>
      <c r="BR113" s="180" t="n">
        <f aca="false">BN113*$F$22</f>
        <v>289.283207526693</v>
      </c>
      <c r="BS113" s="180" t="n">
        <f aca="false">$F$23*MAX(0,BQ113-BN113*$F$18)</f>
        <v>0</v>
      </c>
      <c r="BT113" s="180" t="n">
        <f aca="false">IF(AND($F$27=1,OR(MONTH($B113)=5,MONTH($B113)=11)),MAX(0,$F$28*MAX(0,(BN113+BQ113-BR113-BS113+BO113-BP113)+BW112-BV113)-BW112),0)</f>
        <v>0</v>
      </c>
      <c r="BU113" s="181" t="n">
        <f aca="false">BN113+BQ113-BR113-BS113+BO113-BP113-BT113</f>
        <v>233402.658535889</v>
      </c>
      <c r="BV113" s="180" t="n">
        <f aca="false">BV112+BO113-BP113</f>
        <v>150000</v>
      </c>
      <c r="BW113" s="180" t="n">
        <f aca="false">BW112+BT113</f>
        <v>0</v>
      </c>
      <c r="BX113" s="180" t="n">
        <f aca="false">BU113+BW113-BV113</f>
        <v>83402.6585358892</v>
      </c>
      <c r="BY113" s="180" t="n">
        <f aca="false">MAX(0,IFERROR(INDEX(TAB_IR,MATCH($C113,TAB_IR_DIAS,1),MATCH($F$8,TAB_IR_REGIMES,0)),0)*IF($F$26=2,BU113,MAX(0,BX113))-BW113)</f>
        <v>58350.6646339723</v>
      </c>
      <c r="BZ113" s="181" t="n">
        <f aca="false">MAX(0,BU113-BY113-BU113*$F$25)</f>
        <v>175051.993901917</v>
      </c>
      <c r="CA113" s="180" t="n">
        <f aca="false">BZ113/$D113</f>
        <v>147691.644050542</v>
      </c>
      <c r="CC113" s="180" t="n">
        <f aca="false">CJ112</f>
        <v>206018.738611691</v>
      </c>
      <c r="CD113" s="180" t="n">
        <f aca="false">IF($G$9=0,0,IF($A113&gt;IN_PRAZO,0,IF(APORTE_CORRIGIDO="Sim",IN_APORTE*$D113,IN_APORTE))+IF(AND($G$35=1,PGBL_REINVESTE="Sim",$A113&gt;=13,$A113&lt;=IN_PRAZO,MONTH($B113)=5),PGBL_BENEFICIO,0))</f>
        <v>0</v>
      </c>
      <c r="CE113" s="180" t="n">
        <f aca="false">CD113*$G$24</f>
        <v>0</v>
      </c>
      <c r="CF113" s="180" t="n">
        <f aca="false">CC113*$G$19</f>
        <v>1680.54129602274</v>
      </c>
      <c r="CG113" s="180" t="n">
        <f aca="false">CC113*$G$22</f>
        <v>171.682282176409</v>
      </c>
      <c r="CH113" s="180" t="n">
        <f aca="false">$G$23*MAX(0,CF113-CC113*$G$18)</f>
        <v>0</v>
      </c>
      <c r="CI113" s="180" t="n">
        <f aca="false">IF(AND($G$27=1,OR(MONTH($B113)=5,MONTH($B113)=11)),MAX(0,$G$28*MAX(0,(CC113+CF113-CG113-CH113+CD113-CE113)+CL112-CK113)-CL112),0)</f>
        <v>0</v>
      </c>
      <c r="CJ113" s="181" t="n">
        <f aca="false">CC113+CF113-CG113-CH113+CD113-CE113-CI113</f>
        <v>207527.597625538</v>
      </c>
      <c r="CK113" s="180" t="n">
        <f aca="false">CK112+CD113-CE113</f>
        <v>150000</v>
      </c>
      <c r="CL113" s="180" t="n">
        <f aca="false">CL112+CI113</f>
        <v>9885.65975500436</v>
      </c>
      <c r="CM113" s="180" t="n">
        <f aca="false">CJ113+CL113-CK113</f>
        <v>67413.2573805421</v>
      </c>
      <c r="CN113" s="180" t="n">
        <f aca="false">MAX(0,IFERROR(INDEX(TAB_IR,MATCH($C113,TAB_IR_DIAS,1),MATCH($G$8,TAB_IR_REGIMES,0)),0)*IF($G$26=2,CJ113,MAX(0,CM113))-CL113)</f>
        <v>226.328852076947</v>
      </c>
      <c r="CO113" s="181" t="n">
        <f aca="false">MAX(0,CJ113-CN113-CJ113*$G$25)</f>
        <v>207301.268773461</v>
      </c>
      <c r="CP113" s="180" t="n">
        <f aca="false">CO113/$D113</f>
        <v>174900.408252821</v>
      </c>
    </row>
    <row r="114" customFormat="false" ht="12" hidden="false" customHeight="true" outlineLevel="0" collapsed="false">
      <c r="A114" s="177" t="n">
        <v>53</v>
      </c>
      <c r="B114" s="178" t="n">
        <f aca="false">EDATE(DATA_INICIO,$A114)</f>
        <v>47871</v>
      </c>
      <c r="C114" s="177" t="n">
        <f aca="false">$A114*30</f>
        <v>1590</v>
      </c>
      <c r="D114" s="179" t="n">
        <f aca="false">(1+IPCA_CENARIO)^($A114/12)</f>
        <v>1.18913341176029</v>
      </c>
      <c r="F114" s="180" t="n">
        <f aca="false">M113</f>
        <v>243019.175445181</v>
      </c>
      <c r="G114" s="180" t="n">
        <f aca="false">IF($B$9=0,0,IF($A114&gt;IN_PRAZO,0,IF(APORTE_CORRIGIDO="Sim",IN_APORTE*$D114,IN_APORTE))+IF(AND($B$35=1,PGBL_REINVESTE="Sim",$A114&gt;=13,$A114&lt;=IN_PRAZO,MONTH($B114)=5),PGBL_BENEFICIO,0))</f>
        <v>0</v>
      </c>
      <c r="H114" s="180" t="n">
        <f aca="false">G114*$B$24</f>
        <v>0</v>
      </c>
      <c r="I114" s="180" t="n">
        <f aca="false">F114*$B$19</f>
        <v>2305.95863493243</v>
      </c>
      <c r="J114" s="180" t="n">
        <f aca="false">F114*$B$22</f>
        <v>40.5031959075301</v>
      </c>
      <c r="K114" s="180" t="n">
        <f aca="false">$B$23*MAX(0,I114-F114*$B$18)</f>
        <v>0</v>
      </c>
      <c r="L114" s="180" t="n">
        <f aca="false">IF(AND($B$27=1,OR(MONTH($B114)=5,MONTH($B114)=11)),MAX(0,$B$28*MAX(0,(F114+I114-J114-K114+G114-H114)+O113-N114)-O113),0)</f>
        <v>0</v>
      </c>
      <c r="M114" s="181" t="n">
        <f aca="false">F114+I114-J114-K114+G114-H114-L114</f>
        <v>245284.630884206</v>
      </c>
      <c r="N114" s="180" t="n">
        <f aca="false">N113+G114-H114</f>
        <v>150000</v>
      </c>
      <c r="O114" s="180" t="n">
        <f aca="false">O113+L114</f>
        <v>0</v>
      </c>
      <c r="P114" s="180" t="n">
        <f aca="false">M114+O114-N114</f>
        <v>95284.6308842058</v>
      </c>
      <c r="Q114" s="180" t="n">
        <f aca="false">MAX(0,IFERROR(INDEX(TAB_IR,MATCH($C114,TAB_IR_DIAS,1),MATCH($B$8,TAB_IR_REGIMES,0)),0)*IF($B$26=2,M114,MAX(0,P114))-O114)</f>
        <v>14292.6946326309</v>
      </c>
      <c r="R114" s="181" t="n">
        <f aca="false">MAX(0,M114-Q114-M114*$B$25)</f>
        <v>230991.936251575</v>
      </c>
      <c r="S114" s="180" t="n">
        <f aca="false">R114/$D114</f>
        <v>194252.330282802</v>
      </c>
      <c r="U114" s="180" t="n">
        <f aca="false">AB113</f>
        <v>226896.295764105</v>
      </c>
      <c r="V114" s="180" t="n">
        <f aca="false">IF($C$9=0,0,IF($A114&gt;IN_PRAZO,0,IF(APORTE_CORRIGIDO="Sim",IN_APORTE*$D114,IN_APORTE))+IF(AND($C$35=1,PGBL_REINVESTE="Sim",$A114&gt;=13,$A114&lt;=IN_PRAZO,MONTH($B114)=5),PGBL_BENEFICIO,0))</f>
        <v>0</v>
      </c>
      <c r="W114" s="180" t="n">
        <f aca="false">V114*$C$24</f>
        <v>0</v>
      </c>
      <c r="X114" s="180" t="n">
        <f aca="false">U114*$C$19</f>
        <v>1850.84423638214</v>
      </c>
      <c r="Y114" s="180" t="n">
        <f aca="false">U114*$C$22</f>
        <v>37.8160492940175</v>
      </c>
      <c r="Z114" s="180" t="n">
        <f aca="false">$C$23*MAX(0,X114-U114*$C$18)</f>
        <v>0</v>
      </c>
      <c r="AA114" s="180" t="n">
        <f aca="false">IF(AND($C$27=1,OR(MONTH($B114)=5,MONTH($B114)=11)),MAX(0,$C$28*MAX(0,(U114+X114-Y114-Z114+V114-W114)+AD113-AC114)-AD113),0)</f>
        <v>0</v>
      </c>
      <c r="AB114" s="181" t="n">
        <f aca="false">U114+X114-Y114-Z114+V114-W114-AA114</f>
        <v>228709.323951193</v>
      </c>
      <c r="AC114" s="180" t="n">
        <f aca="false">AC113+V114-W114</f>
        <v>150000</v>
      </c>
      <c r="AD114" s="180" t="n">
        <f aca="false">AD113+AA114</f>
        <v>0</v>
      </c>
      <c r="AE114" s="180" t="n">
        <f aca="false">AB114+AD114-AC114</f>
        <v>78709.3239511933</v>
      </c>
      <c r="AF114" s="180" t="n">
        <f aca="false">MAX(0,IFERROR(INDEX(TAB_IR,MATCH($C114,TAB_IR_DIAS,1),MATCH($C$8,TAB_IR_REGIMES,0)),0)*IF($C$26=2,AB114,MAX(0,AE114))-AD114)</f>
        <v>11806.398592679</v>
      </c>
      <c r="AG114" s="181" t="n">
        <f aca="false">MAX(0,AB114-AF114-AB114*$C$25)</f>
        <v>216902.925358514</v>
      </c>
      <c r="AH114" s="180" t="n">
        <f aca="false">AG114/$D114</f>
        <v>182404.197219074</v>
      </c>
      <c r="AJ114" s="180" t="n">
        <f aca="false">AQ113</f>
        <v>215313.250092474</v>
      </c>
      <c r="AK114" s="180" t="n">
        <f aca="false">IF($D$9=0,0,IF($A114&gt;IN_PRAZO,0,IF(APORTE_CORRIGIDO="Sim",IN_APORTE*$D114,IN_APORTE))+IF(AND($D$35=1,PGBL_REINVESTE="Sim",$A114&gt;=13,$A114&lt;=IN_PRAZO,MONTH($B114)=5),PGBL_BENEFICIO,0))</f>
        <v>0</v>
      </c>
      <c r="AL114" s="180" t="n">
        <f aca="false">AK114*$D$24</f>
        <v>0</v>
      </c>
      <c r="AM114" s="180" t="n">
        <f aca="false">AJ114*$D$19</f>
        <v>1935.3855758344</v>
      </c>
      <c r="AN114" s="180" t="n">
        <f aca="false">AJ114*$D$22</f>
        <v>179.427708410395</v>
      </c>
      <c r="AO114" s="180" t="n">
        <f aca="false">$D$23*MAX(0,AM114-AJ114*$D$18)</f>
        <v>0</v>
      </c>
      <c r="AP114" s="180" t="n">
        <f aca="false">IF(AND($D$27=1,OR(MONTH($B114)=5,MONTH($B114)=11)),MAX(0,$D$28*MAX(0,(AJ114+AM114-AN114-AO114+AK114-AL114)+AS113-AR114)-AS113),0)</f>
        <v>0</v>
      </c>
      <c r="AQ114" s="181" t="n">
        <f aca="false">AJ114+AM114-AN114-AO114+AK114-AL114-AP114</f>
        <v>217069.207959898</v>
      </c>
      <c r="AR114" s="180" t="n">
        <f aca="false">AR113+AK114-AL114</f>
        <v>150000</v>
      </c>
      <c r="AS114" s="180" t="n">
        <f aca="false">AS113+AP114</f>
        <v>11218.4994452111</v>
      </c>
      <c r="AT114" s="180" t="n">
        <f aca="false">AQ114+AS114-AR114</f>
        <v>78287.7074051094</v>
      </c>
      <c r="AU114" s="180" t="n">
        <f aca="false">MAX(0,IFERROR(INDEX(TAB_IR,MATCH($C114,TAB_IR_DIAS,1),MATCH($D$8,TAB_IR_REGIMES,0)),0)*IF($D$26=2,AQ114,MAX(0,AT114))-AS114)</f>
        <v>524.656665555338</v>
      </c>
      <c r="AV114" s="181" t="n">
        <f aca="false">MAX(0,AQ114-AU114-AQ114*$D$25)</f>
        <v>216544.551294343</v>
      </c>
      <c r="AW114" s="180" t="n">
        <f aca="false">AV114/$D114</f>
        <v>182102.82307499</v>
      </c>
      <c r="AY114" s="180" t="n">
        <f aca="false">BF113</f>
        <v>233402.658535889</v>
      </c>
      <c r="AZ114" s="180" t="n">
        <f aca="false">IF($E$9=0,0,IF($A114&gt;IN_PRAZO,0,IF(APORTE_CORRIGIDO="Sim",IN_APORTE*$D114,IN_APORTE))+IF(AND($E$35=1,PGBL_REINVESTE="Sim",$A114&gt;=13,$A114&lt;=IN_PRAZO,MONTH($B114)=5),PGBL_BENEFICIO,0))</f>
        <v>0</v>
      </c>
      <c r="BA114" s="180" t="n">
        <f aca="false">AZ114*$E$24</f>
        <v>0</v>
      </c>
      <c r="BB114" s="180" t="n">
        <f aca="false">AY114*$E$19</f>
        <v>2284.71918847438</v>
      </c>
      <c r="BC114" s="180" t="n">
        <f aca="false">AY114*$E$22</f>
        <v>291.753323169861</v>
      </c>
      <c r="BD114" s="180" t="n">
        <f aca="false">$E$23*MAX(0,BB114-AY114*$E$18)</f>
        <v>0</v>
      </c>
      <c r="BE114" s="180" t="n">
        <f aca="false">IF(AND($E$27=1,OR(MONTH($B114)=5,MONTH($B114)=11)),MAX(0,$E$28*MAX(0,(AY114+BB114-BC114-BD114+AZ114-BA114)+BH113-BG114)-BH113),0)</f>
        <v>0</v>
      </c>
      <c r="BF114" s="181" t="n">
        <f aca="false">AY114+BB114-BC114-BD114+AZ114-BA114-BE114</f>
        <v>235395.624401194</v>
      </c>
      <c r="BG114" s="180" t="n">
        <f aca="false">BG113+AZ114-BA114</f>
        <v>150000</v>
      </c>
      <c r="BH114" s="180" t="n">
        <f aca="false">BH113+BE114</f>
        <v>0</v>
      </c>
      <c r="BI114" s="180" t="n">
        <f aca="false">BF114+BH114-BG114</f>
        <v>85395.6244011937</v>
      </c>
      <c r="BJ114" s="180" t="n">
        <f aca="false">MAX(0,IFERROR(INDEX(TAB_IR,MATCH($C114,TAB_IR_DIAS,1),MATCH($E$8,TAB_IR_REGIMES,0)),0)*IF($E$26=2,BF114,MAX(0,BI114))-BH114)</f>
        <v>21348.9061002984</v>
      </c>
      <c r="BK114" s="181" t="n">
        <f aca="false">MAX(0,BF114-BJ114-BF114*$E$25)</f>
        <v>214046.718300895</v>
      </c>
      <c r="BL114" s="180" t="n">
        <f aca="false">BK114/$D114</f>
        <v>180002.274079608</v>
      </c>
      <c r="BN114" s="180" t="n">
        <f aca="false">BU113</f>
        <v>233402.658535889</v>
      </c>
      <c r="BO114" s="180" t="n">
        <f aca="false">IF($F$9=0,0,IF($A114&gt;IN_PRAZO,0,IF(APORTE_CORRIGIDO="Sim",IN_APORTE*$D114,IN_APORTE))+IF(AND($F$35=1,PGBL_REINVESTE="Sim",$A114&gt;=13,$A114&lt;=IN_PRAZO,MONTH($B114)=5),PGBL_BENEFICIO,0))</f>
        <v>0</v>
      </c>
      <c r="BP114" s="180" t="n">
        <f aca="false">BO114*$F$24</f>
        <v>0</v>
      </c>
      <c r="BQ114" s="180" t="n">
        <f aca="false">BN114*$F$19</f>
        <v>2284.71918847438</v>
      </c>
      <c r="BR114" s="180" t="n">
        <f aca="false">BN114*$F$22</f>
        <v>291.753323169861</v>
      </c>
      <c r="BS114" s="180" t="n">
        <f aca="false">$F$23*MAX(0,BQ114-BN114*$F$18)</f>
        <v>0</v>
      </c>
      <c r="BT114" s="180" t="n">
        <f aca="false">IF(AND($F$27=1,OR(MONTH($B114)=5,MONTH($B114)=11)),MAX(0,$F$28*MAX(0,(BN114+BQ114-BR114-BS114+BO114-BP114)+BW113-BV114)-BW113),0)</f>
        <v>0</v>
      </c>
      <c r="BU114" s="181" t="n">
        <f aca="false">BN114+BQ114-BR114-BS114+BO114-BP114-BT114</f>
        <v>235395.624401194</v>
      </c>
      <c r="BV114" s="180" t="n">
        <f aca="false">BV113+BO114-BP114</f>
        <v>150000</v>
      </c>
      <c r="BW114" s="180" t="n">
        <f aca="false">BW113+BT114</f>
        <v>0</v>
      </c>
      <c r="BX114" s="180" t="n">
        <f aca="false">BU114+BW114-BV114</f>
        <v>85395.6244011937</v>
      </c>
      <c r="BY114" s="180" t="n">
        <f aca="false">MAX(0,IFERROR(INDEX(TAB_IR,MATCH($C114,TAB_IR_DIAS,1),MATCH($F$8,TAB_IR_REGIMES,0)),0)*IF($F$26=2,BU114,MAX(0,BX114))-BW114)</f>
        <v>58848.9061002984</v>
      </c>
      <c r="BZ114" s="181" t="n">
        <f aca="false">MAX(0,BU114-BY114-BU114*$F$25)</f>
        <v>176546.718300895</v>
      </c>
      <c r="CA114" s="180" t="n">
        <f aca="false">BZ114/$D114</f>
        <v>148466.704034117</v>
      </c>
      <c r="CC114" s="180" t="n">
        <f aca="false">CJ113</f>
        <v>207527.597625538</v>
      </c>
      <c r="CD114" s="180" t="n">
        <f aca="false">IF($G$9=0,0,IF($A114&gt;IN_PRAZO,0,IF(APORTE_CORRIGIDO="Sim",IN_APORTE*$D114,IN_APORTE))+IF(AND($G$35=1,PGBL_REINVESTE="Sim",$A114&gt;=13,$A114&lt;=IN_PRAZO,MONTH($B114)=5),PGBL_BENEFICIO,0))</f>
        <v>0</v>
      </c>
      <c r="CE114" s="180" t="n">
        <f aca="false">CD114*$G$24</f>
        <v>0</v>
      </c>
      <c r="CF114" s="180" t="n">
        <f aca="false">CC114*$G$19</f>
        <v>1692.84939915807</v>
      </c>
      <c r="CG114" s="180" t="n">
        <f aca="false">CC114*$G$22</f>
        <v>172.939664687948</v>
      </c>
      <c r="CH114" s="180" t="n">
        <f aca="false">$G$23*MAX(0,CF114-CC114*$G$18)</f>
        <v>0</v>
      </c>
      <c r="CI114" s="180" t="n">
        <f aca="false">IF(AND($G$27=1,OR(MONTH($B114)=5,MONTH($B114)=11)),MAX(0,$G$28*MAX(0,(CC114+CF114-CG114-CH114+CD114-CE114)+CL113-CK114)-CL113),0)</f>
        <v>0</v>
      </c>
      <c r="CJ114" s="181" t="n">
        <f aca="false">CC114+CF114-CG114-CH114+CD114-CE114-CI114</f>
        <v>209047.507360008</v>
      </c>
      <c r="CK114" s="180" t="n">
        <f aca="false">CK113+CD114-CE114</f>
        <v>150000</v>
      </c>
      <c r="CL114" s="180" t="n">
        <f aca="false">CL113+CI114</f>
        <v>9885.65975500436</v>
      </c>
      <c r="CM114" s="180" t="n">
        <f aca="false">CJ114+CL114-CK114</f>
        <v>68933.1671150122</v>
      </c>
      <c r="CN114" s="180" t="n">
        <f aca="false">MAX(0,IFERROR(INDEX(TAB_IR,MATCH($C114,TAB_IR_DIAS,1),MATCH($G$8,TAB_IR_REGIMES,0)),0)*IF($G$26=2,CJ114,MAX(0,CM114))-CL114)</f>
        <v>454.315312247461</v>
      </c>
      <c r="CO114" s="181" t="n">
        <f aca="false">MAX(0,CJ114-CN114-CJ114*$G$25)</f>
        <v>208593.19204776</v>
      </c>
      <c r="CP114" s="180" t="n">
        <f aca="false">CO114/$D114</f>
        <v>175416.139168924</v>
      </c>
    </row>
    <row r="115" customFormat="false" ht="12" hidden="false" customHeight="true" outlineLevel="0" collapsed="false">
      <c r="A115" s="177" t="n">
        <v>54</v>
      </c>
      <c r="B115" s="178" t="n">
        <f aca="false">EDATE(DATA_INICIO,$A115)</f>
        <v>47902</v>
      </c>
      <c r="C115" s="177" t="n">
        <f aca="false">$A115*30</f>
        <v>1620</v>
      </c>
      <c r="D115" s="179" t="n">
        <f aca="false">(1+IPCA_CENARIO)^($A115/12)</f>
        <v>1.19302632511671</v>
      </c>
      <c r="F115" s="180" t="n">
        <f aca="false">M114</f>
        <v>245284.630884206</v>
      </c>
      <c r="G115" s="180" t="n">
        <f aca="false">IF($B$9=0,0,IF($A115&gt;IN_PRAZO,0,IF(APORTE_CORRIGIDO="Sim",IN_APORTE*$D115,IN_APORTE))+IF(AND($B$35=1,PGBL_REINVESTE="Sim",$A115&gt;=13,$A115&lt;=IN_PRAZO,MONTH($B115)=5),PGBL_BENEFICIO,0))</f>
        <v>0</v>
      </c>
      <c r="H115" s="180" t="n">
        <f aca="false">G115*$B$24</f>
        <v>0</v>
      </c>
      <c r="I115" s="180" t="n">
        <f aca="false">F115*$B$19</f>
        <v>2327.45507249586</v>
      </c>
      <c r="J115" s="180" t="n">
        <f aca="false">F115*$B$22</f>
        <v>40.8807718140343</v>
      </c>
      <c r="K115" s="180" t="n">
        <f aca="false">$B$23*MAX(0,I115-F115*$B$18)</f>
        <v>0</v>
      </c>
      <c r="L115" s="180" t="n">
        <f aca="false">IF(AND($B$27=1,OR(MONTH($B115)=5,MONTH($B115)=11)),MAX(0,$B$28*MAX(0,(F115+I115-J115-K115+G115-H115)+O114-N115)-O114),0)</f>
        <v>0</v>
      </c>
      <c r="M115" s="181" t="n">
        <f aca="false">F115+I115-J115-K115+G115-H115-L115</f>
        <v>247571.205184888</v>
      </c>
      <c r="N115" s="180" t="n">
        <f aca="false">N114+G115-H115</f>
        <v>150000</v>
      </c>
      <c r="O115" s="180" t="n">
        <f aca="false">O114+L115</f>
        <v>0</v>
      </c>
      <c r="P115" s="180" t="n">
        <f aca="false">M115+O115-N115</f>
        <v>97571.2051848876</v>
      </c>
      <c r="Q115" s="180" t="n">
        <f aca="false">MAX(0,IFERROR(INDEX(TAB_IR,MATCH($C115,TAB_IR_DIAS,1),MATCH($B$8,TAB_IR_REGIMES,0)),0)*IF($B$26=2,M115,MAX(0,P115))-O115)</f>
        <v>14635.6807777331</v>
      </c>
      <c r="R115" s="181" t="n">
        <f aca="false">MAX(0,M115-Q115-M115*$B$25)</f>
        <v>232935.524407154</v>
      </c>
      <c r="S115" s="180" t="n">
        <f aca="false">R115/$D115</f>
        <v>195247.598064835</v>
      </c>
      <c r="U115" s="180" t="n">
        <f aca="false">AB114</f>
        <v>228709.323951193</v>
      </c>
      <c r="V115" s="180" t="n">
        <f aca="false">IF($C$9=0,0,IF($A115&gt;IN_PRAZO,0,IF(APORTE_CORRIGIDO="Sim",IN_APORTE*$D115,IN_APORTE))+IF(AND($C$35=1,PGBL_REINVESTE="Sim",$A115&gt;=13,$A115&lt;=IN_PRAZO,MONTH($B115)=5),PGBL_BENEFICIO,0))</f>
        <v>0</v>
      </c>
      <c r="W115" s="180" t="n">
        <f aca="false">V115*$C$24</f>
        <v>0</v>
      </c>
      <c r="X115" s="180" t="n">
        <f aca="false">U115*$C$19</f>
        <v>1865.63351603596</v>
      </c>
      <c r="Y115" s="180" t="n">
        <f aca="false">U115*$C$22</f>
        <v>38.1182206585322</v>
      </c>
      <c r="Z115" s="180" t="n">
        <f aca="false">$C$23*MAX(0,X115-U115*$C$18)</f>
        <v>0</v>
      </c>
      <c r="AA115" s="180" t="n">
        <f aca="false">IF(AND($C$27=1,OR(MONTH($B115)=5,MONTH($B115)=11)),MAX(0,$C$28*MAX(0,(U115+X115-Y115-Z115+V115-W115)+AD114-AC115)-AD114),0)</f>
        <v>0</v>
      </c>
      <c r="AB115" s="181" t="n">
        <f aca="false">U115+X115-Y115-Z115+V115-W115-AA115</f>
        <v>230536.839246571</v>
      </c>
      <c r="AC115" s="180" t="n">
        <f aca="false">AC114+V115-W115</f>
        <v>150000</v>
      </c>
      <c r="AD115" s="180" t="n">
        <f aca="false">AD114+AA115</f>
        <v>0</v>
      </c>
      <c r="AE115" s="180" t="n">
        <f aca="false">AB115+AD115-AC115</f>
        <v>80536.8392465707</v>
      </c>
      <c r="AF115" s="180" t="n">
        <f aca="false">MAX(0,IFERROR(INDEX(TAB_IR,MATCH($C115,TAB_IR_DIAS,1),MATCH($C$8,TAB_IR_REGIMES,0)),0)*IF($C$26=2,AB115,MAX(0,AE115))-AD115)</f>
        <v>12080.5258869856</v>
      </c>
      <c r="AG115" s="181" t="n">
        <f aca="false">MAX(0,AB115-AF115-AB115*$C$25)</f>
        <v>218456.313359585</v>
      </c>
      <c r="AH115" s="180" t="n">
        <f aca="false">AG115/$D115</f>
        <v>183111.058624975</v>
      </c>
      <c r="AJ115" s="180" t="n">
        <f aca="false">AQ114</f>
        <v>217069.207959898</v>
      </c>
      <c r="AK115" s="180" t="n">
        <f aca="false">IF($D$9=0,0,IF($A115&gt;IN_PRAZO,0,IF(APORTE_CORRIGIDO="Sim",IN_APORTE*$D115,IN_APORTE))+IF(AND($D$35=1,PGBL_REINVESTE="Sim",$A115&gt;=13,$A115&lt;=IN_PRAZO,MONTH($B115)=5),PGBL_BENEFICIO,0))</f>
        <v>0</v>
      </c>
      <c r="AL115" s="180" t="n">
        <f aca="false">AK115*$D$24</f>
        <v>0</v>
      </c>
      <c r="AM115" s="180" t="n">
        <f aca="false">AJ115*$D$19</f>
        <v>1951.16934913644</v>
      </c>
      <c r="AN115" s="180" t="n">
        <f aca="false">AJ115*$D$22</f>
        <v>180.891006633249</v>
      </c>
      <c r="AO115" s="180" t="n">
        <f aca="false">$D$23*MAX(0,AM115-AJ115*$D$18)</f>
        <v>0</v>
      </c>
      <c r="AP115" s="180" t="n">
        <f aca="false">IF(AND($D$27=1,OR(MONTH($B115)=5,MONTH($B115)=11)),MAX(0,$D$28*MAX(0,(AJ115+AM115-AN115-AO115+AK115-AL115)+AS114-AR115)-AS114),0)</f>
        <v>0</v>
      </c>
      <c r="AQ115" s="181" t="n">
        <f aca="false">AJ115+AM115-AN115-AO115+AK115-AL115-AP115</f>
        <v>218839.486302402</v>
      </c>
      <c r="AR115" s="180" t="n">
        <f aca="false">AR114+AK115-AL115</f>
        <v>150000</v>
      </c>
      <c r="AS115" s="180" t="n">
        <f aca="false">AS114+AP115</f>
        <v>11218.4994452111</v>
      </c>
      <c r="AT115" s="180" t="n">
        <f aca="false">AQ115+AS115-AR115</f>
        <v>80057.9857476126</v>
      </c>
      <c r="AU115" s="180" t="n">
        <f aca="false">MAX(0,IFERROR(INDEX(TAB_IR,MATCH($C115,TAB_IR_DIAS,1),MATCH($D$8,TAB_IR_REGIMES,0)),0)*IF($D$26=2,AQ115,MAX(0,AT115))-AS115)</f>
        <v>790.198416930816</v>
      </c>
      <c r="AV115" s="181" t="n">
        <f aca="false">MAX(0,AQ115-AU115-AQ115*$D$25)</f>
        <v>218049.287885471</v>
      </c>
      <c r="AW115" s="180" t="n">
        <f aca="false">AV115/$D115</f>
        <v>182769.888052671</v>
      </c>
      <c r="AY115" s="180" t="n">
        <f aca="false">BF114</f>
        <v>235395.624401194</v>
      </c>
      <c r="AZ115" s="180" t="n">
        <f aca="false">IF($E$9=0,0,IF($A115&gt;IN_PRAZO,0,IF(APORTE_CORRIGIDO="Sim",IN_APORTE*$D115,IN_APORTE))+IF(AND($E$35=1,PGBL_REINVESTE="Sim",$A115&gt;=13,$A115&lt;=IN_PRAZO,MONTH($B115)=5),PGBL_BENEFICIO,0))</f>
        <v>0</v>
      </c>
      <c r="BA115" s="180" t="n">
        <f aca="false">AZ115*$E$24</f>
        <v>0</v>
      </c>
      <c r="BB115" s="180" t="n">
        <f aca="false">AY115*$E$19</f>
        <v>2304.22782382154</v>
      </c>
      <c r="BC115" s="180" t="n">
        <f aca="false">AY115*$E$22</f>
        <v>294.244530501492</v>
      </c>
      <c r="BD115" s="180" t="n">
        <f aca="false">$E$23*MAX(0,BB115-AY115*$E$18)</f>
        <v>0</v>
      </c>
      <c r="BE115" s="180" t="n">
        <f aca="false">IF(AND($E$27=1,OR(MONTH($B115)=5,MONTH($B115)=11)),MAX(0,$E$28*MAX(0,(AY115+BB115-BC115-BD115+AZ115-BA115)+BH114-BG115)-BH114),0)</f>
        <v>0</v>
      </c>
      <c r="BF115" s="181" t="n">
        <f aca="false">AY115+BB115-BC115-BD115+AZ115-BA115-BE115</f>
        <v>237405.607694514</v>
      </c>
      <c r="BG115" s="180" t="n">
        <f aca="false">BG114+AZ115-BA115</f>
        <v>150000</v>
      </c>
      <c r="BH115" s="180" t="n">
        <f aca="false">BH114+BE115</f>
        <v>0</v>
      </c>
      <c r="BI115" s="180" t="n">
        <f aca="false">BF115+BH115-BG115</f>
        <v>87405.6076945137</v>
      </c>
      <c r="BJ115" s="180" t="n">
        <f aca="false">MAX(0,IFERROR(INDEX(TAB_IR,MATCH($C115,TAB_IR_DIAS,1),MATCH($E$8,TAB_IR_REGIMES,0)),0)*IF($E$26=2,BF115,MAX(0,BI115))-BH115)</f>
        <v>21851.4019236284</v>
      </c>
      <c r="BK115" s="181" t="n">
        <f aca="false">MAX(0,BF115-BJ115-BF115*$E$25)</f>
        <v>215554.205770885</v>
      </c>
      <c r="BL115" s="180" t="n">
        <f aca="false">BK115/$D115</f>
        <v>180678.499068156</v>
      </c>
      <c r="BN115" s="180" t="n">
        <f aca="false">BU114</f>
        <v>235395.624401194</v>
      </c>
      <c r="BO115" s="180" t="n">
        <f aca="false">IF($F$9=0,0,IF($A115&gt;IN_PRAZO,0,IF(APORTE_CORRIGIDO="Sim",IN_APORTE*$D115,IN_APORTE))+IF(AND($F$35=1,PGBL_REINVESTE="Sim",$A115&gt;=13,$A115&lt;=IN_PRAZO,MONTH($B115)=5),PGBL_BENEFICIO,0))</f>
        <v>0</v>
      </c>
      <c r="BP115" s="180" t="n">
        <f aca="false">BO115*$F$24</f>
        <v>0</v>
      </c>
      <c r="BQ115" s="180" t="n">
        <f aca="false">BN115*$F$19</f>
        <v>2304.22782382154</v>
      </c>
      <c r="BR115" s="180" t="n">
        <f aca="false">BN115*$F$22</f>
        <v>294.244530501492</v>
      </c>
      <c r="BS115" s="180" t="n">
        <f aca="false">$F$23*MAX(0,BQ115-BN115*$F$18)</f>
        <v>0</v>
      </c>
      <c r="BT115" s="180" t="n">
        <f aca="false">IF(AND($F$27=1,OR(MONTH($B115)=5,MONTH($B115)=11)),MAX(0,$F$28*MAX(0,(BN115+BQ115-BR115-BS115+BO115-BP115)+BW114-BV115)-BW114),0)</f>
        <v>0</v>
      </c>
      <c r="BU115" s="181" t="n">
        <f aca="false">BN115+BQ115-BR115-BS115+BO115-BP115-BT115</f>
        <v>237405.607694514</v>
      </c>
      <c r="BV115" s="180" t="n">
        <f aca="false">BV114+BO115-BP115</f>
        <v>150000</v>
      </c>
      <c r="BW115" s="180" t="n">
        <f aca="false">BW114+BT115</f>
        <v>0</v>
      </c>
      <c r="BX115" s="180" t="n">
        <f aca="false">BU115+BW115-BV115</f>
        <v>87405.6076945137</v>
      </c>
      <c r="BY115" s="180" t="n">
        <f aca="false">MAX(0,IFERROR(INDEX(TAB_IR,MATCH($C115,TAB_IR_DIAS,1),MATCH($F$8,TAB_IR_REGIMES,0)),0)*IF($F$26=2,BU115,MAX(0,BX115))-BW115)</f>
        <v>59351.4019236284</v>
      </c>
      <c r="BZ115" s="181" t="n">
        <f aca="false">MAX(0,BU115-BY115-BU115*$F$25)</f>
        <v>178054.205770885</v>
      </c>
      <c r="CA115" s="180" t="n">
        <f aca="false">BZ115/$D115</f>
        <v>149245.83139728</v>
      </c>
      <c r="CC115" s="180" t="n">
        <f aca="false">CJ114</f>
        <v>209047.507360008</v>
      </c>
      <c r="CD115" s="180" t="n">
        <f aca="false">IF($G$9=0,0,IF($A115&gt;IN_PRAZO,0,IF(APORTE_CORRIGIDO="Sim",IN_APORTE*$D115,IN_APORTE))+IF(AND($G$35=1,PGBL_REINVESTE="Sim",$A115&gt;=13,$A115&lt;=IN_PRAZO,MONTH($B115)=5),PGBL_BENEFICIO,0))</f>
        <v>0</v>
      </c>
      <c r="CE115" s="180" t="n">
        <f aca="false">CD115*$G$24</f>
        <v>0</v>
      </c>
      <c r="CF115" s="180" t="n">
        <f aca="false">CC115*$G$19</f>
        <v>1705.24764551283</v>
      </c>
      <c r="CG115" s="180" t="n">
        <f aca="false">CC115*$G$22</f>
        <v>174.20625613334</v>
      </c>
      <c r="CH115" s="180" t="n">
        <f aca="false">$G$23*MAX(0,CF115-CC115*$G$18)</f>
        <v>0</v>
      </c>
      <c r="CI115" s="180" t="n">
        <f aca="false">IF(AND($G$27=1,OR(MONTH($B115)=5,MONTH($B115)=11)),MAX(0,$G$28*MAX(0,(CC115+CF115-CG115-CH115+CD115-CE115)+CL114-CK115)-CL114),0)</f>
        <v>0</v>
      </c>
      <c r="CJ115" s="181" t="n">
        <f aca="false">CC115+CF115-CG115-CH115+CD115-CE115-CI115</f>
        <v>210578.548749387</v>
      </c>
      <c r="CK115" s="180" t="n">
        <f aca="false">CK114+CD115-CE115</f>
        <v>150000</v>
      </c>
      <c r="CL115" s="180" t="n">
        <f aca="false">CL114+CI115</f>
        <v>9885.65975500436</v>
      </c>
      <c r="CM115" s="180" t="n">
        <f aca="false">CJ115+CL115-CK115</f>
        <v>70464.2085043917</v>
      </c>
      <c r="CN115" s="180" t="n">
        <f aca="false">MAX(0,IFERROR(INDEX(TAB_IR,MATCH($C115,TAB_IR_DIAS,1),MATCH($G$8,TAB_IR_REGIMES,0)),0)*IF($G$26=2,CJ115,MAX(0,CM115))-CL115)</f>
        <v>683.971520654388</v>
      </c>
      <c r="CO115" s="181" t="n">
        <f aca="false">MAX(0,CJ115-CN115-CJ115*$G$25)</f>
        <v>209894.577228733</v>
      </c>
      <c r="CP115" s="180" t="n">
        <f aca="false">CO115/$D115</f>
        <v>175934.573118661</v>
      </c>
    </row>
    <row r="116" customFormat="false" ht="12" hidden="false" customHeight="true" outlineLevel="0" collapsed="false">
      <c r="A116" s="177" t="n">
        <v>55</v>
      </c>
      <c r="B116" s="178" t="n">
        <f aca="false">EDATE(DATA_INICIO,$A116)</f>
        <v>47930</v>
      </c>
      <c r="C116" s="177" t="n">
        <f aca="false">$A116*30</f>
        <v>1650</v>
      </c>
      <c r="D116" s="179" t="n">
        <f aca="false">(1+IPCA_CENARIO)^($A116/12)</f>
        <v>1.19693198285846</v>
      </c>
      <c r="F116" s="180" t="n">
        <f aca="false">M115</f>
        <v>247571.205184888</v>
      </c>
      <c r="G116" s="180" t="n">
        <f aca="false">IF($B$9=0,0,IF($A116&gt;IN_PRAZO,0,IF(APORTE_CORRIGIDO="Sim",IN_APORTE*$D116,IN_APORTE))+IF(AND($B$35=1,PGBL_REINVESTE="Sim",$A116&gt;=13,$A116&lt;=IN_PRAZO,MONTH($B116)=5),PGBL_BENEFICIO,0))</f>
        <v>0</v>
      </c>
      <c r="H116" s="180" t="n">
        <f aca="false">G116*$B$24</f>
        <v>0</v>
      </c>
      <c r="I116" s="180" t="n">
        <f aca="false">F116*$B$19</f>
        <v>2349.15190256457</v>
      </c>
      <c r="J116" s="180" t="n">
        <f aca="false">F116*$B$22</f>
        <v>41.2618675308146</v>
      </c>
      <c r="K116" s="180" t="n">
        <f aca="false">$B$23*MAX(0,I116-F116*$B$18)</f>
        <v>0</v>
      </c>
      <c r="L116" s="180" t="n">
        <f aca="false">IF(AND($B$27=1,OR(MONTH($B116)=5,MONTH($B116)=11)),MAX(0,$B$28*MAX(0,(F116+I116-J116-K116+G116-H116)+O115-N116)-O115),0)</f>
        <v>0</v>
      </c>
      <c r="M116" s="181" t="n">
        <f aca="false">F116+I116-J116-K116+G116-H116-L116</f>
        <v>249879.095219921</v>
      </c>
      <c r="N116" s="180" t="n">
        <f aca="false">N115+G116-H116</f>
        <v>150000</v>
      </c>
      <c r="O116" s="180" t="n">
        <f aca="false">O115+L116</f>
        <v>0</v>
      </c>
      <c r="P116" s="180" t="n">
        <f aca="false">M116+O116-N116</f>
        <v>99879.0952199213</v>
      </c>
      <c r="Q116" s="180" t="n">
        <f aca="false">MAX(0,IFERROR(INDEX(TAB_IR,MATCH($C116,TAB_IR_DIAS,1),MATCH($B$8,TAB_IR_REGIMES,0)),0)*IF($B$26=2,M116,MAX(0,P116))-O116)</f>
        <v>14981.8642829882</v>
      </c>
      <c r="R116" s="181" t="n">
        <f aca="false">MAX(0,M116-Q116-M116*$B$25)</f>
        <v>234897.230936933</v>
      </c>
      <c r="S116" s="180" t="n">
        <f aca="false">R116/$D116</f>
        <v>196249.439651502</v>
      </c>
      <c r="U116" s="180" t="n">
        <f aca="false">AB115</f>
        <v>230536.839246571</v>
      </c>
      <c r="V116" s="180" t="n">
        <f aca="false">IF($C$9=0,0,IF($A116&gt;IN_PRAZO,0,IF(APORTE_CORRIGIDO="Sim",IN_APORTE*$D116,IN_APORTE))+IF(AND($C$35=1,PGBL_REINVESTE="Sim",$A116&gt;=13,$A116&lt;=IN_PRAZO,MONTH($B116)=5),PGBL_BENEFICIO,0))</f>
        <v>0</v>
      </c>
      <c r="W116" s="180" t="n">
        <f aca="false">V116*$C$24</f>
        <v>0</v>
      </c>
      <c r="X116" s="180" t="n">
        <f aca="false">U116*$C$19</f>
        <v>1880.54097029808</v>
      </c>
      <c r="Y116" s="180" t="n">
        <f aca="false">U116*$C$22</f>
        <v>38.4228065410951</v>
      </c>
      <c r="Z116" s="180" t="n">
        <f aca="false">$C$23*MAX(0,X116-U116*$C$18)</f>
        <v>0</v>
      </c>
      <c r="AA116" s="180" t="n">
        <f aca="false">IF(AND($C$27=1,OR(MONTH($B116)=5,MONTH($B116)=11)),MAX(0,$C$28*MAX(0,(U116+X116-Y116-Z116+V116-W116)+AD115-AC116)-AD115),0)</f>
        <v>0</v>
      </c>
      <c r="AB116" s="181" t="n">
        <f aca="false">U116+X116-Y116-Z116+V116-W116-AA116</f>
        <v>232378.957410328</v>
      </c>
      <c r="AC116" s="180" t="n">
        <f aca="false">AC115+V116-W116</f>
        <v>150000</v>
      </c>
      <c r="AD116" s="180" t="n">
        <f aca="false">AD115+AA116</f>
        <v>0</v>
      </c>
      <c r="AE116" s="180" t="n">
        <f aca="false">AB116+AD116-AC116</f>
        <v>82378.9574103277</v>
      </c>
      <c r="AF116" s="180" t="n">
        <f aca="false">MAX(0,IFERROR(INDEX(TAB_IR,MATCH($C116,TAB_IR_DIAS,1),MATCH($C$8,TAB_IR_REGIMES,0)),0)*IF($C$26=2,AB116,MAX(0,AE116))-AD116)</f>
        <v>12356.8436115492</v>
      </c>
      <c r="AG116" s="181" t="n">
        <f aca="false">MAX(0,AB116-AF116-AB116*$C$25)</f>
        <v>220022.113798779</v>
      </c>
      <c r="AH116" s="180" t="n">
        <f aca="false">AG116/$D116</f>
        <v>183821.735027359</v>
      </c>
      <c r="AJ116" s="180" t="n">
        <f aca="false">AQ115</f>
        <v>218839.486302402</v>
      </c>
      <c r="AK116" s="180" t="n">
        <f aca="false">IF($D$9=0,0,IF($A116&gt;IN_PRAZO,0,IF(APORTE_CORRIGIDO="Sim",IN_APORTE*$D116,IN_APORTE))+IF(AND($D$35=1,PGBL_REINVESTE="Sim",$A116&gt;=13,$A116&lt;=IN_PRAZO,MONTH($B116)=5),PGBL_BENEFICIO,0))</f>
        <v>0</v>
      </c>
      <c r="AL116" s="180" t="n">
        <f aca="false">AK116*$D$24</f>
        <v>0</v>
      </c>
      <c r="AM116" s="180" t="n">
        <f aca="false">AJ116*$D$19</f>
        <v>1967.08184485058</v>
      </c>
      <c r="AN116" s="180" t="n">
        <f aca="false">AJ116*$D$22</f>
        <v>182.366238585335</v>
      </c>
      <c r="AO116" s="180" t="n">
        <f aca="false">$D$23*MAX(0,AM116-AJ116*$D$18)</f>
        <v>0</v>
      </c>
      <c r="AP116" s="180" t="n">
        <f aca="false">IF(AND($D$27=1,OR(MONTH($B116)=5,MONTH($B116)=11)),MAX(0,$D$28*MAX(0,(AJ116+AM116-AN116-AO116+AK116-AL116)+AS115-AR116)-AS115),0)</f>
        <v>0</v>
      </c>
      <c r="AQ116" s="181" t="n">
        <f aca="false">AJ116+AM116-AN116-AO116+AK116-AL116-AP116</f>
        <v>220624.201908667</v>
      </c>
      <c r="AR116" s="180" t="n">
        <f aca="false">AR115+AK116-AL116</f>
        <v>150000</v>
      </c>
      <c r="AS116" s="180" t="n">
        <f aca="false">AS115+AP116</f>
        <v>11218.4994452111</v>
      </c>
      <c r="AT116" s="180" t="n">
        <f aca="false">AQ116+AS116-AR116</f>
        <v>81842.7013538779</v>
      </c>
      <c r="AU116" s="180" t="n">
        <f aca="false">MAX(0,IFERROR(INDEX(TAB_IR,MATCH($C116,TAB_IR_DIAS,1),MATCH($D$8,TAB_IR_REGIMES,0)),0)*IF($D$26=2,AQ116,MAX(0,AT116))-AS116)</f>
        <v>1057.90575787061</v>
      </c>
      <c r="AV116" s="181" t="n">
        <f aca="false">MAX(0,AQ116-AU116-AQ116*$D$25)</f>
        <v>219566.296150796</v>
      </c>
      <c r="AW116" s="180" t="n">
        <f aca="false">AV116/$D116</f>
        <v>183440.91334784</v>
      </c>
      <c r="AY116" s="180" t="n">
        <f aca="false">BF115</f>
        <v>237405.607694514</v>
      </c>
      <c r="AZ116" s="180" t="n">
        <f aca="false">IF($E$9=0,0,IF($A116&gt;IN_PRAZO,0,IF(APORTE_CORRIGIDO="Sim",IN_APORTE*$D116,IN_APORTE))+IF(AND($E$35=1,PGBL_REINVESTE="Sim",$A116&gt;=13,$A116&lt;=IN_PRAZO,MONTH($B116)=5),PGBL_BENEFICIO,0))</f>
        <v>0</v>
      </c>
      <c r="BA116" s="180" t="n">
        <f aca="false">AZ116*$E$24</f>
        <v>0</v>
      </c>
      <c r="BB116" s="180" t="n">
        <f aca="false">AY116*$E$19</f>
        <v>2323.90303843807</v>
      </c>
      <c r="BC116" s="180" t="n">
        <f aca="false">AY116*$E$22</f>
        <v>296.757009618142</v>
      </c>
      <c r="BD116" s="180" t="n">
        <f aca="false">$E$23*MAX(0,BB116-AY116*$E$18)</f>
        <v>0</v>
      </c>
      <c r="BE116" s="180" t="n">
        <f aca="false">IF(AND($E$27=1,OR(MONTH($B116)=5,MONTH($B116)=11)),MAX(0,$E$28*MAX(0,(AY116+BB116-BC116-BD116+AZ116-BA116)+BH115-BG116)-BH115),0)</f>
        <v>0</v>
      </c>
      <c r="BF116" s="181" t="n">
        <f aca="false">AY116+BB116-BC116-BD116+AZ116-BA116-BE116</f>
        <v>239432.753723334</v>
      </c>
      <c r="BG116" s="180" t="n">
        <f aca="false">BG115+AZ116-BA116</f>
        <v>150000</v>
      </c>
      <c r="BH116" s="180" t="n">
        <f aca="false">BH115+BE116</f>
        <v>0</v>
      </c>
      <c r="BI116" s="180" t="n">
        <f aca="false">BF116+BH116-BG116</f>
        <v>89432.7537233337</v>
      </c>
      <c r="BJ116" s="180" t="n">
        <f aca="false">MAX(0,IFERROR(INDEX(TAB_IR,MATCH($C116,TAB_IR_DIAS,1),MATCH($E$8,TAB_IR_REGIMES,0)),0)*IF($E$26=2,BF116,MAX(0,BI116))-BH116)</f>
        <v>22358.1884308334</v>
      </c>
      <c r="BK116" s="181" t="n">
        <f aca="false">MAX(0,BF116-BJ116-BF116*$E$25)</f>
        <v>217074.5652925</v>
      </c>
      <c r="BL116" s="180" t="n">
        <f aca="false">BK116/$D116</f>
        <v>181359.148557542</v>
      </c>
      <c r="BN116" s="180" t="n">
        <f aca="false">BU115</f>
        <v>237405.607694514</v>
      </c>
      <c r="BO116" s="180" t="n">
        <f aca="false">IF($F$9=0,0,IF($A116&gt;IN_PRAZO,0,IF(APORTE_CORRIGIDO="Sim",IN_APORTE*$D116,IN_APORTE))+IF(AND($F$35=1,PGBL_REINVESTE="Sim",$A116&gt;=13,$A116&lt;=IN_PRAZO,MONTH($B116)=5),PGBL_BENEFICIO,0))</f>
        <v>0</v>
      </c>
      <c r="BP116" s="180" t="n">
        <f aca="false">BO116*$F$24</f>
        <v>0</v>
      </c>
      <c r="BQ116" s="180" t="n">
        <f aca="false">BN116*$F$19</f>
        <v>2323.90303843807</v>
      </c>
      <c r="BR116" s="180" t="n">
        <f aca="false">BN116*$F$22</f>
        <v>296.757009618142</v>
      </c>
      <c r="BS116" s="180" t="n">
        <f aca="false">$F$23*MAX(0,BQ116-BN116*$F$18)</f>
        <v>0</v>
      </c>
      <c r="BT116" s="180" t="n">
        <f aca="false">IF(AND($F$27=1,OR(MONTH($B116)=5,MONTH($B116)=11)),MAX(0,$F$28*MAX(0,(BN116+BQ116-BR116-BS116+BO116-BP116)+BW115-BV116)-BW115),0)</f>
        <v>0</v>
      </c>
      <c r="BU116" s="181" t="n">
        <f aca="false">BN116+BQ116-BR116-BS116+BO116-BP116-BT116</f>
        <v>239432.753723334</v>
      </c>
      <c r="BV116" s="180" t="n">
        <f aca="false">BV115+BO116-BP116</f>
        <v>150000</v>
      </c>
      <c r="BW116" s="180" t="n">
        <f aca="false">BW115+BT116</f>
        <v>0</v>
      </c>
      <c r="BX116" s="180" t="n">
        <f aca="false">BU116+BW116-BV116</f>
        <v>89432.7537233337</v>
      </c>
      <c r="BY116" s="180" t="n">
        <f aca="false">MAX(0,IFERROR(INDEX(TAB_IR,MATCH($C116,TAB_IR_DIAS,1),MATCH($F$8,TAB_IR_REGIMES,0)),0)*IF($F$26=2,BU116,MAX(0,BX116))-BW116)</f>
        <v>59858.1884308334</v>
      </c>
      <c r="BZ116" s="181" t="n">
        <f aca="false">MAX(0,BU116-BY116-BU116*$F$25)</f>
        <v>179574.5652925</v>
      </c>
      <c r="CA116" s="180" t="n">
        <f aca="false">BZ116/$D116</f>
        <v>150029.047484928</v>
      </c>
      <c r="CC116" s="180" t="n">
        <f aca="false">CJ115</f>
        <v>210578.548749387</v>
      </c>
      <c r="CD116" s="180" t="n">
        <f aca="false">IF($G$9=0,0,IF($A116&gt;IN_PRAZO,0,IF(APORTE_CORRIGIDO="Sim",IN_APORTE*$D116,IN_APORTE))+IF(AND($G$35=1,PGBL_REINVESTE="Sim",$A116&gt;=13,$A116&lt;=IN_PRAZO,MONTH($B116)=5),PGBL_BENEFICIO,0))</f>
        <v>0</v>
      </c>
      <c r="CE116" s="180" t="n">
        <f aca="false">CD116*$G$24</f>
        <v>0</v>
      </c>
      <c r="CF116" s="180" t="n">
        <f aca="false">CC116*$G$19</f>
        <v>1717.73669528622</v>
      </c>
      <c r="CG116" s="180" t="n">
        <f aca="false">CC116*$G$22</f>
        <v>175.482123957823</v>
      </c>
      <c r="CH116" s="180" t="n">
        <f aca="false">$G$23*MAX(0,CF116-CC116*$G$18)</f>
        <v>0</v>
      </c>
      <c r="CI116" s="180" t="n">
        <f aca="false">IF(AND($G$27=1,OR(MONTH($B116)=5,MONTH($B116)=11)),MAX(0,$G$28*MAX(0,(CC116+CF116-CG116-CH116+CD116-CE116)+CL115-CK116)-CL115),0)</f>
        <v>0</v>
      </c>
      <c r="CJ116" s="181" t="n">
        <f aca="false">CC116+CF116-CG116-CH116+CD116-CE116-CI116</f>
        <v>212120.803320716</v>
      </c>
      <c r="CK116" s="180" t="n">
        <f aca="false">CK115+CD116-CE116</f>
        <v>150000</v>
      </c>
      <c r="CL116" s="180" t="n">
        <f aca="false">CL115+CI116</f>
        <v>9885.65975500436</v>
      </c>
      <c r="CM116" s="180" t="n">
        <f aca="false">CJ116+CL116-CK116</f>
        <v>72006.46307572</v>
      </c>
      <c r="CN116" s="180" t="n">
        <f aca="false">MAX(0,IFERROR(INDEX(TAB_IR,MATCH($C116,TAB_IR_DIAS,1),MATCH($G$8,TAB_IR_REGIMES,0)),0)*IF($G$26=2,CJ116,MAX(0,CM116))-CL116)</f>
        <v>915.309706353644</v>
      </c>
      <c r="CO116" s="181" t="n">
        <f aca="false">MAX(0,CJ116-CN116-CJ116*$G$25)</f>
        <v>211205.493614362</v>
      </c>
      <c r="CP116" s="180" t="n">
        <f aca="false">CO116/$D116</f>
        <v>176455.718987449</v>
      </c>
    </row>
    <row r="117" customFormat="false" ht="12" hidden="false" customHeight="true" outlineLevel="0" collapsed="false">
      <c r="A117" s="177" t="n">
        <v>56</v>
      </c>
      <c r="B117" s="178" t="n">
        <f aca="false">EDATE(DATA_INICIO,$A117)</f>
        <v>47961</v>
      </c>
      <c r="C117" s="177" t="n">
        <f aca="false">$A117*30</f>
        <v>1680</v>
      </c>
      <c r="D117" s="179" t="n">
        <f aca="false">(1+IPCA_CENARIO)^($A117/12)</f>
        <v>1.20085042670733</v>
      </c>
      <c r="F117" s="180" t="n">
        <f aca="false">M116</f>
        <v>249879.095219921</v>
      </c>
      <c r="G117" s="180" t="n">
        <f aca="false">IF($B$9=0,0,IF($A117&gt;IN_PRAZO,0,IF(APORTE_CORRIGIDO="Sim",IN_APORTE*$D117,IN_APORTE))+IF(AND($B$35=1,PGBL_REINVESTE="Sim",$A117&gt;=13,$A117&lt;=IN_PRAZO,MONTH($B117)=5),PGBL_BENEFICIO,0))</f>
        <v>0</v>
      </c>
      <c r="H117" s="180" t="n">
        <f aca="false">G117*$B$24</f>
        <v>0</v>
      </c>
      <c r="I117" s="180" t="n">
        <f aca="false">F117*$B$19</f>
        <v>2371.05099322279</v>
      </c>
      <c r="J117" s="180" t="n">
        <f aca="false">F117*$B$22</f>
        <v>41.6465158699869</v>
      </c>
      <c r="K117" s="180" t="n">
        <f aca="false">$B$23*MAX(0,I117-F117*$B$18)</f>
        <v>0</v>
      </c>
      <c r="L117" s="180" t="n">
        <f aca="false">IF(AND($B$27=1,OR(MONTH($B117)=5,MONTH($B117)=11)),MAX(0,$B$28*MAX(0,(F117+I117-J117-K117+G117-H117)+O116-N117)-O116),0)</f>
        <v>0</v>
      </c>
      <c r="M117" s="181" t="n">
        <f aca="false">F117+I117-J117-K117+G117-H117-L117</f>
        <v>252208.499697274</v>
      </c>
      <c r="N117" s="180" t="n">
        <f aca="false">N116+G117-H117</f>
        <v>150000</v>
      </c>
      <c r="O117" s="180" t="n">
        <f aca="false">O116+L117</f>
        <v>0</v>
      </c>
      <c r="P117" s="180" t="n">
        <f aca="false">M117+O117-N117</f>
        <v>102208.499697274</v>
      </c>
      <c r="Q117" s="180" t="n">
        <f aca="false">MAX(0,IFERROR(INDEX(TAB_IR,MATCH($C117,TAB_IR_DIAS,1),MATCH($B$8,TAB_IR_REGIMES,0)),0)*IF($B$26=2,M117,MAX(0,P117))-O117)</f>
        <v>15331.2749545911</v>
      </c>
      <c r="R117" s="181" t="n">
        <f aca="false">MAX(0,M117-Q117-M117*$B$25)</f>
        <v>236877.224742683</v>
      </c>
      <c r="S117" s="180" t="n">
        <f aca="false">R117/$D117</f>
        <v>197257.892802011</v>
      </c>
      <c r="U117" s="180" t="n">
        <f aca="false">AB116</f>
        <v>232378.957410328</v>
      </c>
      <c r="V117" s="180" t="n">
        <f aca="false">IF($C$9=0,0,IF($A117&gt;IN_PRAZO,0,IF(APORTE_CORRIGIDO="Sim",IN_APORTE*$D117,IN_APORTE))+IF(AND($C$35=1,PGBL_REINVESTE="Sim",$A117&gt;=13,$A117&lt;=IN_PRAZO,MONTH($B117)=5),PGBL_BENEFICIO,0))</f>
        <v>0</v>
      </c>
      <c r="W117" s="180" t="n">
        <f aca="false">V117*$C$24</f>
        <v>0</v>
      </c>
      <c r="X117" s="180" t="n">
        <f aca="false">U117*$C$19</f>
        <v>1895.56754344967</v>
      </c>
      <c r="Y117" s="180" t="n">
        <f aca="false">U117*$C$22</f>
        <v>38.7298262350546</v>
      </c>
      <c r="Z117" s="180" t="n">
        <f aca="false">$C$23*MAX(0,X117-U117*$C$18)</f>
        <v>0</v>
      </c>
      <c r="AA117" s="180" t="n">
        <f aca="false">IF(AND($C$27=1,OR(MONTH($B117)=5,MONTH($B117)=11)),MAX(0,$C$28*MAX(0,(U117+X117-Y117-Z117+V117-W117)+AD116-AC117)-AD116),0)</f>
        <v>0</v>
      </c>
      <c r="AB117" s="181" t="n">
        <f aca="false">U117+X117-Y117-Z117+V117-W117-AA117</f>
        <v>234235.795127542</v>
      </c>
      <c r="AC117" s="180" t="n">
        <f aca="false">AC116+V117-W117</f>
        <v>150000</v>
      </c>
      <c r="AD117" s="180" t="n">
        <f aca="false">AD116+AA117</f>
        <v>0</v>
      </c>
      <c r="AE117" s="180" t="n">
        <f aca="false">AB117+AD117-AC117</f>
        <v>84235.7951275423</v>
      </c>
      <c r="AF117" s="180" t="n">
        <f aca="false">MAX(0,IFERROR(INDEX(TAB_IR,MATCH($C117,TAB_IR_DIAS,1),MATCH($C$8,TAB_IR_REGIMES,0)),0)*IF($C$26=2,AB117,MAX(0,AE117))-AD117)</f>
        <v>12635.3692691314</v>
      </c>
      <c r="AG117" s="181" t="n">
        <f aca="false">MAX(0,AB117-AF117-AB117*$C$25)</f>
        <v>221600.425858411</v>
      </c>
      <c r="AH117" s="180" t="n">
        <f aca="false">AG117/$D117</f>
        <v>184536.242757584</v>
      </c>
      <c r="AJ117" s="180" t="n">
        <f aca="false">AQ116</f>
        <v>220624.201908667</v>
      </c>
      <c r="AK117" s="180" t="n">
        <f aca="false">IF($D$9=0,0,IF($A117&gt;IN_PRAZO,0,IF(APORTE_CORRIGIDO="Sim",IN_APORTE*$D117,IN_APORTE))+IF(AND($D$35=1,PGBL_REINVESTE="Sim",$A117&gt;=13,$A117&lt;=IN_PRAZO,MONTH($B117)=5),PGBL_BENEFICIO,0))</f>
        <v>0</v>
      </c>
      <c r="AL117" s="180" t="n">
        <f aca="false">AK117*$D$24</f>
        <v>0</v>
      </c>
      <c r="AM117" s="180" t="n">
        <f aca="false">AJ117*$D$19</f>
        <v>1983.12411275489</v>
      </c>
      <c r="AN117" s="180" t="n">
        <f aca="false">AJ117*$D$22</f>
        <v>183.853501590556</v>
      </c>
      <c r="AO117" s="180" t="n">
        <f aca="false">$D$23*MAX(0,AM117-AJ117*$D$18)</f>
        <v>0</v>
      </c>
      <c r="AP117" s="180" t="n">
        <f aca="false">IF(AND($D$27=1,OR(MONTH($B117)=5,MONTH($B117)=11)),MAX(0,$D$28*MAX(0,(AJ117+AM117-AN117-AO117+AK117-AL117)+AS116-AR117)-AS116),0)</f>
        <v>0</v>
      </c>
      <c r="AQ117" s="181" t="n">
        <f aca="false">AJ117+AM117-AN117-AO117+AK117-AL117-AP117</f>
        <v>222423.472519831</v>
      </c>
      <c r="AR117" s="180" t="n">
        <f aca="false">AR116+AK117-AL117</f>
        <v>150000</v>
      </c>
      <c r="AS117" s="180" t="n">
        <f aca="false">AS116+AP117</f>
        <v>11218.4994452111</v>
      </c>
      <c r="AT117" s="180" t="n">
        <f aca="false">AQ117+AS117-AR117</f>
        <v>83641.9719650422</v>
      </c>
      <c r="AU117" s="180" t="n">
        <f aca="false">MAX(0,IFERROR(INDEX(TAB_IR,MATCH($C117,TAB_IR_DIAS,1),MATCH($D$8,TAB_IR_REGIMES,0)),0)*IF($D$26=2,AQ117,MAX(0,AT117))-AS117)</f>
        <v>1327.79634954526</v>
      </c>
      <c r="AV117" s="181" t="n">
        <f aca="false">MAX(0,AQ117-AU117-AQ117*$D$25)</f>
        <v>221095.676170286</v>
      </c>
      <c r="AW117" s="180" t="n">
        <f aca="false">AV117/$D117</f>
        <v>184115.915898468</v>
      </c>
      <c r="AY117" s="180" t="n">
        <f aca="false">BF116</f>
        <v>239432.753723334</v>
      </c>
      <c r="AZ117" s="180" t="n">
        <f aca="false">IF($E$9=0,0,IF($A117&gt;IN_PRAZO,0,IF(APORTE_CORRIGIDO="Sim",IN_APORTE*$D117,IN_APORTE))+IF(AND($E$35=1,PGBL_REINVESTE="Sim",$A117&gt;=13,$A117&lt;=IN_PRAZO,MONTH($B117)=5),PGBL_BENEFICIO,0))</f>
        <v>0</v>
      </c>
      <c r="BA117" s="180" t="n">
        <f aca="false">AZ117*$E$24</f>
        <v>0</v>
      </c>
      <c r="BB117" s="180" t="n">
        <f aca="false">AY117*$E$19</f>
        <v>2343.74625470191</v>
      </c>
      <c r="BC117" s="180" t="n">
        <f aca="false">AY117*$E$22</f>
        <v>299.290942154167</v>
      </c>
      <c r="BD117" s="180" t="n">
        <f aca="false">$E$23*MAX(0,BB117-AY117*$E$18)</f>
        <v>0</v>
      </c>
      <c r="BE117" s="180" t="n">
        <f aca="false">IF(AND($E$27=1,OR(MONTH($B117)=5,MONTH($B117)=11)),MAX(0,$E$28*MAX(0,(AY117+BB117-BC117-BD117+AZ117-BA117)+BH116-BG117)-BH116),0)</f>
        <v>0</v>
      </c>
      <c r="BF117" s="181" t="n">
        <f aca="false">AY117+BB117-BC117-BD117+AZ117-BA117-BE117</f>
        <v>241477.209035881</v>
      </c>
      <c r="BG117" s="180" t="n">
        <f aca="false">BG116+AZ117-BA117</f>
        <v>150000</v>
      </c>
      <c r="BH117" s="180" t="n">
        <f aca="false">BH116+BE117</f>
        <v>0</v>
      </c>
      <c r="BI117" s="180" t="n">
        <f aca="false">BF117+BH117-BG117</f>
        <v>91477.2090358814</v>
      </c>
      <c r="BJ117" s="180" t="n">
        <f aca="false">MAX(0,IFERROR(INDEX(TAB_IR,MATCH($C117,TAB_IR_DIAS,1),MATCH($E$8,TAB_IR_REGIMES,0)),0)*IF($E$26=2,BF117,MAX(0,BI117))-BH117)</f>
        <v>22869.3022589704</v>
      </c>
      <c r="BK117" s="181" t="n">
        <f aca="false">MAX(0,BF117-BJ117-BF117*$E$25)</f>
        <v>218607.906776911</v>
      </c>
      <c r="BL117" s="180" t="n">
        <f aca="false">BK117/$D117</f>
        <v>182044.242909022</v>
      </c>
      <c r="BN117" s="180" t="n">
        <f aca="false">BU116</f>
        <v>239432.753723334</v>
      </c>
      <c r="BO117" s="180" t="n">
        <f aca="false">IF($F$9=0,0,IF($A117&gt;IN_PRAZO,0,IF(APORTE_CORRIGIDO="Sim",IN_APORTE*$D117,IN_APORTE))+IF(AND($F$35=1,PGBL_REINVESTE="Sim",$A117&gt;=13,$A117&lt;=IN_PRAZO,MONTH($B117)=5),PGBL_BENEFICIO,0))</f>
        <v>0</v>
      </c>
      <c r="BP117" s="180" t="n">
        <f aca="false">BO117*$F$24</f>
        <v>0</v>
      </c>
      <c r="BQ117" s="180" t="n">
        <f aca="false">BN117*$F$19</f>
        <v>2343.74625470191</v>
      </c>
      <c r="BR117" s="180" t="n">
        <f aca="false">BN117*$F$22</f>
        <v>299.290942154167</v>
      </c>
      <c r="BS117" s="180" t="n">
        <f aca="false">$F$23*MAX(0,BQ117-BN117*$F$18)</f>
        <v>0</v>
      </c>
      <c r="BT117" s="180" t="n">
        <f aca="false">IF(AND($F$27=1,OR(MONTH($B117)=5,MONTH($B117)=11)),MAX(0,$F$28*MAX(0,(BN117+BQ117-BR117-BS117+BO117-BP117)+BW116-BV117)-BW116),0)</f>
        <v>0</v>
      </c>
      <c r="BU117" s="181" t="n">
        <f aca="false">BN117+BQ117-BR117-BS117+BO117-BP117-BT117</f>
        <v>241477.209035881</v>
      </c>
      <c r="BV117" s="180" t="n">
        <f aca="false">BV116+BO117-BP117</f>
        <v>150000</v>
      </c>
      <c r="BW117" s="180" t="n">
        <f aca="false">BW116+BT117</f>
        <v>0</v>
      </c>
      <c r="BX117" s="180" t="n">
        <f aca="false">BU117+BW117-BV117</f>
        <v>91477.2090358814</v>
      </c>
      <c r="BY117" s="180" t="n">
        <f aca="false">MAX(0,IFERROR(INDEX(TAB_IR,MATCH($C117,TAB_IR_DIAS,1),MATCH($F$8,TAB_IR_REGIMES,0)),0)*IF($F$26=2,BU117,MAX(0,BX117))-BW117)</f>
        <v>60369.3022589704</v>
      </c>
      <c r="BZ117" s="181" t="n">
        <f aca="false">MAX(0,BU117-BY117-BU117*$F$25)</f>
        <v>181107.906776911</v>
      </c>
      <c r="CA117" s="180" t="n">
        <f aca="false">BZ117/$D117</f>
        <v>150816.373753974</v>
      </c>
      <c r="CC117" s="180" t="n">
        <f aca="false">CJ116</f>
        <v>212120.803320716</v>
      </c>
      <c r="CD117" s="180" t="n">
        <f aca="false">IF($G$9=0,0,IF($A117&gt;IN_PRAZO,0,IF(APORTE_CORRIGIDO="Sim",IN_APORTE*$D117,IN_APORTE))+IF(AND($G$35=1,PGBL_REINVESTE="Sim",$A117&gt;=13,$A117&lt;=IN_PRAZO,MONTH($B117)=5),PGBL_BENEFICIO,0))</f>
        <v>0</v>
      </c>
      <c r="CE117" s="180" t="n">
        <f aca="false">CD117*$G$24</f>
        <v>0</v>
      </c>
      <c r="CF117" s="180" t="n">
        <f aca="false">CC117*$G$19</f>
        <v>1730.31721351268</v>
      </c>
      <c r="CG117" s="180" t="n">
        <f aca="false">CC117*$G$22</f>
        <v>176.767336100596</v>
      </c>
      <c r="CH117" s="180" t="n">
        <f aca="false">$G$23*MAX(0,CF117-CC117*$G$18)</f>
        <v>0</v>
      </c>
      <c r="CI117" s="180" t="n">
        <f aca="false">IF(AND($G$27=1,OR(MONTH($B117)=5,MONTH($B117)=11)),MAX(0,$G$28*MAX(0,(CC117+CF117-CG117-CH117+CD117-CE117)+CL116-CK117)-CL116),0)</f>
        <v>0</v>
      </c>
      <c r="CJ117" s="181" t="n">
        <f aca="false">CC117+CF117-CG117-CH117+CD117-CE117-CI117</f>
        <v>213674.353198128</v>
      </c>
      <c r="CK117" s="180" t="n">
        <f aca="false">CK116+CD117-CE117</f>
        <v>150000</v>
      </c>
      <c r="CL117" s="180" t="n">
        <f aca="false">CL116+CI117</f>
        <v>9885.65975500436</v>
      </c>
      <c r="CM117" s="180" t="n">
        <f aca="false">CJ117+CL117-CK117</f>
        <v>73560.0129531321</v>
      </c>
      <c r="CN117" s="180" t="n">
        <f aca="false">MAX(0,IFERROR(INDEX(TAB_IR,MATCH($C117,TAB_IR_DIAS,1),MATCH($G$8,TAB_IR_REGIMES,0)),0)*IF($G$26=2,CJ117,MAX(0,CM117))-CL117)</f>
        <v>1148.34218796546</v>
      </c>
      <c r="CO117" s="181" t="n">
        <f aca="false">MAX(0,CJ117-CN117-CJ117*$G$25)</f>
        <v>212526.011010162</v>
      </c>
      <c r="CP117" s="180" t="n">
        <f aca="false">CO117/$D117</f>
        <v>176979.585703191</v>
      </c>
    </row>
    <row r="118" customFormat="false" ht="12" hidden="false" customHeight="true" outlineLevel="0" collapsed="false">
      <c r="A118" s="177" t="n">
        <v>57</v>
      </c>
      <c r="B118" s="178" t="n">
        <f aca="false">EDATE(DATA_INICIO,$A118)</f>
        <v>47991</v>
      </c>
      <c r="C118" s="177" t="n">
        <f aca="false">$A118*30</f>
        <v>1710</v>
      </c>
      <c r="D118" s="179" t="n">
        <f aca="false">(1+IPCA_CENARIO)^($A118/12)</f>
        <v>1.20478169852171</v>
      </c>
      <c r="F118" s="180" t="n">
        <f aca="false">M117</f>
        <v>252208.499697274</v>
      </c>
      <c r="G118" s="180" t="n">
        <f aca="false">IF($B$9=0,0,IF($A118&gt;IN_PRAZO,0,IF(APORTE_CORRIGIDO="Sim",IN_APORTE*$D118,IN_APORTE))+IF(AND($B$35=1,PGBL_REINVESTE="Sim",$A118&gt;=13,$A118&lt;=IN_PRAZO,MONTH($B118)=5),PGBL_BENEFICIO,0))</f>
        <v>0</v>
      </c>
      <c r="H118" s="180" t="n">
        <f aca="false">G118*$B$24</f>
        <v>0</v>
      </c>
      <c r="I118" s="180" t="n">
        <f aca="false">F118*$B$19</f>
        <v>2393.15422996929</v>
      </c>
      <c r="J118" s="180" t="n">
        <f aca="false">F118*$B$22</f>
        <v>42.0347499495457</v>
      </c>
      <c r="K118" s="180" t="n">
        <f aca="false">$B$23*MAX(0,I118-F118*$B$18)</f>
        <v>0</v>
      </c>
      <c r="L118" s="180" t="n">
        <f aca="false">IF(AND($B$27=1,OR(MONTH($B118)=5,MONTH($B118)=11)),MAX(0,$B$28*MAX(0,(F118+I118-J118-K118+G118-H118)+O117-N118)-O117),0)</f>
        <v>0</v>
      </c>
      <c r="M118" s="181" t="n">
        <f aca="false">F118+I118-J118-K118+G118-H118-L118</f>
        <v>254559.619177294</v>
      </c>
      <c r="N118" s="180" t="n">
        <f aca="false">N117+G118-H118</f>
        <v>150000</v>
      </c>
      <c r="O118" s="180" t="n">
        <f aca="false">O117+L118</f>
        <v>0</v>
      </c>
      <c r="P118" s="180" t="n">
        <f aca="false">M118+O118-N118</f>
        <v>104559.619177294</v>
      </c>
      <c r="Q118" s="180" t="n">
        <f aca="false">MAX(0,IFERROR(INDEX(TAB_IR,MATCH($C118,TAB_IR_DIAS,1),MATCH($B$8,TAB_IR_REGIMES,0)),0)*IF($B$26=2,M118,MAX(0,P118))-O118)</f>
        <v>15683.9428765941</v>
      </c>
      <c r="R118" s="181" t="n">
        <f aca="false">MAX(0,M118-Q118-M118*$B$25)</f>
        <v>238875.6763007</v>
      </c>
      <c r="S118" s="180" t="n">
        <f aca="false">R118/$D118</f>
        <v>198272.995509315</v>
      </c>
      <c r="U118" s="180" t="n">
        <f aca="false">AB117</f>
        <v>234235.795127542</v>
      </c>
      <c r="V118" s="180" t="n">
        <f aca="false">IF($C$9=0,0,IF($A118&gt;IN_PRAZO,0,IF(APORTE_CORRIGIDO="Sim",IN_APORTE*$D118,IN_APORTE))+IF(AND($C$35=1,PGBL_REINVESTE="Sim",$A118&gt;=13,$A118&lt;=IN_PRAZO,MONTH($B118)=5),PGBL_BENEFICIO,0))</f>
        <v>0</v>
      </c>
      <c r="W118" s="180" t="n">
        <f aca="false">V118*$C$24</f>
        <v>0</v>
      </c>
      <c r="X118" s="180" t="n">
        <f aca="false">U118*$C$19</f>
        <v>1910.71418731722</v>
      </c>
      <c r="Y118" s="180" t="n">
        <f aca="false">U118*$C$22</f>
        <v>39.0392991879237</v>
      </c>
      <c r="Z118" s="180" t="n">
        <f aca="false">$C$23*MAX(0,X118-U118*$C$18)</f>
        <v>0</v>
      </c>
      <c r="AA118" s="180" t="n">
        <f aca="false">IF(AND($C$27=1,OR(MONTH($B118)=5,MONTH($B118)=11)),MAX(0,$C$28*MAX(0,(U118+X118-Y118-Z118+V118-W118)+AD117-AC118)-AD117),0)</f>
        <v>0</v>
      </c>
      <c r="AB118" s="181" t="n">
        <f aca="false">U118+X118-Y118-Z118+V118-W118-AA118</f>
        <v>236107.470015672</v>
      </c>
      <c r="AC118" s="180" t="n">
        <f aca="false">AC117+V118-W118</f>
        <v>150000</v>
      </c>
      <c r="AD118" s="180" t="n">
        <f aca="false">AD117+AA118</f>
        <v>0</v>
      </c>
      <c r="AE118" s="180" t="n">
        <f aca="false">AB118+AD118-AC118</f>
        <v>86107.4700156716</v>
      </c>
      <c r="AF118" s="180" t="n">
        <f aca="false">MAX(0,IFERROR(INDEX(TAB_IR,MATCH($C118,TAB_IR_DIAS,1),MATCH($C$8,TAB_IR_REGIMES,0)),0)*IF($C$26=2,AB118,MAX(0,AE118))-AD118)</f>
        <v>12916.1205023507</v>
      </c>
      <c r="AG118" s="181" t="n">
        <f aca="false">MAX(0,AB118-AF118-AB118*$C$25)</f>
        <v>223191.349513321</v>
      </c>
      <c r="AH118" s="180" t="n">
        <f aca="false">AG118/$D118</f>
        <v>185254.598229025</v>
      </c>
      <c r="AJ118" s="180" t="n">
        <f aca="false">AQ117</f>
        <v>222423.472519831</v>
      </c>
      <c r="AK118" s="180" t="n">
        <f aca="false">IF($D$9=0,0,IF($A118&gt;IN_PRAZO,0,IF(APORTE_CORRIGIDO="Sim",IN_APORTE*$D118,IN_APORTE))+IF(AND($D$35=1,PGBL_REINVESTE="Sim",$A118&gt;=13,$A118&lt;=IN_PRAZO,MONTH($B118)=5),PGBL_BENEFICIO,0))</f>
        <v>0</v>
      </c>
      <c r="AL118" s="180" t="n">
        <f aca="false">AK118*$D$24</f>
        <v>0</v>
      </c>
      <c r="AM118" s="180" t="n">
        <f aca="false">AJ118*$D$19</f>
        <v>1999.2972111888</v>
      </c>
      <c r="AN118" s="180" t="n">
        <f aca="false">AJ118*$D$22</f>
        <v>185.352893766526</v>
      </c>
      <c r="AO118" s="180" t="n">
        <f aca="false">$D$23*MAX(0,AM118-AJ118*$D$18)</f>
        <v>0</v>
      </c>
      <c r="AP118" s="180" t="n">
        <f aca="false">IF(AND($D$27=1,OR(MONTH($B118)=5,MONTH($B118)=11)),MAX(0,$D$28*MAX(0,(AJ118+AM118-AN118-AO118+AK118-AL118)+AS117-AR118)-AS117),0)</f>
        <v>1599.88799715859</v>
      </c>
      <c r="AQ118" s="181" t="n">
        <f aca="false">AJ118+AM118-AN118-AO118+AK118-AL118-AP118</f>
        <v>222637.528840095</v>
      </c>
      <c r="AR118" s="180" t="n">
        <f aca="false">AR117+AK118-AL118</f>
        <v>150000</v>
      </c>
      <c r="AS118" s="180" t="n">
        <f aca="false">AS117+AP118</f>
        <v>12818.3874423697</v>
      </c>
      <c r="AT118" s="180" t="n">
        <f aca="false">AQ118+AS118-AR118</f>
        <v>85455.9162824645</v>
      </c>
      <c r="AU118" s="180" t="n">
        <f aca="false">MAX(0,IFERROR(INDEX(TAB_IR,MATCH($C118,TAB_IR_DIAS,1),MATCH($D$8,TAB_IR_REGIMES,0)),0)*IF($D$26=2,AQ118,MAX(0,AT118))-AS118)</f>
        <v>0</v>
      </c>
      <c r="AV118" s="181" t="n">
        <f aca="false">MAX(0,AQ118-AU118-AQ118*$D$25)</f>
        <v>222637.528840095</v>
      </c>
      <c r="AW118" s="180" t="n">
        <f aca="false">AV118/$D118</f>
        <v>184794.912732552</v>
      </c>
      <c r="AY118" s="180" t="n">
        <f aca="false">BF117</f>
        <v>241477.209035881</v>
      </c>
      <c r="AZ118" s="180" t="n">
        <f aca="false">IF($E$9=0,0,IF($A118&gt;IN_PRAZO,0,IF(APORTE_CORRIGIDO="Sim",IN_APORTE*$D118,IN_APORTE))+IF(AND($E$35=1,PGBL_REINVESTE="Sim",$A118&gt;=13,$A118&lt;=IN_PRAZO,MONTH($B118)=5),PGBL_BENEFICIO,0))</f>
        <v>0</v>
      </c>
      <c r="BA118" s="180" t="n">
        <f aca="false">AZ118*$E$24</f>
        <v>0</v>
      </c>
      <c r="BB118" s="180" t="n">
        <f aca="false">AY118*$E$19</f>
        <v>2363.75890713637</v>
      </c>
      <c r="BC118" s="180" t="n">
        <f aca="false">AY118*$E$22</f>
        <v>301.846511294852</v>
      </c>
      <c r="BD118" s="180" t="n">
        <f aca="false">$E$23*MAX(0,BB118-AY118*$E$18)</f>
        <v>0</v>
      </c>
      <c r="BE118" s="180" t="n">
        <f aca="false">IF(AND($E$27=1,OR(MONTH($B118)=5,MONTH($B118)=11)),MAX(0,$E$28*MAX(0,(AY118+BB118-BC118-BD118+AZ118-BA118)+BH117-BG118)-BH117),0)</f>
        <v>0</v>
      </c>
      <c r="BF118" s="181" t="n">
        <f aca="false">AY118+BB118-BC118-BD118+AZ118-BA118-BE118</f>
        <v>243539.121431723</v>
      </c>
      <c r="BG118" s="180" t="n">
        <f aca="false">BG117+AZ118-BA118</f>
        <v>150000</v>
      </c>
      <c r="BH118" s="180" t="n">
        <f aca="false">BH117+BE118</f>
        <v>0</v>
      </c>
      <c r="BI118" s="180" t="n">
        <f aca="false">BF118+BH118-BG118</f>
        <v>93539.1214317229</v>
      </c>
      <c r="BJ118" s="180" t="n">
        <f aca="false">MAX(0,IFERROR(INDEX(TAB_IR,MATCH($C118,TAB_IR_DIAS,1),MATCH($E$8,TAB_IR_REGIMES,0)),0)*IF($E$26=2,BF118,MAX(0,BI118))-BH118)</f>
        <v>23384.7803579307</v>
      </c>
      <c r="BK118" s="181" t="n">
        <f aca="false">MAX(0,BF118-BJ118-BF118*$E$25)</f>
        <v>220154.341073792</v>
      </c>
      <c r="BL118" s="180" t="n">
        <f aca="false">BK118/$D118</f>
        <v>182733.802600028</v>
      </c>
      <c r="BN118" s="180" t="n">
        <f aca="false">BU117</f>
        <v>241477.209035881</v>
      </c>
      <c r="BO118" s="180" t="n">
        <f aca="false">IF($F$9=0,0,IF($A118&gt;IN_PRAZO,0,IF(APORTE_CORRIGIDO="Sim",IN_APORTE*$D118,IN_APORTE))+IF(AND($F$35=1,PGBL_REINVESTE="Sim",$A118&gt;=13,$A118&lt;=IN_PRAZO,MONTH($B118)=5),PGBL_BENEFICIO,0))</f>
        <v>0</v>
      </c>
      <c r="BP118" s="180" t="n">
        <f aca="false">BO118*$F$24</f>
        <v>0</v>
      </c>
      <c r="BQ118" s="180" t="n">
        <f aca="false">BN118*$F$19</f>
        <v>2363.75890713637</v>
      </c>
      <c r="BR118" s="180" t="n">
        <f aca="false">BN118*$F$22</f>
        <v>301.846511294852</v>
      </c>
      <c r="BS118" s="180" t="n">
        <f aca="false">$F$23*MAX(0,BQ118-BN118*$F$18)</f>
        <v>0</v>
      </c>
      <c r="BT118" s="180" t="n">
        <f aca="false">IF(AND($F$27=1,OR(MONTH($B118)=5,MONTH($B118)=11)),MAX(0,$F$28*MAX(0,(BN118+BQ118-BR118-BS118+BO118-BP118)+BW117-BV118)-BW117),0)</f>
        <v>0</v>
      </c>
      <c r="BU118" s="181" t="n">
        <f aca="false">BN118+BQ118-BR118-BS118+BO118-BP118-BT118</f>
        <v>243539.121431723</v>
      </c>
      <c r="BV118" s="180" t="n">
        <f aca="false">BV117+BO118-BP118</f>
        <v>150000</v>
      </c>
      <c r="BW118" s="180" t="n">
        <f aca="false">BW117+BT118</f>
        <v>0</v>
      </c>
      <c r="BX118" s="180" t="n">
        <f aca="false">BU118+BW118-BV118</f>
        <v>93539.1214317229</v>
      </c>
      <c r="BY118" s="180" t="n">
        <f aca="false">MAX(0,IFERROR(INDEX(TAB_IR,MATCH($C118,TAB_IR_DIAS,1),MATCH($F$8,TAB_IR_REGIMES,0)),0)*IF($F$26=2,BU118,MAX(0,BX118))-BW118)</f>
        <v>60884.7803579307</v>
      </c>
      <c r="BZ118" s="181" t="n">
        <f aca="false">MAX(0,BU118-BY118-BU118*$F$25)</f>
        <v>182654.341073792</v>
      </c>
      <c r="CA118" s="180" t="n">
        <f aca="false">BZ118/$D118</f>
        <v>151607.831773933</v>
      </c>
      <c r="CC118" s="180" t="n">
        <f aca="false">CJ117</f>
        <v>213674.353198128</v>
      </c>
      <c r="CD118" s="180" t="n">
        <f aca="false">IF($G$9=0,0,IF($A118&gt;IN_PRAZO,0,IF(APORTE_CORRIGIDO="Sim",IN_APORTE*$D118,IN_APORTE))+IF(AND($G$35=1,PGBL_REINVESTE="Sim",$A118&gt;=13,$A118&lt;=IN_PRAZO,MONTH($B118)=5),PGBL_BENEFICIO,0))</f>
        <v>0</v>
      </c>
      <c r="CE118" s="180" t="n">
        <f aca="false">CD118*$G$24</f>
        <v>0</v>
      </c>
      <c r="CF118" s="180" t="n">
        <f aca="false">CC118*$G$19</f>
        <v>1742.9898700973</v>
      </c>
      <c r="CG118" s="180" t="n">
        <f aca="false">CC118*$G$22</f>
        <v>178.06196099844</v>
      </c>
      <c r="CH118" s="180" t="n">
        <f aca="false">$G$23*MAX(0,CF118-CC118*$G$18)</f>
        <v>0</v>
      </c>
      <c r="CI118" s="180" t="n">
        <f aca="false">IF(AND($G$27=1,OR(MONTH($B118)=5,MONTH($B118)=11)),MAX(0,$G$28*MAX(0,(CC118+CF118-CG118-CH118+CD118-CE118)+CL117-CK118)-CL117),0)</f>
        <v>1383.08137433029</v>
      </c>
      <c r="CJ118" s="181" t="n">
        <f aca="false">CC118+CF118-CG118-CH118+CD118-CE118-CI118</f>
        <v>213856.199732896</v>
      </c>
      <c r="CK118" s="180" t="n">
        <f aca="false">CK117+CD118-CE118</f>
        <v>150000</v>
      </c>
      <c r="CL118" s="180" t="n">
        <f aca="false">CL117+CI118</f>
        <v>11268.7411293347</v>
      </c>
      <c r="CM118" s="180" t="n">
        <f aca="false">CJ118+CL118-CK118</f>
        <v>75124.940862231</v>
      </c>
      <c r="CN118" s="180" t="n">
        <f aca="false">MAX(0,IFERROR(INDEX(TAB_IR,MATCH($C118,TAB_IR_DIAS,1),MATCH($G$8,TAB_IR_REGIMES,0)),0)*IF($G$26=2,CJ118,MAX(0,CM118))-CL118)</f>
        <v>0</v>
      </c>
      <c r="CO118" s="181" t="n">
        <f aca="false">MAX(0,CJ118-CN118-CJ118*$G$25)</f>
        <v>213856.199732896</v>
      </c>
      <c r="CP118" s="180" t="n">
        <f aca="false">CO118/$D118</f>
        <v>177506.182236419</v>
      </c>
    </row>
    <row r="119" customFormat="false" ht="12" hidden="false" customHeight="true" outlineLevel="0" collapsed="false">
      <c r="A119" s="177" t="n">
        <v>58</v>
      </c>
      <c r="B119" s="178" t="n">
        <f aca="false">EDATE(DATA_INICIO,$A119)</f>
        <v>48022</v>
      </c>
      <c r="C119" s="177" t="n">
        <f aca="false">$A119*30</f>
        <v>1740</v>
      </c>
      <c r="D119" s="179" t="n">
        <f aca="false">(1+IPCA_CENARIO)^($A119/12)</f>
        <v>1.20872584029702</v>
      </c>
      <c r="F119" s="180" t="n">
        <f aca="false">M118</f>
        <v>254559.619177294</v>
      </c>
      <c r="G119" s="180" t="n">
        <f aca="false">IF($B$9=0,0,IF($A119&gt;IN_PRAZO,0,IF(APORTE_CORRIGIDO="Sim",IN_APORTE*$D119,IN_APORTE))+IF(AND($B$35=1,PGBL_REINVESTE="Sim",$A119&gt;=13,$A119&lt;=IN_PRAZO,MONTH($B119)=5),PGBL_BENEFICIO,0))</f>
        <v>0</v>
      </c>
      <c r="H119" s="180" t="n">
        <f aca="false">G119*$B$24</f>
        <v>0</v>
      </c>
      <c r="I119" s="180" t="n">
        <f aca="false">F119*$B$19</f>
        <v>2415.46351587966</v>
      </c>
      <c r="J119" s="180" t="n">
        <f aca="false">F119*$B$22</f>
        <v>42.4266031962156</v>
      </c>
      <c r="K119" s="180" t="n">
        <f aca="false">$B$23*MAX(0,I119-F119*$B$18)</f>
        <v>0</v>
      </c>
      <c r="L119" s="180" t="n">
        <f aca="false">IF(AND($B$27=1,OR(MONTH($B119)=5,MONTH($B119)=11)),MAX(0,$B$28*MAX(0,(F119+I119-J119-K119+G119-H119)+O118-N119)-O118),0)</f>
        <v>0</v>
      </c>
      <c r="M119" s="181" t="n">
        <f aca="false">F119+I119-J119-K119+G119-H119-L119</f>
        <v>256932.656089977</v>
      </c>
      <c r="N119" s="180" t="n">
        <f aca="false">N118+G119-H119</f>
        <v>150000</v>
      </c>
      <c r="O119" s="180" t="n">
        <f aca="false">O118+L119</f>
        <v>0</v>
      </c>
      <c r="P119" s="180" t="n">
        <f aca="false">M119+O119-N119</f>
        <v>106932.656089977</v>
      </c>
      <c r="Q119" s="180" t="n">
        <f aca="false">MAX(0,IFERROR(INDEX(TAB_IR,MATCH($C119,TAB_IR_DIAS,1),MATCH($B$8,TAB_IR_REGIMES,0)),0)*IF($B$26=2,M119,MAX(0,P119))-O119)</f>
        <v>16039.8984134966</v>
      </c>
      <c r="R119" s="181" t="n">
        <f aca="false">MAX(0,M119-Q119-M119*$B$25)</f>
        <v>240892.757676481</v>
      </c>
      <c r="S119" s="180" t="n">
        <f aca="false">R119/$D119</f>
        <v>199294.786001502</v>
      </c>
      <c r="U119" s="180" t="n">
        <f aca="false">AB118</f>
        <v>236107.470015672</v>
      </c>
      <c r="V119" s="180" t="n">
        <f aca="false">IF($C$9=0,0,IF($A119&gt;IN_PRAZO,0,IF(APORTE_CORRIGIDO="Sim",IN_APORTE*$D119,IN_APORTE))+IF(AND($C$35=1,PGBL_REINVESTE="Sim",$A119&gt;=13,$A119&lt;=IN_PRAZO,MONTH($B119)=5),PGBL_BENEFICIO,0))</f>
        <v>0</v>
      </c>
      <c r="W119" s="180" t="n">
        <f aca="false">V119*$C$24</f>
        <v>0</v>
      </c>
      <c r="X119" s="180" t="n">
        <f aca="false">U119*$C$19</f>
        <v>1925.98186133282</v>
      </c>
      <c r="Y119" s="180" t="n">
        <f aca="false">U119*$C$22</f>
        <v>39.3512450026119</v>
      </c>
      <c r="Z119" s="180" t="n">
        <f aca="false">$C$23*MAX(0,X119-U119*$C$18)</f>
        <v>0</v>
      </c>
      <c r="AA119" s="180" t="n">
        <f aca="false">IF(AND($C$27=1,OR(MONTH($B119)=5,MONTH($B119)=11)),MAX(0,$C$28*MAX(0,(U119+X119-Y119-Z119+V119-W119)+AD118-AC119)-AD118),0)</f>
        <v>0</v>
      </c>
      <c r="AB119" s="181" t="n">
        <f aca="false">U119+X119-Y119-Z119+V119-W119-AA119</f>
        <v>237994.100632002</v>
      </c>
      <c r="AC119" s="180" t="n">
        <f aca="false">AC118+V119-W119</f>
        <v>150000</v>
      </c>
      <c r="AD119" s="180" t="n">
        <f aca="false">AD118+AA119</f>
        <v>0</v>
      </c>
      <c r="AE119" s="180" t="n">
        <f aca="false">AB119+AD119-AC119</f>
        <v>87994.1006320019</v>
      </c>
      <c r="AF119" s="180" t="n">
        <f aca="false">MAX(0,IFERROR(INDEX(TAB_IR,MATCH($C119,TAB_IR_DIAS,1),MATCH($C$8,TAB_IR_REGIMES,0)),0)*IF($C$26=2,AB119,MAX(0,AE119))-AD119)</f>
        <v>13199.1150948003</v>
      </c>
      <c r="AG119" s="181" t="n">
        <f aca="false">MAX(0,AB119-AF119-AB119*$C$25)</f>
        <v>224794.985537202</v>
      </c>
      <c r="AH119" s="180" t="n">
        <f aca="false">AG119/$D119</f>
        <v>185976.817937442</v>
      </c>
      <c r="AJ119" s="180" t="n">
        <f aca="false">AQ118</f>
        <v>222637.528840095</v>
      </c>
      <c r="AK119" s="180" t="n">
        <f aca="false">IF($D$9=0,0,IF($A119&gt;IN_PRAZO,0,IF(APORTE_CORRIGIDO="Sim",IN_APORTE*$D119,IN_APORTE))+IF(AND($D$35=1,PGBL_REINVESTE="Sim",$A119&gt;=13,$A119&lt;=IN_PRAZO,MONTH($B119)=5),PGBL_BENEFICIO,0))</f>
        <v>0</v>
      </c>
      <c r="AL119" s="180" t="n">
        <f aca="false">AK119*$D$24</f>
        <v>0</v>
      </c>
      <c r="AM119" s="180" t="n">
        <f aca="false">AJ119*$D$19</f>
        <v>2001.22129860319</v>
      </c>
      <c r="AN119" s="180" t="n">
        <f aca="false">AJ119*$D$22</f>
        <v>185.531274033412</v>
      </c>
      <c r="AO119" s="180" t="n">
        <f aca="false">$D$23*MAX(0,AM119-AJ119*$D$18)</f>
        <v>0</v>
      </c>
      <c r="AP119" s="180" t="n">
        <f aca="false">IF(AND($D$27=1,OR(MONTH($B119)=5,MONTH($B119)=11)),MAX(0,$D$28*MAX(0,(AJ119+AM119-AN119-AO119+AK119-AL119)+AS118-AR119)-AS118),0)</f>
        <v>0</v>
      </c>
      <c r="AQ119" s="181" t="n">
        <f aca="false">AJ119+AM119-AN119-AO119+AK119-AL119-AP119</f>
        <v>224453.218864665</v>
      </c>
      <c r="AR119" s="180" t="n">
        <f aca="false">AR118+AK119-AL119</f>
        <v>150000</v>
      </c>
      <c r="AS119" s="180" t="n">
        <f aca="false">AS118+AP119</f>
        <v>12818.3874423697</v>
      </c>
      <c r="AT119" s="180" t="n">
        <f aca="false">AQ119+AS119-AR119</f>
        <v>87271.6063070342</v>
      </c>
      <c r="AU119" s="180" t="n">
        <f aca="false">MAX(0,IFERROR(INDEX(TAB_IR,MATCH($C119,TAB_IR_DIAS,1),MATCH($D$8,TAB_IR_REGIMES,0)),0)*IF($D$26=2,AQ119,MAX(0,AT119))-AS119)</f>
        <v>272.353503685461</v>
      </c>
      <c r="AV119" s="181" t="n">
        <f aca="false">MAX(0,AQ119-AU119-AQ119*$D$25)</f>
        <v>224180.865360979</v>
      </c>
      <c r="AW119" s="180" t="n">
        <f aca="false">AV119/$D119</f>
        <v>185468.745589066</v>
      </c>
      <c r="AY119" s="180" t="n">
        <f aca="false">BF118</f>
        <v>243539.121431723</v>
      </c>
      <c r="AZ119" s="180" t="n">
        <f aca="false">IF($E$9=0,0,IF($A119&gt;IN_PRAZO,0,IF(APORTE_CORRIGIDO="Sim",IN_APORTE*$D119,IN_APORTE))+IF(AND($E$35=1,PGBL_REINVESTE="Sim",$A119&gt;=13,$A119&lt;=IN_PRAZO,MONTH($B119)=5),PGBL_BENEFICIO,0))</f>
        <v>0</v>
      </c>
      <c r="BA119" s="180" t="n">
        <f aca="false">AZ119*$E$24</f>
        <v>0</v>
      </c>
      <c r="BB119" s="180" t="n">
        <f aca="false">AY119*$E$19</f>
        <v>2383.94244251374</v>
      </c>
      <c r="BC119" s="180" t="n">
        <f aca="false">AY119*$E$22</f>
        <v>304.423901789654</v>
      </c>
      <c r="BD119" s="180" t="n">
        <f aca="false">$E$23*MAX(0,BB119-AY119*$E$18)</f>
        <v>0</v>
      </c>
      <c r="BE119" s="180" t="n">
        <f aca="false">IF(AND($E$27=1,OR(MONTH($B119)=5,MONTH($B119)=11)),MAX(0,$E$28*MAX(0,(AY119+BB119-BC119-BD119+AZ119-BA119)+BH118-BG119)-BH118),0)</f>
        <v>0</v>
      </c>
      <c r="BF119" s="181" t="n">
        <f aca="false">AY119+BB119-BC119-BD119+AZ119-BA119-BE119</f>
        <v>245618.639972447</v>
      </c>
      <c r="BG119" s="180" t="n">
        <f aca="false">BG118+AZ119-BA119</f>
        <v>150000</v>
      </c>
      <c r="BH119" s="180" t="n">
        <f aca="false">BH118+BE119</f>
        <v>0</v>
      </c>
      <c r="BI119" s="180" t="n">
        <f aca="false">BF119+BH119-BG119</f>
        <v>95618.639972447</v>
      </c>
      <c r="BJ119" s="180" t="n">
        <f aca="false">MAX(0,IFERROR(INDEX(TAB_IR,MATCH($C119,TAB_IR_DIAS,1),MATCH($E$8,TAB_IR_REGIMES,0)),0)*IF($E$26=2,BF119,MAX(0,BI119))-BH119)</f>
        <v>23904.6599931118</v>
      </c>
      <c r="BK119" s="181" t="n">
        <f aca="false">MAX(0,BF119-BJ119-BF119*$E$25)</f>
        <v>221713.979979335</v>
      </c>
      <c r="BL119" s="180" t="n">
        <f aca="false">BK119/$D119</f>
        <v>183427.848224749</v>
      </c>
      <c r="BN119" s="180" t="n">
        <f aca="false">BU118</f>
        <v>243539.121431723</v>
      </c>
      <c r="BO119" s="180" t="n">
        <f aca="false">IF($F$9=0,0,IF($A119&gt;IN_PRAZO,0,IF(APORTE_CORRIGIDO="Sim",IN_APORTE*$D119,IN_APORTE))+IF(AND($F$35=1,PGBL_REINVESTE="Sim",$A119&gt;=13,$A119&lt;=IN_PRAZO,MONTH($B119)=5),PGBL_BENEFICIO,0))</f>
        <v>0</v>
      </c>
      <c r="BP119" s="180" t="n">
        <f aca="false">BO119*$F$24</f>
        <v>0</v>
      </c>
      <c r="BQ119" s="180" t="n">
        <f aca="false">BN119*$F$19</f>
        <v>2383.94244251374</v>
      </c>
      <c r="BR119" s="180" t="n">
        <f aca="false">BN119*$F$22</f>
        <v>304.423901789654</v>
      </c>
      <c r="BS119" s="180" t="n">
        <f aca="false">$F$23*MAX(0,BQ119-BN119*$F$18)</f>
        <v>0</v>
      </c>
      <c r="BT119" s="180" t="n">
        <f aca="false">IF(AND($F$27=1,OR(MONTH($B119)=5,MONTH($B119)=11)),MAX(0,$F$28*MAX(0,(BN119+BQ119-BR119-BS119+BO119-BP119)+BW118-BV119)-BW118),0)</f>
        <v>0</v>
      </c>
      <c r="BU119" s="181" t="n">
        <f aca="false">BN119+BQ119-BR119-BS119+BO119-BP119-BT119</f>
        <v>245618.639972447</v>
      </c>
      <c r="BV119" s="180" t="n">
        <f aca="false">BV118+BO119-BP119</f>
        <v>150000</v>
      </c>
      <c r="BW119" s="180" t="n">
        <f aca="false">BW118+BT119</f>
        <v>0</v>
      </c>
      <c r="BX119" s="180" t="n">
        <f aca="false">BU119+BW119-BV119</f>
        <v>95618.639972447</v>
      </c>
      <c r="BY119" s="180" t="n">
        <f aca="false">MAX(0,IFERROR(INDEX(TAB_IR,MATCH($C119,TAB_IR_DIAS,1),MATCH($F$8,TAB_IR_REGIMES,0)),0)*IF($F$26=2,BU119,MAX(0,BX119))-BW119)</f>
        <v>61404.6599931118</v>
      </c>
      <c r="BZ119" s="181" t="n">
        <f aca="false">MAX(0,BU119-BY119-BU119*$F$25)</f>
        <v>184213.979979335</v>
      </c>
      <c r="CA119" s="180" t="n">
        <f aca="false">BZ119/$D119</f>
        <v>152403.443227513</v>
      </c>
      <c r="CC119" s="180" t="n">
        <f aca="false">CJ118</f>
        <v>213856.199732896</v>
      </c>
      <c r="CD119" s="180" t="n">
        <f aca="false">IF($G$9=0,0,IF($A119&gt;IN_PRAZO,0,IF(APORTE_CORRIGIDO="Sim",IN_APORTE*$D119,IN_APORTE))+IF(AND($G$35=1,PGBL_REINVESTE="Sim",$A119&gt;=13,$A119&lt;=IN_PRAZO,MONTH($B119)=5),PGBL_BENEFICIO,0))</f>
        <v>0</v>
      </c>
      <c r="CE119" s="180" t="n">
        <f aca="false">CD119*$G$24</f>
        <v>0</v>
      </c>
      <c r="CF119" s="180" t="n">
        <f aca="false">CC119*$G$19</f>
        <v>1744.47323327716</v>
      </c>
      <c r="CG119" s="180" t="n">
        <f aca="false">CC119*$G$22</f>
        <v>178.213499777414</v>
      </c>
      <c r="CH119" s="180" t="n">
        <f aca="false">$G$23*MAX(0,CF119-CC119*$G$18)</f>
        <v>0</v>
      </c>
      <c r="CI119" s="180" t="n">
        <f aca="false">IF(AND($G$27=1,OR(MONTH($B119)=5,MONTH($B119)=11)),MAX(0,$G$28*MAX(0,(CC119+CF119-CG119-CH119+CD119-CE119)+CL118-CK119)-CL118),0)</f>
        <v>0</v>
      </c>
      <c r="CJ119" s="181" t="n">
        <f aca="false">CC119+CF119-CG119-CH119+CD119-CE119-CI119</f>
        <v>215422.459466396</v>
      </c>
      <c r="CK119" s="180" t="n">
        <f aca="false">CK118+CD119-CE119</f>
        <v>150000</v>
      </c>
      <c r="CL119" s="180" t="n">
        <f aca="false">CL118+CI119</f>
        <v>11268.7411293347</v>
      </c>
      <c r="CM119" s="180" t="n">
        <f aca="false">CJ119+CL119-CK119</f>
        <v>76691.2005957307</v>
      </c>
      <c r="CN119" s="180" t="n">
        <f aca="false">MAX(0,IFERROR(INDEX(TAB_IR,MATCH($C119,TAB_IR_DIAS,1),MATCH($G$8,TAB_IR_REGIMES,0)),0)*IF($G$26=2,CJ119,MAX(0,CM119))-CL119)</f>
        <v>234.938960024958</v>
      </c>
      <c r="CO119" s="181" t="n">
        <f aca="false">MAX(0,CJ119-CN119-CJ119*$G$25)</f>
        <v>215187.520506371</v>
      </c>
      <c r="CP119" s="180" t="n">
        <f aca="false">CO119/$D119</f>
        <v>178028.394307755</v>
      </c>
    </row>
    <row r="120" customFormat="false" ht="12" hidden="false" customHeight="true" outlineLevel="0" collapsed="false">
      <c r="A120" s="177" t="n">
        <v>59</v>
      </c>
      <c r="B120" s="178" t="n">
        <f aca="false">EDATE(DATA_INICIO,$A120)</f>
        <v>48052</v>
      </c>
      <c r="C120" s="177" t="n">
        <f aca="false">$A120*30</f>
        <v>1770</v>
      </c>
      <c r="D120" s="179" t="n">
        <f aca="false">(1+IPCA_CENARIO)^($A120/12)</f>
        <v>1.21268289416618</v>
      </c>
      <c r="F120" s="180" t="n">
        <f aca="false">M119</f>
        <v>256932.656089977</v>
      </c>
      <c r="G120" s="180" t="n">
        <f aca="false">IF($B$9=0,0,IF($A120&gt;IN_PRAZO,0,IF(APORTE_CORRIGIDO="Sim",IN_APORTE*$D120,IN_APORTE))+IF(AND($B$35=1,PGBL_REINVESTE="Sim",$A120&gt;=13,$A120&lt;=IN_PRAZO,MONTH($B120)=5),PGBL_BENEFICIO,0))</f>
        <v>0</v>
      </c>
      <c r="H120" s="180" t="n">
        <f aca="false">G120*$B$24</f>
        <v>0</v>
      </c>
      <c r="I120" s="180" t="n">
        <f aca="false">F120*$B$19</f>
        <v>2437.98077177023</v>
      </c>
      <c r="J120" s="180" t="n">
        <f aca="false">F120*$B$22</f>
        <v>42.8221093483296</v>
      </c>
      <c r="K120" s="180" t="n">
        <f aca="false">$B$23*MAX(0,I120-F120*$B$18)</f>
        <v>0</v>
      </c>
      <c r="L120" s="180" t="n">
        <f aca="false">IF(AND($B$27=1,OR(MONTH($B120)=5,MONTH($B120)=11)),MAX(0,$B$28*MAX(0,(F120+I120-J120-K120+G120-H120)+O119-N120)-O119),0)</f>
        <v>0</v>
      </c>
      <c r="M120" s="181" t="n">
        <f aca="false">F120+I120-J120-K120+G120-H120-L120</f>
        <v>259327.814752399</v>
      </c>
      <c r="N120" s="180" t="n">
        <f aca="false">N119+G120-H120</f>
        <v>150000</v>
      </c>
      <c r="O120" s="180" t="n">
        <f aca="false">O119+L120</f>
        <v>0</v>
      </c>
      <c r="P120" s="180" t="n">
        <f aca="false">M120+O120-N120</f>
        <v>109327.814752399</v>
      </c>
      <c r="Q120" s="180" t="n">
        <f aca="false">MAX(0,IFERROR(INDEX(TAB_IR,MATCH($C120,TAB_IR_DIAS,1),MATCH($B$8,TAB_IR_REGIMES,0)),0)*IF($B$26=2,M120,MAX(0,P120))-O120)</f>
        <v>16399.1722128599</v>
      </c>
      <c r="R120" s="181" t="n">
        <f aca="false">MAX(0,M120-Q120-M120*$B$25)</f>
        <v>242928.642539539</v>
      </c>
      <c r="S120" s="180" t="n">
        <f aca="false">R120/$D120</f>
        <v>200323.30274319</v>
      </c>
      <c r="U120" s="180" t="n">
        <f aca="false">AB119</f>
        <v>237994.100632002</v>
      </c>
      <c r="V120" s="180" t="n">
        <f aca="false">IF($C$9=0,0,IF($A120&gt;IN_PRAZO,0,IF(APORTE_CORRIGIDO="Sim",IN_APORTE*$D120,IN_APORTE))+IF(AND($C$35=1,PGBL_REINVESTE="Sim",$A120&gt;=13,$A120&lt;=IN_PRAZO,MONTH($B120)=5),PGBL_BENEFICIO,0))</f>
        <v>0</v>
      </c>
      <c r="W120" s="180" t="n">
        <f aca="false">V120*$C$24</f>
        <v>0</v>
      </c>
      <c r="X120" s="180" t="n">
        <f aca="false">U120*$C$19</f>
        <v>1941.37153259501</v>
      </c>
      <c r="Y120" s="180" t="n">
        <f aca="false">U120*$C$22</f>
        <v>39.665683438667</v>
      </c>
      <c r="Z120" s="180" t="n">
        <f aca="false">$C$23*MAX(0,X120-U120*$C$18)</f>
        <v>0</v>
      </c>
      <c r="AA120" s="180" t="n">
        <f aca="false">IF(AND($C$27=1,OR(MONTH($B120)=5,MONTH($B120)=11)),MAX(0,$C$28*MAX(0,(U120+X120-Y120-Z120+V120-W120)+AD119-AC120)-AD119),0)</f>
        <v>0</v>
      </c>
      <c r="AB120" s="181" t="n">
        <f aca="false">U120+X120-Y120-Z120+V120-W120-AA120</f>
        <v>239895.806481158</v>
      </c>
      <c r="AC120" s="180" t="n">
        <f aca="false">AC119+V120-W120</f>
        <v>150000</v>
      </c>
      <c r="AD120" s="180" t="n">
        <f aca="false">AD119+AA120</f>
        <v>0</v>
      </c>
      <c r="AE120" s="180" t="n">
        <f aca="false">AB120+AD120-AC120</f>
        <v>89895.8064811582</v>
      </c>
      <c r="AF120" s="180" t="n">
        <f aca="false">MAX(0,IFERROR(INDEX(TAB_IR,MATCH($C120,TAB_IR_DIAS,1),MATCH($C$8,TAB_IR_REGIMES,0)),0)*IF($C$26=2,AB120,MAX(0,AE120))-AD120)</f>
        <v>13484.3709721737</v>
      </c>
      <c r="AG120" s="181" t="n">
        <f aca="false">MAX(0,AB120-AF120-AB120*$C$25)</f>
        <v>226411.435508984</v>
      </c>
      <c r="AH120" s="180" t="n">
        <f aca="false">AG120/$D120</f>
        <v>186702.918461352</v>
      </c>
      <c r="AJ120" s="180" t="n">
        <f aca="false">AQ119</f>
        <v>224453.218864665</v>
      </c>
      <c r="AK120" s="180" t="n">
        <f aca="false">IF($D$9=0,0,IF($A120&gt;IN_PRAZO,0,IF(APORTE_CORRIGIDO="Sim",IN_APORTE*$D120,IN_APORTE))+IF(AND($D$35=1,PGBL_REINVESTE="Sim",$A120&gt;=13,$A120&lt;=IN_PRAZO,MONTH($B120)=5),PGBL_BENEFICIO,0))</f>
        <v>0</v>
      </c>
      <c r="AL120" s="180" t="n">
        <f aca="false">AK120*$D$24</f>
        <v>0</v>
      </c>
      <c r="AM120" s="180" t="n">
        <f aca="false">AJ120*$D$19</f>
        <v>2017.54198616993</v>
      </c>
      <c r="AN120" s="180" t="n">
        <f aca="false">AJ120*$D$22</f>
        <v>187.044349053887</v>
      </c>
      <c r="AO120" s="180" t="n">
        <f aca="false">$D$23*MAX(0,AM120-AJ120*$D$18)</f>
        <v>0</v>
      </c>
      <c r="AP120" s="180" t="n">
        <f aca="false">IF(AND($D$27=1,OR(MONTH($B120)=5,MONTH($B120)=11)),MAX(0,$D$28*MAX(0,(AJ120+AM120-AN120-AO120+AK120-AL120)+AS119-AR120)-AS119),0)</f>
        <v>0</v>
      </c>
      <c r="AQ120" s="181" t="n">
        <f aca="false">AJ120+AM120-AN120-AO120+AK120-AL120-AP120</f>
        <v>226283.716501781</v>
      </c>
      <c r="AR120" s="180" t="n">
        <f aca="false">AR119+AK120-AL120</f>
        <v>150000</v>
      </c>
      <c r="AS120" s="180" t="n">
        <f aca="false">AS119+AP120</f>
        <v>12818.3874423697</v>
      </c>
      <c r="AT120" s="180" t="n">
        <f aca="false">AQ120+AS120-AR120</f>
        <v>89102.1039441503</v>
      </c>
      <c r="AU120" s="180" t="n">
        <f aca="false">MAX(0,IFERROR(INDEX(TAB_IR,MATCH($C120,TAB_IR_DIAS,1),MATCH($D$8,TAB_IR_REGIMES,0)),0)*IF($D$26=2,AQ120,MAX(0,AT120))-AS120)</f>
        <v>546.92814925287</v>
      </c>
      <c r="AV120" s="181" t="n">
        <f aca="false">MAX(0,AQ120-AU120-AQ120*$D$25)</f>
        <v>225736.788352528</v>
      </c>
      <c r="AW120" s="180" t="n">
        <f aca="false">AV120/$D120</f>
        <v>186146.592351945</v>
      </c>
      <c r="AY120" s="180" t="n">
        <f aca="false">BF119</f>
        <v>245618.639972447</v>
      </c>
      <c r="AZ120" s="180" t="n">
        <f aca="false">IF($E$9=0,0,IF($A120&gt;IN_PRAZO,0,IF(APORTE_CORRIGIDO="Sim",IN_APORTE*$D120,IN_APORTE))+IF(AND($E$35=1,PGBL_REINVESTE="Sim",$A120&gt;=13,$A120&lt;=IN_PRAZO,MONTH($B120)=5),PGBL_BENEFICIO,0))</f>
        <v>0</v>
      </c>
      <c r="BA120" s="180" t="n">
        <f aca="false">AZ120*$E$24</f>
        <v>0</v>
      </c>
      <c r="BB120" s="180" t="n">
        <f aca="false">AY120*$E$19</f>
        <v>2404.29831995997</v>
      </c>
      <c r="BC120" s="180" t="n">
        <f aca="false">AY120*$E$22</f>
        <v>307.023299965559</v>
      </c>
      <c r="BD120" s="180" t="n">
        <f aca="false">$E$23*MAX(0,BB120-AY120*$E$18)</f>
        <v>0</v>
      </c>
      <c r="BE120" s="180" t="n">
        <f aca="false">IF(AND($E$27=1,OR(MONTH($B120)=5,MONTH($B120)=11)),MAX(0,$E$28*MAX(0,(AY120+BB120-BC120-BD120+AZ120-BA120)+BH119-BG120)-BH119),0)</f>
        <v>0</v>
      </c>
      <c r="BF120" s="181" t="n">
        <f aca="false">AY120+BB120-BC120-BD120+AZ120-BA120-BE120</f>
        <v>247715.914992441</v>
      </c>
      <c r="BG120" s="180" t="n">
        <f aca="false">BG119+AZ120-BA120</f>
        <v>150000</v>
      </c>
      <c r="BH120" s="180" t="n">
        <f aca="false">BH119+BE120</f>
        <v>0</v>
      </c>
      <c r="BI120" s="180" t="n">
        <f aca="false">BF120+BH120-BG120</f>
        <v>97715.9149924414</v>
      </c>
      <c r="BJ120" s="180" t="n">
        <f aca="false">MAX(0,IFERROR(INDEX(TAB_IR,MATCH($C120,TAB_IR_DIAS,1),MATCH($E$8,TAB_IR_REGIMES,0)),0)*IF($E$26=2,BF120,MAX(0,BI120))-BH120)</f>
        <v>24428.9787481104</v>
      </c>
      <c r="BK120" s="181" t="n">
        <f aca="false">MAX(0,BF120-BJ120-BF120*$E$25)</f>
        <v>223286.936244331</v>
      </c>
      <c r="BL120" s="180" t="n">
        <f aca="false">BK120/$D120</f>
        <v>184126.400494715</v>
      </c>
      <c r="BN120" s="180" t="n">
        <f aca="false">BU119</f>
        <v>245618.639972447</v>
      </c>
      <c r="BO120" s="180" t="n">
        <f aca="false">IF($F$9=0,0,IF($A120&gt;IN_PRAZO,0,IF(APORTE_CORRIGIDO="Sim",IN_APORTE*$D120,IN_APORTE))+IF(AND($F$35=1,PGBL_REINVESTE="Sim",$A120&gt;=13,$A120&lt;=IN_PRAZO,MONTH($B120)=5),PGBL_BENEFICIO,0))</f>
        <v>0</v>
      </c>
      <c r="BP120" s="180" t="n">
        <f aca="false">BO120*$F$24</f>
        <v>0</v>
      </c>
      <c r="BQ120" s="180" t="n">
        <f aca="false">BN120*$F$19</f>
        <v>2404.29831995997</v>
      </c>
      <c r="BR120" s="180" t="n">
        <f aca="false">BN120*$F$22</f>
        <v>307.023299965559</v>
      </c>
      <c r="BS120" s="180" t="n">
        <f aca="false">$F$23*MAX(0,BQ120-BN120*$F$18)</f>
        <v>0</v>
      </c>
      <c r="BT120" s="180" t="n">
        <f aca="false">IF(AND($F$27=1,OR(MONTH($B120)=5,MONTH($B120)=11)),MAX(0,$F$28*MAX(0,(BN120+BQ120-BR120-BS120+BO120-BP120)+BW119-BV120)-BW119),0)</f>
        <v>0</v>
      </c>
      <c r="BU120" s="181" t="n">
        <f aca="false">BN120+BQ120-BR120-BS120+BO120-BP120-BT120</f>
        <v>247715.914992441</v>
      </c>
      <c r="BV120" s="180" t="n">
        <f aca="false">BV119+BO120-BP120</f>
        <v>150000</v>
      </c>
      <c r="BW120" s="180" t="n">
        <f aca="false">BW119+BT120</f>
        <v>0</v>
      </c>
      <c r="BX120" s="180" t="n">
        <f aca="false">BU120+BW120-BV120</f>
        <v>97715.9149924414</v>
      </c>
      <c r="BY120" s="180" t="n">
        <f aca="false">MAX(0,IFERROR(INDEX(TAB_IR,MATCH($C120,TAB_IR_DIAS,1),MATCH($F$8,TAB_IR_REGIMES,0)),0)*IF($F$26=2,BU120,MAX(0,BX120))-BW120)</f>
        <v>61928.9787481104</v>
      </c>
      <c r="BZ120" s="181" t="n">
        <f aca="false">MAX(0,BU120-BY120-BU120*$F$25)</f>
        <v>185786.936244331</v>
      </c>
      <c r="CA120" s="180" t="n">
        <f aca="false">BZ120/$D120</f>
        <v>153203.229911209</v>
      </c>
      <c r="CC120" s="180" t="n">
        <f aca="false">CJ119</f>
        <v>215422.459466396</v>
      </c>
      <c r="CD120" s="180" t="n">
        <f aca="false">IF($G$9=0,0,IF($A120&gt;IN_PRAZO,0,IF(APORTE_CORRIGIDO="Sim",IN_APORTE*$D120,IN_APORTE))+IF(AND($G$35=1,PGBL_REINVESTE="Sim",$A120&gt;=13,$A120&lt;=IN_PRAZO,MONTH($B120)=5),PGBL_BENEFICIO,0))</f>
        <v>0</v>
      </c>
      <c r="CE120" s="180" t="n">
        <f aca="false">CD120*$G$24</f>
        <v>0</v>
      </c>
      <c r="CF120" s="180" t="n">
        <f aca="false">CC120*$G$19</f>
        <v>1757.24956702321</v>
      </c>
      <c r="CG120" s="180" t="n">
        <f aca="false">CC120*$G$22</f>
        <v>179.518716221997</v>
      </c>
      <c r="CH120" s="180" t="n">
        <f aca="false">$G$23*MAX(0,CF120-CC120*$G$18)</f>
        <v>0</v>
      </c>
      <c r="CI120" s="180" t="n">
        <f aca="false">IF(AND($G$27=1,OR(MONTH($B120)=5,MONTH($B120)=11)),MAX(0,$G$28*MAX(0,(CC120+CF120-CG120-CH120+CD120-CE120)+CL119-CK120)-CL119),0)</f>
        <v>0</v>
      </c>
      <c r="CJ120" s="181" t="n">
        <f aca="false">CC120+CF120-CG120-CH120+CD120-CE120-CI120</f>
        <v>217000.190317197</v>
      </c>
      <c r="CK120" s="180" t="n">
        <f aca="false">CK119+CD120-CE120</f>
        <v>150000</v>
      </c>
      <c r="CL120" s="180" t="n">
        <f aca="false">CL119+CI120</f>
        <v>11268.7411293347</v>
      </c>
      <c r="CM120" s="180" t="n">
        <f aca="false">CJ120+CL120-CK120</f>
        <v>78268.931446532</v>
      </c>
      <c r="CN120" s="180" t="n">
        <f aca="false">MAX(0,IFERROR(INDEX(TAB_IR,MATCH($C120,TAB_IR_DIAS,1),MATCH($G$8,TAB_IR_REGIMES,0)),0)*IF($G$26=2,CJ120,MAX(0,CM120))-CL120)</f>
        <v>471.598587645141</v>
      </c>
      <c r="CO120" s="181" t="n">
        <f aca="false">MAX(0,CJ120-CN120-CJ120*$G$25)</f>
        <v>216528.591729552</v>
      </c>
      <c r="CP120" s="180" t="n">
        <f aca="false">CO120/$D120</f>
        <v>178553.348753578</v>
      </c>
    </row>
    <row r="121" customFormat="false" ht="12" hidden="false" customHeight="true" outlineLevel="0" collapsed="false">
      <c r="A121" s="177" t="n">
        <v>60</v>
      </c>
      <c r="B121" s="178" t="n">
        <f aca="false">EDATE(DATA_INICIO,$A121)</f>
        <v>48083</v>
      </c>
      <c r="C121" s="177" t="n">
        <f aca="false">$A121*30</f>
        <v>1800</v>
      </c>
      <c r="D121" s="179" t="n">
        <f aca="false">(1+IPCA_CENARIO)^($A121/12)</f>
        <v>1.2166529024</v>
      </c>
      <c r="F121" s="180" t="n">
        <f aca="false">M120</f>
        <v>259327.814752399</v>
      </c>
      <c r="G121" s="180" t="n">
        <f aca="false">IF($B$9=0,0,IF($A121&gt;IN_PRAZO,0,IF(APORTE_CORRIGIDO="Sim",IN_APORTE*$D121,IN_APORTE))+IF(AND($B$35=1,PGBL_REINVESTE="Sim",$A121&gt;=13,$A121&lt;=IN_PRAZO,MONTH($B121)=5),PGBL_BENEFICIO,0))</f>
        <v>0</v>
      </c>
      <c r="H121" s="180" t="n">
        <f aca="false">G121*$B$24</f>
        <v>0</v>
      </c>
      <c r="I121" s="180" t="n">
        <f aca="false">F121*$B$19</f>
        <v>2460.70793636343</v>
      </c>
      <c r="J121" s="180" t="n">
        <f aca="false">F121*$B$22</f>
        <v>43.2213024587332</v>
      </c>
      <c r="K121" s="180" t="n">
        <f aca="false">$B$23*MAX(0,I121-F121*$B$18)</f>
        <v>0</v>
      </c>
      <c r="L121" s="180" t="n">
        <f aca="false">IF(AND($B$27=1,OR(MONTH($B121)=5,MONTH($B121)=11)),MAX(0,$B$28*MAX(0,(F121+I121-J121-K121+G121-H121)+O120-N121)-O120),0)</f>
        <v>0</v>
      </c>
      <c r="M121" s="181" t="n">
        <f aca="false">F121+I121-J121-K121+G121-H121-L121</f>
        <v>261745.301386304</v>
      </c>
      <c r="N121" s="180" t="n">
        <f aca="false">N120+G121-H121</f>
        <v>150000</v>
      </c>
      <c r="O121" s="180" t="n">
        <f aca="false">O120+L121</f>
        <v>0</v>
      </c>
      <c r="P121" s="180" t="n">
        <f aca="false">M121+O121-N121</f>
        <v>111745.301386304</v>
      </c>
      <c r="Q121" s="180" t="n">
        <f aca="false">MAX(0,IFERROR(INDEX(TAB_IR,MATCH($C121,TAB_IR_DIAS,1),MATCH($B$8,TAB_IR_REGIMES,0)),0)*IF($B$26=2,M121,MAX(0,P121))-O121)</f>
        <v>16761.7952079456</v>
      </c>
      <c r="R121" s="181" t="n">
        <f aca="false">MAX(0,M121-Q121-M121*$B$25)</f>
        <v>244983.506178358</v>
      </c>
      <c r="S121" s="180" t="n">
        <f aca="false">R121/$D121</f>
        <v>201358.58443694</v>
      </c>
      <c r="U121" s="180" t="n">
        <f aca="false">AB120</f>
        <v>239895.806481158</v>
      </c>
      <c r="V121" s="180" t="n">
        <f aca="false">IF($C$9=0,0,IF($A121&gt;IN_PRAZO,0,IF(APORTE_CORRIGIDO="Sim",IN_APORTE*$D121,IN_APORTE))+IF(AND($C$35=1,PGBL_REINVESTE="Sim",$A121&gt;=13,$A121&lt;=IN_PRAZO,MONTH($B121)=5),PGBL_BENEFICIO,0))</f>
        <v>0</v>
      </c>
      <c r="W121" s="180" t="n">
        <f aca="false">V121*$C$24</f>
        <v>0</v>
      </c>
      <c r="X121" s="180" t="n">
        <f aca="false">U121*$C$19</f>
        <v>1956.88417592994</v>
      </c>
      <c r="Y121" s="180" t="n">
        <f aca="false">U121*$C$22</f>
        <v>39.9826344135264</v>
      </c>
      <c r="Z121" s="180" t="n">
        <f aca="false">$C$23*MAX(0,X121-U121*$C$18)</f>
        <v>0</v>
      </c>
      <c r="AA121" s="180" t="n">
        <f aca="false">IF(AND($C$27=1,OR(MONTH($B121)=5,MONTH($B121)=11)),MAX(0,$C$28*MAX(0,(U121+X121-Y121-Z121+V121-W121)+AD120-AC121)-AD120),0)</f>
        <v>0</v>
      </c>
      <c r="AB121" s="181" t="n">
        <f aca="false">U121+X121-Y121-Z121+V121-W121-AA121</f>
        <v>241812.708022675</v>
      </c>
      <c r="AC121" s="180" t="n">
        <f aca="false">AC120+V121-W121</f>
        <v>150000</v>
      </c>
      <c r="AD121" s="180" t="n">
        <f aca="false">AD120+AA121</f>
        <v>0</v>
      </c>
      <c r="AE121" s="180" t="n">
        <f aca="false">AB121+AD121-AC121</f>
        <v>91812.7080226746</v>
      </c>
      <c r="AF121" s="180" t="n">
        <f aca="false">MAX(0,IFERROR(INDEX(TAB_IR,MATCH($C121,TAB_IR_DIAS,1),MATCH($C$8,TAB_IR_REGIMES,0)),0)*IF($C$26=2,AB121,MAX(0,AE121))-AD121)</f>
        <v>13771.9062034012</v>
      </c>
      <c r="AG121" s="181" t="n">
        <f aca="false">MAX(0,AB121-AF121-AB121*$C$25)</f>
        <v>228040.801819273</v>
      </c>
      <c r="AH121" s="180" t="n">
        <f aca="false">AG121/$D121</f>
        <v>187432.916462398</v>
      </c>
      <c r="AJ121" s="180" t="n">
        <f aca="false">AQ120</f>
        <v>226283.716501781</v>
      </c>
      <c r="AK121" s="180" t="n">
        <f aca="false">IF($D$9=0,0,IF($A121&gt;IN_PRAZO,0,IF(APORTE_CORRIGIDO="Sim",IN_APORTE*$D121,IN_APORTE))+IF(AND($D$35=1,PGBL_REINVESTE="Sim",$A121&gt;=13,$A121&lt;=IN_PRAZO,MONTH($B121)=5),PGBL_BENEFICIO,0))</f>
        <v>0</v>
      </c>
      <c r="AL121" s="180" t="n">
        <f aca="false">AK121*$D$24</f>
        <v>0</v>
      </c>
      <c r="AM121" s="180" t="n">
        <f aca="false">AJ121*$D$19</f>
        <v>2033.99577487988</v>
      </c>
      <c r="AN121" s="180" t="n">
        <f aca="false">AJ121*$D$22</f>
        <v>188.569763751484</v>
      </c>
      <c r="AO121" s="180" t="n">
        <f aca="false">$D$23*MAX(0,AM121-AJ121*$D$18)</f>
        <v>0</v>
      </c>
      <c r="AP121" s="180" t="n">
        <f aca="false">IF(AND($D$27=1,OR(MONTH($B121)=5,MONTH($B121)=11)),MAX(0,$D$28*MAX(0,(AJ121+AM121-AN121-AO121+AK121-AL121)+AS120-AR121)-AS120),0)</f>
        <v>0</v>
      </c>
      <c r="AQ121" s="181" t="n">
        <f aca="false">AJ121+AM121-AN121-AO121+AK121-AL121-AP121</f>
        <v>228129.142512909</v>
      </c>
      <c r="AR121" s="180" t="n">
        <f aca="false">AR120+AK121-AL121</f>
        <v>150000</v>
      </c>
      <c r="AS121" s="180" t="n">
        <f aca="false">AS120+AP121</f>
        <v>12818.3874423697</v>
      </c>
      <c r="AT121" s="180" t="n">
        <f aca="false">AQ121+AS121-AR121</f>
        <v>90947.5299552787</v>
      </c>
      <c r="AU121" s="180" t="n">
        <f aca="false">MAX(0,IFERROR(INDEX(TAB_IR,MATCH($C121,TAB_IR_DIAS,1),MATCH($D$8,TAB_IR_REGIMES,0)),0)*IF($D$26=2,AQ121,MAX(0,AT121))-AS121)</f>
        <v>823.742050922132</v>
      </c>
      <c r="AV121" s="181" t="n">
        <f aca="false">MAX(0,AQ121-AU121-AQ121*$D$25)</f>
        <v>227305.400461987</v>
      </c>
      <c r="AW121" s="180" t="n">
        <f aca="false">AV121/$D121</f>
        <v>186828.470152497</v>
      </c>
      <c r="AY121" s="180" t="n">
        <f aca="false">BF120</f>
        <v>247715.914992441</v>
      </c>
      <c r="AZ121" s="180" t="n">
        <f aca="false">IF($E$9=0,0,IF($A121&gt;IN_PRAZO,0,IF(APORTE_CORRIGIDO="Sim",IN_APORTE*$D121,IN_APORTE))+IF(AND($E$35=1,PGBL_REINVESTE="Sim",$A121&gt;=13,$A121&lt;=IN_PRAZO,MONTH($B121)=5),PGBL_BENEFICIO,0))</f>
        <v>0</v>
      </c>
      <c r="BA121" s="180" t="n">
        <f aca="false">AZ121*$E$24</f>
        <v>0</v>
      </c>
      <c r="BB121" s="180" t="n">
        <f aca="false">AY121*$E$19</f>
        <v>2424.82801106009</v>
      </c>
      <c r="BC121" s="180" t="n">
        <f aca="false">AY121*$E$22</f>
        <v>309.644893740552</v>
      </c>
      <c r="BD121" s="180" t="n">
        <f aca="false">$E$23*MAX(0,BB121-AY121*$E$18)</f>
        <v>0</v>
      </c>
      <c r="BE121" s="180" t="n">
        <f aca="false">IF(AND($E$27=1,OR(MONTH($B121)=5,MONTH($B121)=11)),MAX(0,$E$28*MAX(0,(AY121+BB121-BC121-BD121+AZ121-BA121)+BH120-BG121)-BH120),0)</f>
        <v>0</v>
      </c>
      <c r="BF121" s="181" t="n">
        <f aca="false">AY121+BB121-BC121-BD121+AZ121-BA121-BE121</f>
        <v>249831.098109761</v>
      </c>
      <c r="BG121" s="180" t="n">
        <f aca="false">BG120+AZ121-BA121</f>
        <v>150000</v>
      </c>
      <c r="BH121" s="180" t="n">
        <f aca="false">BH120+BE121</f>
        <v>0</v>
      </c>
      <c r="BI121" s="180" t="n">
        <f aca="false">BF121+BH121-BG121</f>
        <v>99831.098109761</v>
      </c>
      <c r="BJ121" s="180" t="n">
        <f aca="false">MAX(0,IFERROR(INDEX(TAB_IR,MATCH($C121,TAB_IR_DIAS,1),MATCH($E$8,TAB_IR_REGIMES,0)),0)*IF($E$26=2,BF121,MAX(0,BI121))-BH121)</f>
        <v>24957.7745274402</v>
      </c>
      <c r="BK121" s="181" t="n">
        <f aca="false">MAX(0,BF121-BJ121-BF121*$E$25)</f>
        <v>224873.323582321</v>
      </c>
      <c r="BL121" s="180" t="n">
        <f aca="false">BK121/$D121</f>
        <v>184829.480239376</v>
      </c>
      <c r="BN121" s="180" t="n">
        <f aca="false">BU120</f>
        <v>247715.914992441</v>
      </c>
      <c r="BO121" s="180" t="n">
        <f aca="false">IF($F$9=0,0,IF($A121&gt;IN_PRAZO,0,IF(APORTE_CORRIGIDO="Sim",IN_APORTE*$D121,IN_APORTE))+IF(AND($F$35=1,PGBL_REINVESTE="Sim",$A121&gt;=13,$A121&lt;=IN_PRAZO,MONTH($B121)=5),PGBL_BENEFICIO,0))</f>
        <v>0</v>
      </c>
      <c r="BP121" s="180" t="n">
        <f aca="false">BO121*$F$24</f>
        <v>0</v>
      </c>
      <c r="BQ121" s="180" t="n">
        <f aca="false">BN121*$F$19</f>
        <v>2424.82801106009</v>
      </c>
      <c r="BR121" s="180" t="n">
        <f aca="false">BN121*$F$22</f>
        <v>309.644893740552</v>
      </c>
      <c r="BS121" s="180" t="n">
        <f aca="false">$F$23*MAX(0,BQ121-BN121*$F$18)</f>
        <v>0</v>
      </c>
      <c r="BT121" s="180" t="n">
        <f aca="false">IF(AND($F$27=1,OR(MONTH($B121)=5,MONTH($B121)=11)),MAX(0,$F$28*MAX(0,(BN121+BQ121-BR121-BS121+BO121-BP121)+BW120-BV121)-BW120),0)</f>
        <v>0</v>
      </c>
      <c r="BU121" s="181" t="n">
        <f aca="false">BN121+BQ121-BR121-BS121+BO121-BP121-BT121</f>
        <v>249831.098109761</v>
      </c>
      <c r="BV121" s="180" t="n">
        <f aca="false">BV120+BO121-BP121</f>
        <v>150000</v>
      </c>
      <c r="BW121" s="180" t="n">
        <f aca="false">BW120+BT121</f>
        <v>0</v>
      </c>
      <c r="BX121" s="180" t="n">
        <f aca="false">BU121+BW121-BV121</f>
        <v>99831.098109761</v>
      </c>
      <c r="BY121" s="180" t="n">
        <f aca="false">MAX(0,IFERROR(INDEX(TAB_IR,MATCH($C121,TAB_IR_DIAS,1),MATCH($F$8,TAB_IR_REGIMES,0)),0)*IF($F$26=2,BU121,MAX(0,BX121))-BW121)</f>
        <v>62457.7745274402</v>
      </c>
      <c r="BZ121" s="181" t="n">
        <f aca="false">MAX(0,BU121-BY121-BU121*$F$25)</f>
        <v>187373.323582321</v>
      </c>
      <c r="CA121" s="180" t="n">
        <f aca="false">BZ121/$D121</f>
        <v>154007.213735901</v>
      </c>
      <c r="CC121" s="180" t="n">
        <f aca="false">CJ120</f>
        <v>217000.190317197</v>
      </c>
      <c r="CD121" s="180" t="n">
        <f aca="false">IF($G$9=0,0,IF($A121&gt;IN_PRAZO,0,IF(APORTE_CORRIGIDO="Sim",IN_APORTE*$D121,IN_APORTE))+IF(AND($G$35=1,PGBL_REINVESTE="Sim",$A121&gt;=13,$A121&lt;=IN_PRAZO,MONTH($B121)=5),PGBL_BENEFICIO,0))</f>
        <v>0</v>
      </c>
      <c r="CE121" s="180" t="n">
        <f aca="false">CD121*$G$24</f>
        <v>0</v>
      </c>
      <c r="CF121" s="180" t="n">
        <f aca="false">CC121*$G$19</f>
        <v>1770.11947325916</v>
      </c>
      <c r="CG121" s="180" t="n">
        <f aca="false">CC121*$G$22</f>
        <v>180.833491930998</v>
      </c>
      <c r="CH121" s="180" t="n">
        <f aca="false">$G$23*MAX(0,CF121-CC121*$G$18)</f>
        <v>0</v>
      </c>
      <c r="CI121" s="180" t="n">
        <f aca="false">IF(AND($G$27=1,OR(MONTH($B121)=5,MONTH($B121)=11)),MAX(0,$G$28*MAX(0,(CC121+CF121-CG121-CH121+CD121-CE121)+CL120-CK121)-CL120),0)</f>
        <v>0</v>
      </c>
      <c r="CJ121" s="181" t="n">
        <f aca="false">CC121+CF121-CG121-CH121+CD121-CE121-CI121</f>
        <v>218589.476298525</v>
      </c>
      <c r="CK121" s="180" t="n">
        <f aca="false">CK120+CD121-CE121</f>
        <v>150000</v>
      </c>
      <c r="CL121" s="180" t="n">
        <f aca="false">CL120+CI121</f>
        <v>11268.7411293347</v>
      </c>
      <c r="CM121" s="180" t="n">
        <f aca="false">CJ121+CL121-CK121</f>
        <v>79858.2174278601</v>
      </c>
      <c r="CN121" s="180" t="n">
        <f aca="false">MAX(0,IFERROR(INDEX(TAB_IR,MATCH($C121,TAB_IR_DIAS,1),MATCH($G$8,TAB_IR_REGIMES,0)),0)*IF($G$26=2,CJ121,MAX(0,CM121))-CL121)</f>
        <v>709.991484844368</v>
      </c>
      <c r="CO121" s="181" t="n">
        <f aca="false">MAX(0,CJ121-CN121-CJ121*$G$25)</f>
        <v>217879.484813681</v>
      </c>
      <c r="CP121" s="180" t="n">
        <f aca="false">CO121/$D121</f>
        <v>179081.054575127</v>
      </c>
    </row>
    <row r="122" customFormat="false" ht="12" hidden="false" customHeight="true" outlineLevel="0" collapsed="false">
      <c r="A122" s="177" t="n">
        <v>61</v>
      </c>
      <c r="B122" s="178" t="n">
        <f aca="false">EDATE(DATA_INICIO,$A122)</f>
        <v>48114</v>
      </c>
      <c r="C122" s="177" t="n">
        <f aca="false">$A122*30</f>
        <v>1830</v>
      </c>
      <c r="D122" s="179" t="n">
        <f aca="false">(1+IPCA_CENARIO)^($A122/12)</f>
        <v>1.22063590740771</v>
      </c>
      <c r="F122" s="180" t="n">
        <f aca="false">M121</f>
        <v>261745.301386304</v>
      </c>
      <c r="G122" s="180" t="n">
        <f aca="false">IF($B$9=0,0,IF($A122&gt;IN_PRAZO,0,IF(APORTE_CORRIGIDO="Sim",IN_APORTE*$D122,IN_APORTE))+IF(AND($B$35=1,PGBL_REINVESTE="Sim",$A122&gt;=13,$A122&lt;=IN_PRAZO,MONTH($B122)=5),PGBL_BENEFICIO,0))</f>
        <v>0</v>
      </c>
      <c r="H122" s="180" t="n">
        <f aca="false">G122*$B$24</f>
        <v>0</v>
      </c>
      <c r="I122" s="180" t="n">
        <f aca="false">F122*$B$19</f>
        <v>2483.64696645467</v>
      </c>
      <c r="J122" s="180" t="n">
        <f aca="false">F122*$B$22</f>
        <v>43.6242168977173</v>
      </c>
      <c r="K122" s="180" t="n">
        <f aca="false">$B$23*MAX(0,I122-F122*$B$18)</f>
        <v>0</v>
      </c>
      <c r="L122" s="180" t="n">
        <f aca="false">IF(AND($B$27=1,OR(MONTH($B122)=5,MONTH($B122)=11)),MAX(0,$B$28*MAX(0,(F122+I122-J122-K122+G122-H122)+O121-N122)-O121),0)</f>
        <v>0</v>
      </c>
      <c r="M122" s="181" t="n">
        <f aca="false">F122+I122-J122-K122+G122-H122-L122</f>
        <v>264185.324135861</v>
      </c>
      <c r="N122" s="180" t="n">
        <f aca="false">N121+G122-H122</f>
        <v>150000</v>
      </c>
      <c r="O122" s="180" t="n">
        <f aca="false">O121+L122</f>
        <v>0</v>
      </c>
      <c r="P122" s="180" t="n">
        <f aca="false">M122+O122-N122</f>
        <v>114185.324135861</v>
      </c>
      <c r="Q122" s="180" t="n">
        <f aca="false">MAX(0,IFERROR(INDEX(TAB_IR,MATCH($C122,TAB_IR_DIAS,1),MATCH($B$8,TAB_IR_REGIMES,0)),0)*IF($B$26=2,M122,MAX(0,P122))-O122)</f>
        <v>17127.7986203791</v>
      </c>
      <c r="R122" s="181" t="n">
        <f aca="false">MAX(0,M122-Q122-M122*$B$25)</f>
        <v>247057.525515482</v>
      </c>
      <c r="S122" s="180" t="n">
        <f aca="false">R122/$D122</f>
        <v>202400.670024661</v>
      </c>
      <c r="U122" s="180" t="n">
        <f aca="false">AB121</f>
        <v>241812.708022675</v>
      </c>
      <c r="V122" s="180" t="n">
        <f aca="false">IF($C$9=0,0,IF($A122&gt;IN_PRAZO,0,IF(APORTE_CORRIGIDO="Sim",IN_APORTE*$D122,IN_APORTE))+IF(AND($C$35=1,PGBL_REINVESTE="Sim",$A122&gt;=13,$A122&lt;=IN_PRAZO,MONTH($B122)=5),PGBL_BENEFICIO,0))</f>
        <v>0</v>
      </c>
      <c r="W122" s="180" t="n">
        <f aca="false">V122*$C$24</f>
        <v>0</v>
      </c>
      <c r="X122" s="180" t="n">
        <f aca="false">U122*$C$19</f>
        <v>1972.52077395319</v>
      </c>
      <c r="Y122" s="180" t="n">
        <f aca="false">U122*$C$22</f>
        <v>40.3021180037791</v>
      </c>
      <c r="Z122" s="180" t="n">
        <f aca="false">$C$23*MAX(0,X122-U122*$C$18)</f>
        <v>0</v>
      </c>
      <c r="AA122" s="180" t="n">
        <f aca="false">IF(AND($C$27=1,OR(MONTH($B122)=5,MONTH($B122)=11)),MAX(0,$C$28*MAX(0,(U122+X122-Y122-Z122+V122-W122)+AD121-AC122)-AD121),0)</f>
        <v>0</v>
      </c>
      <c r="AB122" s="181" t="n">
        <f aca="false">U122+X122-Y122-Z122+V122-W122-AA122</f>
        <v>243744.926678624</v>
      </c>
      <c r="AC122" s="180" t="n">
        <f aca="false">AC121+V122-W122</f>
        <v>150000</v>
      </c>
      <c r="AD122" s="180" t="n">
        <f aca="false">AD121+AA122</f>
        <v>0</v>
      </c>
      <c r="AE122" s="180" t="n">
        <f aca="false">AB122+AD122-AC122</f>
        <v>93744.926678624</v>
      </c>
      <c r="AF122" s="180" t="n">
        <f aca="false">MAX(0,IFERROR(INDEX(TAB_IR,MATCH($C122,TAB_IR_DIAS,1),MATCH($C$8,TAB_IR_REGIMES,0)),0)*IF($C$26=2,AB122,MAX(0,AE122))-AD122)</f>
        <v>14061.7390017936</v>
      </c>
      <c r="AG122" s="181" t="n">
        <f aca="false">MAX(0,AB122-AF122-AB122*$C$25)</f>
        <v>229683.18767683</v>
      </c>
      <c r="AH122" s="180" t="n">
        <f aca="false">AG122/$D122</f>
        <v>188166.828685724</v>
      </c>
      <c r="AJ122" s="180" t="n">
        <f aca="false">AQ121</f>
        <v>228129.142512909</v>
      </c>
      <c r="AK122" s="180" t="n">
        <f aca="false">IF($D$9=0,0,IF($A122&gt;IN_PRAZO,0,IF(APORTE_CORRIGIDO="Sim",IN_APORTE*$D122,IN_APORTE))+IF(AND($D$35=1,PGBL_REINVESTE="Sim",$A122&gt;=13,$A122&lt;=IN_PRAZO,MONTH($B122)=5),PGBL_BENEFICIO,0))</f>
        <v>0</v>
      </c>
      <c r="AL122" s="180" t="n">
        <f aca="false">AK122*$D$24</f>
        <v>0</v>
      </c>
      <c r="AM122" s="180" t="n">
        <f aca="false">AJ122*$D$19</f>
        <v>2050.58375022126</v>
      </c>
      <c r="AN122" s="180" t="n">
        <f aca="false">AJ122*$D$22</f>
        <v>190.107618760758</v>
      </c>
      <c r="AO122" s="180" t="n">
        <f aca="false">$D$23*MAX(0,AM122-AJ122*$D$18)</f>
        <v>0</v>
      </c>
      <c r="AP122" s="180" t="n">
        <f aca="false">IF(AND($D$27=1,OR(MONTH($B122)=5,MONTH($B122)=11)),MAX(0,$D$28*MAX(0,(AJ122+AM122-AN122-AO122+AK122-AL122)+AS121-AR122)-AS121),0)</f>
        <v>0</v>
      </c>
      <c r="AQ122" s="181" t="n">
        <f aca="false">AJ122+AM122-AN122-AO122+AK122-AL122-AP122</f>
        <v>229989.61864437</v>
      </c>
      <c r="AR122" s="180" t="n">
        <f aca="false">AR121+AK122-AL122</f>
        <v>150000</v>
      </c>
      <c r="AS122" s="180" t="n">
        <f aca="false">AS121+AP122</f>
        <v>12818.3874423697</v>
      </c>
      <c r="AT122" s="180" t="n">
        <f aca="false">AQ122+AS122-AR122</f>
        <v>92808.0060867392</v>
      </c>
      <c r="AU122" s="180" t="n">
        <f aca="false">MAX(0,IFERROR(INDEX(TAB_IR,MATCH($C122,TAB_IR_DIAS,1),MATCH($D$8,TAB_IR_REGIMES,0)),0)*IF($D$26=2,AQ122,MAX(0,AT122))-AS122)</f>
        <v>1102.81347064121</v>
      </c>
      <c r="AV122" s="181" t="n">
        <f aca="false">MAX(0,AQ122-AU122-AQ122*$D$25)</f>
        <v>228886.805173728</v>
      </c>
      <c r="AW122" s="180" t="n">
        <f aca="false">AV122/$D122</f>
        <v>187514.396213216</v>
      </c>
      <c r="AY122" s="180" t="n">
        <f aca="false">BF121</f>
        <v>249831.098109761</v>
      </c>
      <c r="AZ122" s="180" t="n">
        <f aca="false">IF($E$9=0,0,IF($A122&gt;IN_PRAZO,0,IF(APORTE_CORRIGIDO="Sim",IN_APORTE*$D122,IN_APORTE))+IF(AND($E$35=1,PGBL_REINVESTE="Sim",$A122&gt;=13,$A122&lt;=IN_PRAZO,MONTH($B122)=5),PGBL_BENEFICIO,0))</f>
        <v>0</v>
      </c>
      <c r="BA122" s="180" t="n">
        <f aca="false">AZ122*$E$24</f>
        <v>0</v>
      </c>
      <c r="BB122" s="180" t="n">
        <f aca="false">AY122*$E$19</f>
        <v>2445.53299996464</v>
      </c>
      <c r="BC122" s="180" t="n">
        <f aca="false">AY122*$E$22</f>
        <v>312.288872637201</v>
      </c>
      <c r="BD122" s="180" t="n">
        <f aca="false">$E$23*MAX(0,BB122-AY122*$E$18)</f>
        <v>0</v>
      </c>
      <c r="BE122" s="180" t="n">
        <f aca="false">IF(AND($E$27=1,OR(MONTH($B122)=5,MONTH($B122)=11)),MAX(0,$E$28*MAX(0,(AY122+BB122-BC122-BD122+AZ122-BA122)+BH121-BG122)-BH121),0)</f>
        <v>0</v>
      </c>
      <c r="BF122" s="181" t="n">
        <f aca="false">AY122+BB122-BC122-BD122+AZ122-BA122-BE122</f>
        <v>251964.342237088</v>
      </c>
      <c r="BG122" s="180" t="n">
        <f aca="false">BG121+AZ122-BA122</f>
        <v>150000</v>
      </c>
      <c r="BH122" s="180" t="n">
        <f aca="false">BH121+BE122</f>
        <v>0</v>
      </c>
      <c r="BI122" s="180" t="n">
        <f aca="false">BF122+BH122-BG122</f>
        <v>101964.342237088</v>
      </c>
      <c r="BJ122" s="180" t="n">
        <f aca="false">MAX(0,IFERROR(INDEX(TAB_IR,MATCH($C122,TAB_IR_DIAS,1),MATCH($E$8,TAB_IR_REGIMES,0)),0)*IF($E$26=2,BF122,MAX(0,BI122))-BH122)</f>
        <v>25491.0855592721</v>
      </c>
      <c r="BK122" s="181" t="n">
        <f aca="false">MAX(0,BF122-BJ122-BF122*$E$25)</f>
        <v>226473.256677816</v>
      </c>
      <c r="BL122" s="180" t="n">
        <f aca="false">BK122/$D122</f>
        <v>185537.1084067</v>
      </c>
      <c r="BN122" s="180" t="n">
        <f aca="false">BU121</f>
        <v>249831.098109761</v>
      </c>
      <c r="BO122" s="180" t="n">
        <f aca="false">IF($F$9=0,0,IF($A122&gt;IN_PRAZO,0,IF(APORTE_CORRIGIDO="Sim",IN_APORTE*$D122,IN_APORTE))+IF(AND($F$35=1,PGBL_REINVESTE="Sim",$A122&gt;=13,$A122&lt;=IN_PRAZO,MONTH($B122)=5),PGBL_BENEFICIO,0))</f>
        <v>0</v>
      </c>
      <c r="BP122" s="180" t="n">
        <f aca="false">BO122*$F$24</f>
        <v>0</v>
      </c>
      <c r="BQ122" s="180" t="n">
        <f aca="false">BN122*$F$19</f>
        <v>2445.53299996464</v>
      </c>
      <c r="BR122" s="180" t="n">
        <f aca="false">BN122*$F$22</f>
        <v>312.288872637201</v>
      </c>
      <c r="BS122" s="180" t="n">
        <f aca="false">$F$23*MAX(0,BQ122-BN122*$F$18)</f>
        <v>0</v>
      </c>
      <c r="BT122" s="180" t="n">
        <f aca="false">IF(AND($F$27=1,OR(MONTH($B122)=5,MONTH($B122)=11)),MAX(0,$F$28*MAX(0,(BN122+BQ122-BR122-BS122+BO122-BP122)+BW121-BV122)-BW121),0)</f>
        <v>0</v>
      </c>
      <c r="BU122" s="181" t="n">
        <f aca="false">BN122+BQ122-BR122-BS122+BO122-BP122-BT122</f>
        <v>251964.342237088</v>
      </c>
      <c r="BV122" s="180" t="n">
        <f aca="false">BV121+BO122-BP122</f>
        <v>150000</v>
      </c>
      <c r="BW122" s="180" t="n">
        <f aca="false">BW121+BT122</f>
        <v>0</v>
      </c>
      <c r="BX122" s="180" t="n">
        <f aca="false">BU122+BW122-BV122</f>
        <v>101964.342237088</v>
      </c>
      <c r="BY122" s="180" t="n">
        <f aca="false">MAX(0,IFERROR(INDEX(TAB_IR,MATCH($C122,TAB_IR_DIAS,1),MATCH($F$8,TAB_IR_REGIMES,0)),0)*IF($F$26=2,BU122,MAX(0,BX122))-BW122)</f>
        <v>62991.0855592721</v>
      </c>
      <c r="BZ122" s="181" t="n">
        <f aca="false">MAX(0,BU122-BY122-BU122*$F$25)</f>
        <v>188973.256677816</v>
      </c>
      <c r="CA122" s="180" t="n">
        <f aca="false">BZ122/$D122</f>
        <v>154815.416727452</v>
      </c>
      <c r="CC122" s="180" t="n">
        <f aca="false">CJ121</f>
        <v>218589.476298525</v>
      </c>
      <c r="CD122" s="180" t="n">
        <f aca="false">IF($G$9=0,0,IF($A122&gt;IN_PRAZO,0,IF(APORTE_CORRIGIDO="Sim",IN_APORTE*$D122,IN_APORTE))+IF(AND($G$35=1,PGBL_REINVESTE="Sim",$A122&gt;=13,$A122&lt;=IN_PRAZO,MONTH($B122)=5),PGBL_BENEFICIO,0))</f>
        <v>0</v>
      </c>
      <c r="CE122" s="180" t="n">
        <f aca="false">CD122*$G$24</f>
        <v>0</v>
      </c>
      <c r="CF122" s="180" t="n">
        <f aca="false">CC122*$G$19</f>
        <v>1783.08363729982</v>
      </c>
      <c r="CG122" s="180" t="n">
        <f aca="false">CC122*$G$22</f>
        <v>182.157896915438</v>
      </c>
      <c r="CH122" s="180" t="n">
        <f aca="false">$G$23*MAX(0,CF122-CC122*$G$18)</f>
        <v>0</v>
      </c>
      <c r="CI122" s="180" t="n">
        <f aca="false">IF(AND($G$27=1,OR(MONTH($B122)=5,MONTH($B122)=11)),MAX(0,$G$28*MAX(0,(CC122+CF122-CG122-CH122+CD122-CE122)+CL121-CK122)-CL121),0)</f>
        <v>0</v>
      </c>
      <c r="CJ122" s="181" t="n">
        <f aca="false">CC122+CF122-CG122-CH122+CD122-CE122-CI122</f>
        <v>220190.40203891</v>
      </c>
      <c r="CK122" s="180" t="n">
        <f aca="false">CK121+CD122-CE122</f>
        <v>150000</v>
      </c>
      <c r="CL122" s="180" t="n">
        <f aca="false">CL121+CI122</f>
        <v>11268.7411293347</v>
      </c>
      <c r="CM122" s="180" t="n">
        <f aca="false">CJ122+CL122-CK122</f>
        <v>81459.1431682445</v>
      </c>
      <c r="CN122" s="180" t="n">
        <f aca="false">MAX(0,IFERROR(INDEX(TAB_IR,MATCH($C122,TAB_IR_DIAS,1),MATCH($G$8,TAB_IR_REGIMES,0)),0)*IF($G$26=2,CJ122,MAX(0,CM122))-CL122)</f>
        <v>950.130345902024</v>
      </c>
      <c r="CO122" s="181" t="n">
        <f aca="false">MAX(0,CJ122-CN122-CJ122*$G$25)</f>
        <v>219240.271693008</v>
      </c>
      <c r="CP122" s="180" t="n">
        <f aca="false">CO122/$D122</f>
        <v>179611.520816729</v>
      </c>
    </row>
    <row r="123" customFormat="false" ht="12" hidden="false" customHeight="true" outlineLevel="0" collapsed="false">
      <c r="A123" s="177" t="n">
        <v>62</v>
      </c>
      <c r="B123" s="178" t="n">
        <f aca="false">EDATE(DATA_INICIO,$A123)</f>
        <v>48144</v>
      </c>
      <c r="C123" s="177" t="n">
        <f aca="false">$A123*30</f>
        <v>1860</v>
      </c>
      <c r="D123" s="179" t="n">
        <f aca="false">(1+IPCA_CENARIO)^($A123/12)</f>
        <v>1.22463195173738</v>
      </c>
      <c r="F123" s="180" t="n">
        <f aca="false">M122</f>
        <v>264185.324135861</v>
      </c>
      <c r="G123" s="180" t="n">
        <f aca="false">IF($B$9=0,0,IF($A123&gt;IN_PRAZO,0,IF(APORTE_CORRIGIDO="Sim",IN_APORTE*$D123,IN_APORTE))+IF(AND($B$35=1,PGBL_REINVESTE="Sim",$A123&gt;=13,$A123&lt;=IN_PRAZO,MONTH($B123)=5),PGBL_BENEFICIO,0))</f>
        <v>0</v>
      </c>
      <c r="H123" s="180" t="n">
        <f aca="false">G123*$B$24</f>
        <v>0</v>
      </c>
      <c r="I123" s="180" t="n">
        <f aca="false">F123*$B$19</f>
        <v>2506.79983708089</v>
      </c>
      <c r="J123" s="180" t="n">
        <f aca="false">F123*$B$22</f>
        <v>44.0308873559768</v>
      </c>
      <c r="K123" s="180" t="n">
        <f aca="false">$B$23*MAX(0,I123-F123*$B$18)</f>
        <v>0</v>
      </c>
      <c r="L123" s="180" t="n">
        <f aca="false">IF(AND($B$27=1,OR(MONTH($B123)=5,MONTH($B123)=11)),MAX(0,$B$28*MAX(0,(F123+I123-J123-K123+G123-H123)+O122-N123)-O122),0)</f>
        <v>0</v>
      </c>
      <c r="M123" s="181" t="n">
        <f aca="false">F123+I123-J123-K123+G123-H123-L123</f>
        <v>266648.093085586</v>
      </c>
      <c r="N123" s="180" t="n">
        <f aca="false">N122+G123-H123</f>
        <v>150000</v>
      </c>
      <c r="O123" s="180" t="n">
        <f aca="false">O122+L123</f>
        <v>0</v>
      </c>
      <c r="P123" s="180" t="n">
        <f aca="false">M123+O123-N123</f>
        <v>116648.093085586</v>
      </c>
      <c r="Q123" s="180" t="n">
        <f aca="false">MAX(0,IFERROR(INDEX(TAB_IR,MATCH($C123,TAB_IR_DIAS,1),MATCH($B$8,TAB_IR_REGIMES,0)),0)*IF($B$26=2,M123,MAX(0,P123))-O123)</f>
        <v>17497.2139628379</v>
      </c>
      <c r="R123" s="181" t="n">
        <f aca="false">MAX(0,M123-Q123-M123*$B$25)</f>
        <v>249150.879122748</v>
      </c>
      <c r="S123" s="180" t="n">
        <f aca="false">R123/$D123</f>
        <v>203449.598689042</v>
      </c>
      <c r="U123" s="180" t="n">
        <f aca="false">AB122</f>
        <v>243744.926678624</v>
      </c>
      <c r="V123" s="180" t="n">
        <f aca="false">IF($C$9=0,0,IF($A123&gt;IN_PRAZO,0,IF(APORTE_CORRIGIDO="Sim",IN_APORTE*$D123,IN_APORTE))+IF(AND($C$35=1,PGBL_REINVESTE="Sim",$A123&gt;=13,$A123&lt;=IN_PRAZO,MONTH($B123)=5),PGBL_BENEFICIO,0))</f>
        <v>0</v>
      </c>
      <c r="W123" s="180" t="n">
        <f aca="false">V123*$C$24</f>
        <v>0</v>
      </c>
      <c r="X123" s="180" t="n">
        <f aca="false">U123*$C$19</f>
        <v>1988.28231713198</v>
      </c>
      <c r="Y123" s="180" t="n">
        <f aca="false">U123*$C$22</f>
        <v>40.6241544464373</v>
      </c>
      <c r="Z123" s="180" t="n">
        <f aca="false">$C$23*MAX(0,X123-U123*$C$18)</f>
        <v>0</v>
      </c>
      <c r="AA123" s="180" t="n">
        <f aca="false">IF(AND($C$27=1,OR(MONTH($B123)=5,MONTH($B123)=11)),MAX(0,$C$28*MAX(0,(U123+X123-Y123-Z123+V123-W123)+AD122-AC123)-AD122),0)</f>
        <v>0</v>
      </c>
      <c r="AB123" s="181" t="n">
        <f aca="false">U123+X123-Y123-Z123+V123-W123-AA123</f>
        <v>245692.58484131</v>
      </c>
      <c r="AC123" s="180" t="n">
        <f aca="false">AC122+V123-W123</f>
        <v>150000</v>
      </c>
      <c r="AD123" s="180" t="n">
        <f aca="false">AD122+AA123</f>
        <v>0</v>
      </c>
      <c r="AE123" s="180" t="n">
        <f aca="false">AB123+AD123-AC123</f>
        <v>95692.5848413096</v>
      </c>
      <c r="AF123" s="180" t="n">
        <f aca="false">MAX(0,IFERROR(INDEX(TAB_IR,MATCH($C123,TAB_IR_DIAS,1),MATCH($C$8,TAB_IR_REGIMES,0)),0)*IF($C$26=2,AB123,MAX(0,AE123))-AD123)</f>
        <v>14353.8877261964</v>
      </c>
      <c r="AG123" s="181" t="n">
        <f aca="false">MAX(0,AB123-AF123-AB123*$C$25)</f>
        <v>231338.697115113</v>
      </c>
      <c r="AH123" s="180" t="n">
        <f aca="false">AG123/$D123</f>
        <v>188904.671960351</v>
      </c>
      <c r="AJ123" s="180" t="n">
        <f aca="false">AQ122</f>
        <v>229989.61864437</v>
      </c>
      <c r="AK123" s="180" t="n">
        <f aca="false">IF($D$9=0,0,IF($A123&gt;IN_PRAZO,0,IF(APORTE_CORRIGIDO="Sim",IN_APORTE*$D123,IN_APORTE))+IF(AND($D$35=1,PGBL_REINVESTE="Sim",$A123&gt;=13,$A123&lt;=IN_PRAZO,MONTH($B123)=5),PGBL_BENEFICIO,0))</f>
        <v>0</v>
      </c>
      <c r="AL123" s="180" t="n">
        <f aca="false">AK123*$D$24</f>
        <v>0</v>
      </c>
      <c r="AM123" s="180" t="n">
        <f aca="false">AJ123*$D$19</f>
        <v>2067.30700653487</v>
      </c>
      <c r="AN123" s="180" t="n">
        <f aca="false">AJ123*$D$22</f>
        <v>191.658015536975</v>
      </c>
      <c r="AO123" s="180" t="n">
        <f aca="false">$D$23*MAX(0,AM123-AJ123*$D$18)</f>
        <v>0</v>
      </c>
      <c r="AP123" s="180" t="n">
        <f aca="false">IF(AND($D$27=1,OR(MONTH($B123)=5,MONTH($B123)=11)),MAX(0,$D$28*MAX(0,(AJ123+AM123-AN123-AO123+AK123-AL123)+AS122-AR123)-AS122),0)</f>
        <v>0</v>
      </c>
      <c r="AQ123" s="181" t="n">
        <f aca="false">AJ123+AM123-AN123-AO123+AK123-AL123-AP123</f>
        <v>231865.267635367</v>
      </c>
      <c r="AR123" s="180" t="n">
        <f aca="false">AR122+AK123-AL123</f>
        <v>150000</v>
      </c>
      <c r="AS123" s="180" t="n">
        <f aca="false">AS122+AP123</f>
        <v>12818.3874423697</v>
      </c>
      <c r="AT123" s="180" t="n">
        <f aca="false">AQ123+AS123-AR123</f>
        <v>94683.6550777371</v>
      </c>
      <c r="AU123" s="180" t="n">
        <f aca="false">MAX(0,IFERROR(INDEX(TAB_IR,MATCH($C123,TAB_IR_DIAS,1),MATCH($D$8,TAB_IR_REGIMES,0)),0)*IF($D$26=2,AQ123,MAX(0,AT123))-AS123)</f>
        <v>1384.16081929089</v>
      </c>
      <c r="AV123" s="181" t="n">
        <f aca="false">MAX(0,AQ123-AU123-AQ123*$D$25)</f>
        <v>230481.106816077</v>
      </c>
      <c r="AW123" s="180" t="n">
        <f aca="false">AV123/$D123</f>
        <v>188204.387848198</v>
      </c>
      <c r="AY123" s="180" t="n">
        <f aca="false">BF122</f>
        <v>251964.342237088</v>
      </c>
      <c r="AZ123" s="180" t="n">
        <f aca="false">IF($E$9=0,0,IF($A123&gt;IN_PRAZO,0,IF(APORTE_CORRIGIDO="Sim",IN_APORTE*$D123,IN_APORTE))+IF(AND($E$35=1,PGBL_REINVESTE="Sim",$A123&gt;=13,$A123&lt;=IN_PRAZO,MONTH($B123)=5),PGBL_BENEFICIO,0))</f>
        <v>0</v>
      </c>
      <c r="BA123" s="180" t="n">
        <f aca="false">AZ123*$E$24</f>
        <v>0</v>
      </c>
      <c r="BB123" s="180" t="n">
        <f aca="false">AY123*$E$19</f>
        <v>2466.41478349692</v>
      </c>
      <c r="BC123" s="180" t="n">
        <f aca="false">AY123*$E$22</f>
        <v>314.955427796361</v>
      </c>
      <c r="BD123" s="180" t="n">
        <f aca="false">$E$23*MAX(0,BB123-AY123*$E$18)</f>
        <v>0</v>
      </c>
      <c r="BE123" s="180" t="n">
        <f aca="false">IF(AND($E$27=1,OR(MONTH($B123)=5,MONTH($B123)=11)),MAX(0,$E$28*MAX(0,(AY123+BB123-BC123-BD123+AZ123-BA123)+BH122-BG123)-BH122),0)</f>
        <v>0</v>
      </c>
      <c r="BF123" s="181" t="n">
        <f aca="false">AY123+BB123-BC123-BD123+AZ123-BA123-BE123</f>
        <v>254115.801592789</v>
      </c>
      <c r="BG123" s="180" t="n">
        <f aca="false">BG122+AZ123-BA123</f>
        <v>150000</v>
      </c>
      <c r="BH123" s="180" t="n">
        <f aca="false">BH122+BE123</f>
        <v>0</v>
      </c>
      <c r="BI123" s="180" t="n">
        <f aca="false">BF123+BH123-BG123</f>
        <v>104115.801592789</v>
      </c>
      <c r="BJ123" s="180" t="n">
        <f aca="false">MAX(0,IFERROR(INDEX(TAB_IR,MATCH($C123,TAB_IR_DIAS,1),MATCH($E$8,TAB_IR_REGIMES,0)),0)*IF($E$26=2,BF123,MAX(0,BI123))-BH123)</f>
        <v>26028.9503981972</v>
      </c>
      <c r="BK123" s="181" t="n">
        <f aca="false">MAX(0,BF123-BJ123-BF123*$E$25)</f>
        <v>228086.851194592</v>
      </c>
      <c r="BL123" s="180" t="n">
        <f aca="false">BK123/$D123</f>
        <v>186249.306063758</v>
      </c>
      <c r="BN123" s="180" t="n">
        <f aca="false">BU122</f>
        <v>251964.342237088</v>
      </c>
      <c r="BO123" s="180" t="n">
        <f aca="false">IF($F$9=0,0,IF($A123&gt;IN_PRAZO,0,IF(APORTE_CORRIGIDO="Sim",IN_APORTE*$D123,IN_APORTE))+IF(AND($F$35=1,PGBL_REINVESTE="Sim",$A123&gt;=13,$A123&lt;=IN_PRAZO,MONTH($B123)=5),PGBL_BENEFICIO,0))</f>
        <v>0</v>
      </c>
      <c r="BP123" s="180" t="n">
        <f aca="false">BO123*$F$24</f>
        <v>0</v>
      </c>
      <c r="BQ123" s="180" t="n">
        <f aca="false">BN123*$F$19</f>
        <v>2466.41478349692</v>
      </c>
      <c r="BR123" s="180" t="n">
        <f aca="false">BN123*$F$22</f>
        <v>314.955427796361</v>
      </c>
      <c r="BS123" s="180" t="n">
        <f aca="false">$F$23*MAX(0,BQ123-BN123*$F$18)</f>
        <v>0</v>
      </c>
      <c r="BT123" s="180" t="n">
        <f aca="false">IF(AND($F$27=1,OR(MONTH($B123)=5,MONTH($B123)=11)),MAX(0,$F$28*MAX(0,(BN123+BQ123-BR123-BS123+BO123-BP123)+BW122-BV123)-BW122),0)</f>
        <v>0</v>
      </c>
      <c r="BU123" s="181" t="n">
        <f aca="false">BN123+BQ123-BR123-BS123+BO123-BP123-BT123</f>
        <v>254115.801592789</v>
      </c>
      <c r="BV123" s="180" t="n">
        <f aca="false">BV122+BO123-BP123</f>
        <v>150000</v>
      </c>
      <c r="BW123" s="180" t="n">
        <f aca="false">BW122+BT123</f>
        <v>0</v>
      </c>
      <c r="BX123" s="180" t="n">
        <f aca="false">BU123+BW123-BV123</f>
        <v>104115.801592789</v>
      </c>
      <c r="BY123" s="180" t="n">
        <f aca="false">MAX(0,IFERROR(INDEX(TAB_IR,MATCH($C123,TAB_IR_DIAS,1),MATCH($F$8,TAB_IR_REGIMES,0)),0)*IF($F$26=2,BU123,MAX(0,BX123))-BW123)</f>
        <v>63528.9503981972</v>
      </c>
      <c r="BZ123" s="181" t="n">
        <f aca="false">MAX(0,BU123-BY123-BU123*$F$25)</f>
        <v>190586.851194592</v>
      </c>
      <c r="CA123" s="180" t="n">
        <f aca="false">BZ123/$D123</f>
        <v>155627.861027313</v>
      </c>
      <c r="CC123" s="180" t="n">
        <f aca="false">CJ122</f>
        <v>220190.40203891</v>
      </c>
      <c r="CD123" s="180" t="n">
        <f aca="false">IF($G$9=0,0,IF($A123&gt;IN_PRAZO,0,IF(APORTE_CORRIGIDO="Sim",IN_APORTE*$D123,IN_APORTE))+IF(AND($G$35=1,PGBL_REINVESTE="Sim",$A123&gt;=13,$A123&lt;=IN_PRAZO,MONTH($B123)=5),PGBL_BENEFICIO,0))</f>
        <v>0</v>
      </c>
      <c r="CE123" s="180" t="n">
        <f aca="false">CD123*$G$24</f>
        <v>0</v>
      </c>
      <c r="CF123" s="180" t="n">
        <f aca="false">CC123*$G$19</f>
        <v>1796.14274947918</v>
      </c>
      <c r="CG123" s="180" t="n">
        <f aca="false">CC123*$G$22</f>
        <v>183.492001699092</v>
      </c>
      <c r="CH123" s="180" t="n">
        <f aca="false">$G$23*MAX(0,CF123-CC123*$G$18)</f>
        <v>0</v>
      </c>
      <c r="CI123" s="180" t="n">
        <f aca="false">IF(AND($G$27=1,OR(MONTH($B123)=5,MONTH($B123)=11)),MAX(0,$G$28*MAX(0,(CC123+CF123-CG123-CH123+CD123-CE123)+CL122-CK123)-CL122),0)</f>
        <v>0</v>
      </c>
      <c r="CJ123" s="181" t="n">
        <f aca="false">CC123+CF123-CG123-CH123+CD123-CE123-CI123</f>
        <v>221803.05278669</v>
      </c>
      <c r="CK123" s="180" t="n">
        <f aca="false">CK122+CD123-CE123</f>
        <v>150000</v>
      </c>
      <c r="CL123" s="180" t="n">
        <f aca="false">CL122+CI123</f>
        <v>11268.7411293347</v>
      </c>
      <c r="CM123" s="180" t="n">
        <f aca="false">CJ123+CL123-CK123</f>
        <v>83071.7939160246</v>
      </c>
      <c r="CN123" s="180" t="n">
        <f aca="false">MAX(0,IFERROR(INDEX(TAB_IR,MATCH($C123,TAB_IR_DIAS,1),MATCH($G$8,TAB_IR_REGIMES,0)),0)*IF($G$26=2,CJ123,MAX(0,CM123))-CL123)</f>
        <v>1192.02795806904</v>
      </c>
      <c r="CO123" s="181" t="n">
        <f aca="false">MAX(0,CJ123-CN123-CJ123*$G$25)</f>
        <v>220611.024828621</v>
      </c>
      <c r="CP123" s="180" t="n">
        <f aca="false">CO123/$D123</f>
        <v>180144.756565956</v>
      </c>
    </row>
    <row r="124" customFormat="false" ht="12" hidden="false" customHeight="true" outlineLevel="0" collapsed="false">
      <c r="A124" s="177" t="n">
        <v>63</v>
      </c>
      <c r="B124" s="178" t="n">
        <f aca="false">EDATE(DATA_INICIO,$A124)</f>
        <v>48175</v>
      </c>
      <c r="C124" s="177" t="n">
        <f aca="false">$A124*30</f>
        <v>1890</v>
      </c>
      <c r="D124" s="179" t="n">
        <f aca="false">(1+IPCA_CENARIO)^($A124/12)</f>
        <v>1.22864107807633</v>
      </c>
      <c r="F124" s="180" t="n">
        <f aca="false">M123</f>
        <v>266648.093085586</v>
      </c>
      <c r="G124" s="180" t="n">
        <f aca="false">IF($B$9=0,0,IF($A124&gt;IN_PRAZO,0,IF(APORTE_CORRIGIDO="Sim",IN_APORTE*$D124,IN_APORTE))+IF(AND($B$35=1,PGBL_REINVESTE="Sim",$A124&gt;=13,$A124&lt;=IN_PRAZO,MONTH($B124)=5),PGBL_BENEFICIO,0))</f>
        <v>0</v>
      </c>
      <c r="H124" s="180" t="n">
        <f aca="false">G124*$B$24</f>
        <v>0</v>
      </c>
      <c r="I124" s="180" t="n">
        <f aca="false">F124*$B$19</f>
        <v>2530.16854169055</v>
      </c>
      <c r="J124" s="180" t="n">
        <f aca="false">F124*$B$22</f>
        <v>44.4413488475976</v>
      </c>
      <c r="K124" s="180" t="n">
        <f aca="false">$B$23*MAX(0,I124-F124*$B$18)</f>
        <v>0</v>
      </c>
      <c r="L124" s="180" t="n">
        <f aca="false">IF(AND($B$27=1,OR(MONTH($B124)=5,MONTH($B124)=11)),MAX(0,$B$28*MAX(0,(F124+I124-J124-K124+G124-H124)+O123-N124)-O123),0)</f>
        <v>0</v>
      </c>
      <c r="M124" s="181" t="n">
        <f aca="false">F124+I124-J124-K124+G124-H124-L124</f>
        <v>269133.820278429</v>
      </c>
      <c r="N124" s="180" t="n">
        <f aca="false">N123+G124-H124</f>
        <v>150000</v>
      </c>
      <c r="O124" s="180" t="n">
        <f aca="false">O123+L124</f>
        <v>0</v>
      </c>
      <c r="P124" s="180" t="n">
        <f aca="false">M124+O124-N124</f>
        <v>119133.820278429</v>
      </c>
      <c r="Q124" s="180" t="n">
        <f aca="false">MAX(0,IFERROR(INDEX(TAB_IR,MATCH($C124,TAB_IR_DIAS,1),MATCH($B$8,TAB_IR_REGIMES,0)),0)*IF($B$26=2,M124,MAX(0,P124))-O124)</f>
        <v>17870.0730417643</v>
      </c>
      <c r="R124" s="181" t="n">
        <f aca="false">MAX(0,M124-Q124-M124*$B$25)</f>
        <v>251263.747236664</v>
      </c>
      <c r="S124" s="180" t="n">
        <f aca="false">R124/$D124</f>
        <v>204505.40985498</v>
      </c>
      <c r="U124" s="180" t="n">
        <f aca="false">AB123</f>
        <v>245692.58484131</v>
      </c>
      <c r="V124" s="180" t="n">
        <f aca="false">IF($C$9=0,0,IF($A124&gt;IN_PRAZO,0,IF(APORTE_CORRIGIDO="Sim",IN_APORTE*$D124,IN_APORTE))+IF(AND($C$35=1,PGBL_REINVESTE="Sim",$A124&gt;=13,$A124&lt;=IN_PRAZO,MONTH($B124)=5),PGBL_BENEFICIO,0))</f>
        <v>0</v>
      </c>
      <c r="W124" s="180" t="n">
        <f aca="false">V124*$C$24</f>
        <v>0</v>
      </c>
      <c r="X124" s="180" t="n">
        <f aca="false">U124*$C$19</f>
        <v>2004.16980384792</v>
      </c>
      <c r="Y124" s="180" t="n">
        <f aca="false">U124*$C$22</f>
        <v>40.9487641402183</v>
      </c>
      <c r="Z124" s="180" t="n">
        <f aca="false">$C$23*MAX(0,X124-U124*$C$18)</f>
        <v>0</v>
      </c>
      <c r="AA124" s="180" t="n">
        <f aca="false">IF(AND($C$27=1,OR(MONTH($B124)=5,MONTH($B124)=11)),MAX(0,$C$28*MAX(0,(U124+X124-Y124-Z124+V124-W124)+AD123-AC124)-AD123),0)</f>
        <v>0</v>
      </c>
      <c r="AB124" s="181" t="n">
        <f aca="false">U124+X124-Y124-Z124+V124-W124-AA124</f>
        <v>247655.805881017</v>
      </c>
      <c r="AC124" s="180" t="n">
        <f aca="false">AC123+V124-W124</f>
        <v>150000</v>
      </c>
      <c r="AD124" s="180" t="n">
        <f aca="false">AD123+AA124</f>
        <v>0</v>
      </c>
      <c r="AE124" s="180" t="n">
        <f aca="false">AB124+AD124-AC124</f>
        <v>97655.8058810173</v>
      </c>
      <c r="AF124" s="180" t="n">
        <f aca="false">MAX(0,IFERROR(INDEX(TAB_IR,MATCH($C124,TAB_IR_DIAS,1),MATCH($C$8,TAB_IR_REGIMES,0)),0)*IF($C$26=2,AB124,MAX(0,AE124))-AD124)</f>
        <v>14648.3708821526</v>
      </c>
      <c r="AG124" s="181" t="n">
        <f aca="false">MAX(0,AB124-AF124-AB124*$C$25)</f>
        <v>233007.434998865</v>
      </c>
      <c r="AH124" s="180" t="n">
        <f aca="false">AG124/$D124</f>
        <v>189646.463199555</v>
      </c>
      <c r="AJ124" s="180" t="n">
        <f aca="false">AQ123</f>
        <v>231865.267635367</v>
      </c>
      <c r="AK124" s="180" t="n">
        <f aca="false">IF($D$9=0,0,IF($A124&gt;IN_PRAZO,0,IF(APORTE_CORRIGIDO="Sim",IN_APORTE*$D124,IN_APORTE))+IF(AND($D$35=1,PGBL_REINVESTE="Sim",$A124&gt;=13,$A124&lt;=IN_PRAZO,MONTH($B124)=5),PGBL_BENEFICIO,0))</f>
        <v>0</v>
      </c>
      <c r="AL124" s="180" t="n">
        <f aca="false">AK124*$D$24</f>
        <v>0</v>
      </c>
      <c r="AM124" s="180" t="n">
        <f aca="false">AJ124*$D$19</f>
        <v>2084.16664708624</v>
      </c>
      <c r="AN124" s="180" t="n">
        <f aca="false">AJ124*$D$22</f>
        <v>193.221056362806</v>
      </c>
      <c r="AO124" s="180" t="n">
        <f aca="false">$D$23*MAX(0,AM124-AJ124*$D$18)</f>
        <v>0</v>
      </c>
      <c r="AP124" s="180" t="n">
        <f aca="false">IF(AND($D$27=1,OR(MONTH($B124)=5,MONTH($B124)=11)),MAX(0,$D$28*MAX(0,(AJ124+AM124-AN124-AO124+AK124-AL124)+AS123-AR124)-AS123),0)</f>
        <v>1667.8026578994</v>
      </c>
      <c r="AQ124" s="181" t="n">
        <f aca="false">AJ124+AM124-AN124-AO124+AK124-AL124-AP124</f>
        <v>232088.410568191</v>
      </c>
      <c r="AR124" s="180" t="n">
        <f aca="false">AR123+AK124-AL124</f>
        <v>150000</v>
      </c>
      <c r="AS124" s="180" t="n">
        <f aca="false">AS123+AP124</f>
        <v>14486.1901002691</v>
      </c>
      <c r="AT124" s="180" t="n">
        <f aca="false">AQ124+AS124-AR124</f>
        <v>96574.6006684605</v>
      </c>
      <c r="AU124" s="180" t="n">
        <f aca="false">MAX(0,IFERROR(INDEX(TAB_IR,MATCH($C124,TAB_IR_DIAS,1),MATCH($D$8,TAB_IR_REGIMES,0)),0)*IF($D$26=2,AQ124,MAX(0,AT124))-AS124)</f>
        <v>0</v>
      </c>
      <c r="AV124" s="181" t="n">
        <f aca="false">MAX(0,AQ124-AU124-AQ124*$D$25)</f>
        <v>232088.410568191</v>
      </c>
      <c r="AW124" s="180" t="n">
        <f aca="false">AV124/$D124</f>
        <v>188898.462463561</v>
      </c>
      <c r="AY124" s="180" t="n">
        <f aca="false">BF123</f>
        <v>254115.801592789</v>
      </c>
      <c r="AZ124" s="180" t="n">
        <f aca="false">IF($E$9=0,0,IF($A124&gt;IN_PRAZO,0,IF(APORTE_CORRIGIDO="Sim",IN_APORTE*$D124,IN_APORTE))+IF(AND($E$35=1,PGBL_REINVESTE="Sim",$A124&gt;=13,$A124&lt;=IN_PRAZO,MONTH($B124)=5),PGBL_BENEFICIO,0))</f>
        <v>0</v>
      </c>
      <c r="BA124" s="180" t="n">
        <f aca="false">AZ124*$E$24</f>
        <v>0</v>
      </c>
      <c r="BB124" s="180" t="n">
        <f aca="false">AY124*$E$19</f>
        <v>2487.47487126124</v>
      </c>
      <c r="BC124" s="180" t="n">
        <f aca="false">AY124*$E$22</f>
        <v>317.644751990986</v>
      </c>
      <c r="BD124" s="180" t="n">
        <f aca="false">$E$23*MAX(0,BB124-AY124*$E$18)</f>
        <v>0</v>
      </c>
      <c r="BE124" s="180" t="n">
        <f aca="false">IF(AND($E$27=1,OR(MONTH($B124)=5,MONTH($B124)=11)),MAX(0,$E$28*MAX(0,(AY124+BB124-BC124-BD124+AZ124-BA124)+BH123-BG124)-BH123),0)</f>
        <v>0</v>
      </c>
      <c r="BF124" s="181" t="n">
        <f aca="false">AY124+BB124-BC124-BD124+AZ124-BA124-BE124</f>
        <v>256285.631712059</v>
      </c>
      <c r="BG124" s="180" t="n">
        <f aca="false">BG123+AZ124-BA124</f>
        <v>150000</v>
      </c>
      <c r="BH124" s="180" t="n">
        <f aca="false">BH123+BE124</f>
        <v>0</v>
      </c>
      <c r="BI124" s="180" t="n">
        <f aca="false">BF124+BH124-BG124</f>
        <v>106285.631712059</v>
      </c>
      <c r="BJ124" s="180" t="n">
        <f aca="false">MAX(0,IFERROR(INDEX(TAB_IR,MATCH($C124,TAB_IR_DIAS,1),MATCH($E$8,TAB_IR_REGIMES,0)),0)*IF($E$26=2,BF124,MAX(0,BI124))-BH124)</f>
        <v>26571.4079280148</v>
      </c>
      <c r="BK124" s="181" t="n">
        <f aca="false">MAX(0,BF124-BJ124-BF124*$E$25)</f>
        <v>229714.223784044</v>
      </c>
      <c r="BL124" s="180" t="n">
        <f aca="false">BK124/$D124</f>
        <v>186966.09439732</v>
      </c>
      <c r="BN124" s="180" t="n">
        <f aca="false">BU123</f>
        <v>254115.801592789</v>
      </c>
      <c r="BO124" s="180" t="n">
        <f aca="false">IF($F$9=0,0,IF($A124&gt;IN_PRAZO,0,IF(APORTE_CORRIGIDO="Sim",IN_APORTE*$D124,IN_APORTE))+IF(AND($F$35=1,PGBL_REINVESTE="Sim",$A124&gt;=13,$A124&lt;=IN_PRAZO,MONTH($B124)=5),PGBL_BENEFICIO,0))</f>
        <v>0</v>
      </c>
      <c r="BP124" s="180" t="n">
        <f aca="false">BO124*$F$24</f>
        <v>0</v>
      </c>
      <c r="BQ124" s="180" t="n">
        <f aca="false">BN124*$F$19</f>
        <v>2487.47487126124</v>
      </c>
      <c r="BR124" s="180" t="n">
        <f aca="false">BN124*$F$22</f>
        <v>317.644751990986</v>
      </c>
      <c r="BS124" s="180" t="n">
        <f aca="false">$F$23*MAX(0,BQ124-BN124*$F$18)</f>
        <v>0</v>
      </c>
      <c r="BT124" s="180" t="n">
        <f aca="false">IF(AND($F$27=1,OR(MONTH($B124)=5,MONTH($B124)=11)),MAX(0,$F$28*MAX(0,(BN124+BQ124-BR124-BS124+BO124-BP124)+BW123-BV124)-BW123),0)</f>
        <v>0</v>
      </c>
      <c r="BU124" s="181" t="n">
        <f aca="false">BN124+BQ124-BR124-BS124+BO124-BP124-BT124</f>
        <v>256285.631712059</v>
      </c>
      <c r="BV124" s="180" t="n">
        <f aca="false">BV123+BO124-BP124</f>
        <v>150000</v>
      </c>
      <c r="BW124" s="180" t="n">
        <f aca="false">BW123+BT124</f>
        <v>0</v>
      </c>
      <c r="BX124" s="180" t="n">
        <f aca="false">BU124+BW124-BV124</f>
        <v>106285.631712059</v>
      </c>
      <c r="BY124" s="180" t="n">
        <f aca="false">MAX(0,IFERROR(INDEX(TAB_IR,MATCH($C124,TAB_IR_DIAS,1),MATCH($F$8,TAB_IR_REGIMES,0)),0)*IF($F$26=2,BU124,MAX(0,BX124))-BW124)</f>
        <v>64071.4079280148</v>
      </c>
      <c r="BZ124" s="181" t="n">
        <f aca="false">MAX(0,BU124-BY124-BU124*$F$25)</f>
        <v>192214.223784044</v>
      </c>
      <c r="CA124" s="180" t="n">
        <f aca="false">BZ124/$D124</f>
        <v>156444.568893132</v>
      </c>
      <c r="CC124" s="180" t="n">
        <f aca="false">CJ123</f>
        <v>221803.05278669</v>
      </c>
      <c r="CD124" s="180" t="n">
        <f aca="false">IF($G$9=0,0,IF($A124&gt;IN_PRAZO,0,IF(APORTE_CORRIGIDO="Sim",IN_APORTE*$D124,IN_APORTE))+IF(AND($G$35=1,PGBL_REINVESTE="Sim",$A124&gt;=13,$A124&lt;=IN_PRAZO,MONTH($B124)=5),PGBL_BENEFICIO,0))</f>
        <v>0</v>
      </c>
      <c r="CE124" s="180" t="n">
        <f aca="false">CD124*$G$24</f>
        <v>0</v>
      </c>
      <c r="CF124" s="180" t="n">
        <f aca="false">CC124*$G$19</f>
        <v>1809.29750518718</v>
      </c>
      <c r="CG124" s="180" t="n">
        <f aca="false">CC124*$G$22</f>
        <v>184.835877322242</v>
      </c>
      <c r="CH124" s="180" t="n">
        <f aca="false">$G$23*MAX(0,CF124-CC124*$G$18)</f>
        <v>0</v>
      </c>
      <c r="CI124" s="180" t="n">
        <f aca="false">IF(AND($G$27=1,OR(MONTH($B124)=5,MONTH($B124)=11)),MAX(0,$G$28*MAX(0,(CC124+CF124-CG124-CH124+CD124-CE124)+CL123-CK124)-CL123),0)</f>
        <v>1435.69720224878</v>
      </c>
      <c r="CJ124" s="181" t="n">
        <f aca="false">CC124+CF124-CG124-CH124+CD124-CE124-CI124</f>
        <v>221991.817212306</v>
      </c>
      <c r="CK124" s="180" t="n">
        <f aca="false">CK123+CD124-CE124</f>
        <v>150000</v>
      </c>
      <c r="CL124" s="180" t="n">
        <f aca="false">CL123+CI124</f>
        <v>12704.4383315834</v>
      </c>
      <c r="CM124" s="180" t="n">
        <f aca="false">CJ124+CL124-CK124</f>
        <v>84696.2555438895</v>
      </c>
      <c r="CN124" s="180" t="n">
        <f aca="false">MAX(0,IFERROR(INDEX(TAB_IR,MATCH($C124,TAB_IR_DIAS,1),MATCH($G$8,TAB_IR_REGIMES,0)),0)*IF($G$26=2,CJ124,MAX(0,CM124))-CL124)</f>
        <v>0</v>
      </c>
      <c r="CO124" s="181" t="n">
        <f aca="false">MAX(0,CJ124-CN124-CJ124*$G$25)</f>
        <v>221991.817212306</v>
      </c>
      <c r="CP124" s="180" t="n">
        <f aca="false">CO124/$D124</f>
        <v>180680.770953773</v>
      </c>
    </row>
    <row r="125" customFormat="false" ht="12" hidden="false" customHeight="true" outlineLevel="0" collapsed="false">
      <c r="A125" s="177" t="n">
        <v>64</v>
      </c>
      <c r="B125" s="178" t="n">
        <f aca="false">EDATE(DATA_INICIO,$A125)</f>
        <v>48205</v>
      </c>
      <c r="C125" s="177" t="n">
        <f aca="false">$A125*30</f>
        <v>1920</v>
      </c>
      <c r="D125" s="179" t="n">
        <f aca="false">(1+IPCA_CENARIO)^($A125/12)</f>
        <v>1.23266332925167</v>
      </c>
      <c r="F125" s="180" t="n">
        <f aca="false">M124</f>
        <v>269133.820278429</v>
      </c>
      <c r="G125" s="180" t="n">
        <f aca="false">IF($B$9=0,0,IF($A125&gt;IN_PRAZO,0,IF(APORTE_CORRIGIDO="Sim",IN_APORTE*$D125,IN_APORTE))+IF(AND($B$35=1,PGBL_REINVESTE="Sim",$A125&gt;=13,$A125&lt;=IN_PRAZO,MONTH($B125)=5),PGBL_BENEFICIO,0))</f>
        <v>0</v>
      </c>
      <c r="H125" s="180" t="n">
        <f aca="false">G125*$B$24</f>
        <v>0</v>
      </c>
      <c r="I125" s="180" t="n">
        <f aca="false">F125*$B$19</f>
        <v>2553.7550923153</v>
      </c>
      <c r="J125" s="180" t="n">
        <f aca="false">F125*$B$22</f>
        <v>44.8556367130715</v>
      </c>
      <c r="K125" s="180" t="n">
        <f aca="false">$B$23*MAX(0,I125-F125*$B$18)</f>
        <v>0</v>
      </c>
      <c r="L125" s="180" t="n">
        <f aca="false">IF(AND($B$27=1,OR(MONTH($B125)=5,MONTH($B125)=11)),MAX(0,$B$28*MAX(0,(F125+I125-J125-K125+G125-H125)+O124-N125)-O124),0)</f>
        <v>0</v>
      </c>
      <c r="M125" s="181" t="n">
        <f aca="false">F125+I125-J125-K125+G125-H125-L125</f>
        <v>271642.719734031</v>
      </c>
      <c r="N125" s="180" t="n">
        <f aca="false">N124+G125-H125</f>
        <v>150000</v>
      </c>
      <c r="O125" s="180" t="n">
        <f aca="false">O124+L125</f>
        <v>0</v>
      </c>
      <c r="P125" s="180" t="n">
        <f aca="false">M125+O125-N125</f>
        <v>121642.719734031</v>
      </c>
      <c r="Q125" s="180" t="n">
        <f aca="false">MAX(0,IFERROR(INDEX(TAB_IR,MATCH($C125,TAB_IR_DIAS,1),MATCH($B$8,TAB_IR_REGIMES,0)),0)*IF($B$26=2,M125,MAX(0,P125))-O125)</f>
        <v>18246.4079601047</v>
      </c>
      <c r="R125" s="181" t="n">
        <f aca="false">MAX(0,M125-Q125-M125*$B$25)</f>
        <v>253396.311773926</v>
      </c>
      <c r="S125" s="180" t="n">
        <f aca="false">R125/$D125</f>
        <v>205568.143191019</v>
      </c>
      <c r="U125" s="180" t="n">
        <f aca="false">AB124</f>
        <v>247655.805881017</v>
      </c>
      <c r="V125" s="180" t="n">
        <f aca="false">IF($C$9=0,0,IF($A125&gt;IN_PRAZO,0,IF(APORTE_CORRIGIDO="Sim",IN_APORTE*$D125,IN_APORTE))+IF(AND($C$35=1,PGBL_REINVESTE="Sim",$A125&gt;=13,$A125&lt;=IN_PRAZO,MONTH($B125)=5),PGBL_BENEFICIO,0))</f>
        <v>0</v>
      </c>
      <c r="W125" s="180" t="n">
        <f aca="false">V125*$C$24</f>
        <v>0</v>
      </c>
      <c r="X125" s="180" t="n">
        <f aca="false">U125*$C$19</f>
        <v>2020.18424046026</v>
      </c>
      <c r="Y125" s="180" t="n">
        <f aca="false">U125*$C$22</f>
        <v>41.2759676468362</v>
      </c>
      <c r="Z125" s="180" t="n">
        <f aca="false">$C$23*MAX(0,X125-U125*$C$18)</f>
        <v>0</v>
      </c>
      <c r="AA125" s="180" t="n">
        <f aca="false">IF(AND($C$27=1,OR(MONTH($B125)=5,MONTH($B125)=11)),MAX(0,$C$28*MAX(0,(U125+X125-Y125-Z125+V125-W125)+AD124-AC125)-AD124),0)</f>
        <v>0</v>
      </c>
      <c r="AB125" s="181" t="n">
        <f aca="false">U125+X125-Y125-Z125+V125-W125-AA125</f>
        <v>249634.714153831</v>
      </c>
      <c r="AC125" s="180" t="n">
        <f aca="false">AC124+V125-W125</f>
        <v>150000</v>
      </c>
      <c r="AD125" s="180" t="n">
        <f aca="false">AD124+AA125</f>
        <v>0</v>
      </c>
      <c r="AE125" s="180" t="n">
        <f aca="false">AB125+AD125-AC125</f>
        <v>99634.7141538307</v>
      </c>
      <c r="AF125" s="180" t="n">
        <f aca="false">MAX(0,IFERROR(INDEX(TAB_IR,MATCH($C125,TAB_IR_DIAS,1),MATCH($C$8,TAB_IR_REGIMES,0)),0)*IF($C$26=2,AB125,MAX(0,AE125))-AD125)</f>
        <v>14945.2071230746</v>
      </c>
      <c r="AG125" s="181" t="n">
        <f aca="false">MAX(0,AB125-AF125-AB125*$C$25)</f>
        <v>234689.507030756</v>
      </c>
      <c r="AH125" s="180" t="n">
        <f aca="false">AG125/$D125</f>
        <v>190392.219401247</v>
      </c>
      <c r="AJ125" s="180" t="n">
        <f aca="false">AQ124</f>
        <v>232088.410568191</v>
      </c>
      <c r="AK125" s="180" t="n">
        <f aca="false">IF($D$9=0,0,IF($A125&gt;IN_PRAZO,0,IF(APORTE_CORRIGIDO="Sim",IN_APORTE*$D125,IN_APORTE))+IF(AND($D$35=1,PGBL_REINVESTE="Sim",$A125&gt;=13,$A125&lt;=IN_PRAZO,MONTH($B125)=5),PGBL_BENEFICIO,0))</f>
        <v>0</v>
      </c>
      <c r="AL125" s="180" t="n">
        <f aca="false">AK125*$D$24</f>
        <v>0</v>
      </c>
      <c r="AM125" s="180" t="n">
        <f aca="false">AJ125*$D$19</f>
        <v>2086.17241130814</v>
      </c>
      <c r="AN125" s="180" t="n">
        <f aca="false">AJ125*$D$22</f>
        <v>193.407008806826</v>
      </c>
      <c r="AO125" s="180" t="n">
        <f aca="false">$D$23*MAX(0,AM125-AJ125*$D$18)</f>
        <v>0</v>
      </c>
      <c r="AP125" s="180" t="n">
        <f aca="false">IF(AND($D$27=1,OR(MONTH($B125)=5,MONTH($B125)=11)),MAX(0,$D$28*MAX(0,(AJ125+AM125-AN125-AO125+AK125-AL125)+AS124-AR125)-AS124),0)</f>
        <v>0</v>
      </c>
      <c r="AQ125" s="181" t="n">
        <f aca="false">AJ125+AM125-AN125-AO125+AK125-AL125-AP125</f>
        <v>233981.175970693</v>
      </c>
      <c r="AR125" s="180" t="n">
        <f aca="false">AR124+AK125-AL125</f>
        <v>150000</v>
      </c>
      <c r="AS125" s="180" t="n">
        <f aca="false">AS124+AP125</f>
        <v>14486.1901002691</v>
      </c>
      <c r="AT125" s="180" t="n">
        <f aca="false">AQ125+AS125-AR125</f>
        <v>98467.3660709618</v>
      </c>
      <c r="AU125" s="180" t="n">
        <f aca="false">MAX(0,IFERROR(INDEX(TAB_IR,MATCH($C125,TAB_IR_DIAS,1),MATCH($D$8,TAB_IR_REGIMES,0)),0)*IF($D$26=2,AQ125,MAX(0,AT125))-AS125)</f>
        <v>283.91481037519</v>
      </c>
      <c r="AV125" s="181" t="n">
        <f aca="false">MAX(0,AQ125-AU125-AQ125*$D$25)</f>
        <v>233697.261160318</v>
      </c>
      <c r="AW125" s="180" t="n">
        <f aca="false">AV125/$D125</f>
        <v>189587.258430241</v>
      </c>
      <c r="AY125" s="180" t="n">
        <f aca="false">BF124</f>
        <v>256285.631712059</v>
      </c>
      <c r="AZ125" s="180" t="n">
        <f aca="false">IF($E$9=0,0,IF($A125&gt;IN_PRAZO,0,IF(APORTE_CORRIGIDO="Sim",IN_APORTE*$D125,IN_APORTE))+IF(AND($E$35=1,PGBL_REINVESTE="Sim",$A125&gt;=13,$A125&lt;=IN_PRAZO,MONTH($B125)=5),PGBL_BENEFICIO,0))</f>
        <v>0</v>
      </c>
      <c r="BA125" s="180" t="n">
        <f aca="false">AZ125*$E$24</f>
        <v>0</v>
      </c>
      <c r="BB125" s="180" t="n">
        <f aca="false">AY125*$E$19</f>
        <v>2508.71478575204</v>
      </c>
      <c r="BC125" s="180" t="n">
        <f aca="false">AY125*$E$22</f>
        <v>320.357039640074</v>
      </c>
      <c r="BD125" s="180" t="n">
        <f aca="false">$E$23*MAX(0,BB125-AY125*$E$18)</f>
        <v>0</v>
      </c>
      <c r="BE125" s="180" t="n">
        <f aca="false">IF(AND($E$27=1,OR(MONTH($B125)=5,MONTH($B125)=11)),MAX(0,$E$28*MAX(0,(AY125+BB125-BC125-BD125+AZ125-BA125)+BH124-BG125)-BH124),0)</f>
        <v>0</v>
      </c>
      <c r="BF125" s="181" t="n">
        <f aca="false">AY125+BB125-BC125-BD125+AZ125-BA125-BE125</f>
        <v>258473.989458171</v>
      </c>
      <c r="BG125" s="180" t="n">
        <f aca="false">BG124+AZ125-BA125</f>
        <v>150000</v>
      </c>
      <c r="BH125" s="180" t="n">
        <f aca="false">BH124+BE125</f>
        <v>0</v>
      </c>
      <c r="BI125" s="180" t="n">
        <f aca="false">BF125+BH125-BG125</f>
        <v>108473.989458171</v>
      </c>
      <c r="BJ125" s="180" t="n">
        <f aca="false">MAX(0,IFERROR(INDEX(TAB_IR,MATCH($C125,TAB_IR_DIAS,1),MATCH($E$8,TAB_IR_REGIMES,0)),0)*IF($E$26=2,BF125,MAX(0,BI125))-BH125)</f>
        <v>27118.4973645428</v>
      </c>
      <c r="BK125" s="181" t="n">
        <f aca="false">MAX(0,BF125-BJ125-BF125*$E$25)</f>
        <v>231355.492093628</v>
      </c>
      <c r="BL125" s="180" t="n">
        <f aca="false">BK125/$D125</f>
        <v>187687.494714457</v>
      </c>
      <c r="BN125" s="180" t="n">
        <f aca="false">BU124</f>
        <v>256285.631712059</v>
      </c>
      <c r="BO125" s="180" t="n">
        <f aca="false">IF($F$9=0,0,IF($A125&gt;IN_PRAZO,0,IF(APORTE_CORRIGIDO="Sim",IN_APORTE*$D125,IN_APORTE))+IF(AND($F$35=1,PGBL_REINVESTE="Sim",$A125&gt;=13,$A125&lt;=IN_PRAZO,MONTH($B125)=5),PGBL_BENEFICIO,0))</f>
        <v>0</v>
      </c>
      <c r="BP125" s="180" t="n">
        <f aca="false">BO125*$F$24</f>
        <v>0</v>
      </c>
      <c r="BQ125" s="180" t="n">
        <f aca="false">BN125*$F$19</f>
        <v>2508.71478575204</v>
      </c>
      <c r="BR125" s="180" t="n">
        <f aca="false">BN125*$F$22</f>
        <v>320.357039640074</v>
      </c>
      <c r="BS125" s="180" t="n">
        <f aca="false">$F$23*MAX(0,BQ125-BN125*$F$18)</f>
        <v>0</v>
      </c>
      <c r="BT125" s="180" t="n">
        <f aca="false">IF(AND($F$27=1,OR(MONTH($B125)=5,MONTH($B125)=11)),MAX(0,$F$28*MAX(0,(BN125+BQ125-BR125-BS125+BO125-BP125)+BW124-BV125)-BW124),0)</f>
        <v>0</v>
      </c>
      <c r="BU125" s="181" t="n">
        <f aca="false">BN125+BQ125-BR125-BS125+BO125-BP125-BT125</f>
        <v>258473.989458171</v>
      </c>
      <c r="BV125" s="180" t="n">
        <f aca="false">BV124+BO125-BP125</f>
        <v>150000</v>
      </c>
      <c r="BW125" s="180" t="n">
        <f aca="false">BW124+BT125</f>
        <v>0</v>
      </c>
      <c r="BX125" s="180" t="n">
        <f aca="false">BU125+BW125-BV125</f>
        <v>108473.989458171</v>
      </c>
      <c r="BY125" s="180" t="n">
        <f aca="false">MAX(0,IFERROR(INDEX(TAB_IR,MATCH($C125,TAB_IR_DIAS,1),MATCH($F$8,TAB_IR_REGIMES,0)),0)*IF($F$26=2,BU125,MAX(0,BX125))-BW125)</f>
        <v>64618.4973645428</v>
      </c>
      <c r="BZ125" s="181" t="n">
        <f aca="false">MAX(0,BU125-BY125-BU125*$F$25)</f>
        <v>193855.492093628</v>
      </c>
      <c r="CA125" s="180" t="n">
        <f aca="false">BZ125/$D125</f>
        <v>157265.562699358</v>
      </c>
      <c r="CC125" s="180" t="n">
        <f aca="false">CJ124</f>
        <v>221991.817212306</v>
      </c>
      <c r="CD125" s="180" t="n">
        <f aca="false">IF($G$9=0,0,IF($A125&gt;IN_PRAZO,0,IF(APORTE_CORRIGIDO="Sim",IN_APORTE*$D125,IN_APORTE))+IF(AND($G$35=1,PGBL_REINVESTE="Sim",$A125&gt;=13,$A125&lt;=IN_PRAZO,MONTH($B125)=5),PGBL_BENEFICIO,0))</f>
        <v>0</v>
      </c>
      <c r="CE125" s="180" t="n">
        <f aca="false">CD125*$G$24</f>
        <v>0</v>
      </c>
      <c r="CF125" s="180" t="n">
        <f aca="false">CC125*$G$19</f>
        <v>1810.83729916226</v>
      </c>
      <c r="CG125" s="180" t="n">
        <f aca="false">CC125*$G$22</f>
        <v>184.993181010255</v>
      </c>
      <c r="CH125" s="180" t="n">
        <f aca="false">$G$23*MAX(0,CF125-CC125*$G$18)</f>
        <v>0</v>
      </c>
      <c r="CI125" s="180" t="n">
        <f aca="false">IF(AND($G$27=1,OR(MONTH($B125)=5,MONTH($B125)=11)),MAX(0,$G$28*MAX(0,(CC125+CF125-CG125-CH125+CD125-CE125)+CL124-CK125)-CL124),0)</f>
        <v>0</v>
      </c>
      <c r="CJ125" s="181" t="n">
        <f aca="false">CC125+CF125-CG125-CH125+CD125-CE125-CI125</f>
        <v>223617.661330458</v>
      </c>
      <c r="CK125" s="180" t="n">
        <f aca="false">CK124+CD125-CE125</f>
        <v>150000</v>
      </c>
      <c r="CL125" s="180" t="n">
        <f aca="false">CL124+CI125</f>
        <v>12704.4383315834</v>
      </c>
      <c r="CM125" s="180" t="n">
        <f aca="false">CJ125+CL125-CK125</f>
        <v>86322.0996620416</v>
      </c>
      <c r="CN125" s="180" t="n">
        <f aca="false">MAX(0,IFERROR(INDEX(TAB_IR,MATCH($C125,TAB_IR_DIAS,1),MATCH($G$8,TAB_IR_REGIMES,0)),0)*IF($G$26=2,CJ125,MAX(0,CM125))-CL125)</f>
        <v>243.876617722803</v>
      </c>
      <c r="CO125" s="181" t="n">
        <f aca="false">MAX(0,CJ125-CN125-CJ125*$G$25)</f>
        <v>223373.784712735</v>
      </c>
      <c r="CP125" s="180" t="n">
        <f aca="false">CO125/$D125</f>
        <v>181212.322466299</v>
      </c>
    </row>
    <row r="126" customFormat="false" ht="12" hidden="false" customHeight="true" outlineLevel="0" collapsed="false">
      <c r="A126" s="177" t="n">
        <v>65</v>
      </c>
      <c r="B126" s="178" t="n">
        <f aca="false">EDATE(DATA_INICIO,$A126)</f>
        <v>48236</v>
      </c>
      <c r="C126" s="177" t="n">
        <f aca="false">$A126*30</f>
        <v>1950</v>
      </c>
      <c r="D126" s="179" t="n">
        <f aca="false">(1+IPCA_CENARIO)^($A126/12)</f>
        <v>1.2366987482307</v>
      </c>
      <c r="F126" s="180" t="n">
        <f aca="false">M125</f>
        <v>271642.719734031</v>
      </c>
      <c r="G126" s="180" t="n">
        <f aca="false">IF($B$9=0,0,IF($A126&gt;IN_PRAZO,0,IF(APORTE_CORRIGIDO="Sim",IN_APORTE*$D126,IN_APORTE))+IF(AND($B$35=1,PGBL_REINVESTE="Sim",$A126&gt;=13,$A126&lt;=IN_PRAZO,MONTH($B126)=5),PGBL_BENEFICIO,0))</f>
        <v>0</v>
      </c>
      <c r="H126" s="180" t="n">
        <f aca="false">G126*$B$24</f>
        <v>0</v>
      </c>
      <c r="I126" s="180" t="n">
        <f aca="false">F126*$B$19</f>
        <v>2577.5615197432</v>
      </c>
      <c r="J126" s="180" t="n">
        <f aca="false">F126*$B$22</f>
        <v>45.2737866223385</v>
      </c>
      <c r="K126" s="180" t="n">
        <f aca="false">$B$23*MAX(0,I126-F126*$B$18)</f>
        <v>0</v>
      </c>
      <c r="L126" s="180" t="n">
        <f aca="false">IF(AND($B$27=1,OR(MONTH($B126)=5,MONTH($B126)=11)),MAX(0,$B$28*MAX(0,(F126+I126-J126-K126+G126-H126)+O125-N126)-O125),0)</f>
        <v>0</v>
      </c>
      <c r="M126" s="181" t="n">
        <f aca="false">F126+I126-J126-K126+G126-H126-L126</f>
        <v>274175.007467152</v>
      </c>
      <c r="N126" s="180" t="n">
        <f aca="false">N125+G126-H126</f>
        <v>150000</v>
      </c>
      <c r="O126" s="180" t="n">
        <f aca="false">O125+L126</f>
        <v>0</v>
      </c>
      <c r="P126" s="180" t="n">
        <f aca="false">M126+O126-N126</f>
        <v>124175.007467152</v>
      </c>
      <c r="Q126" s="180" t="n">
        <f aca="false">MAX(0,IFERROR(INDEX(TAB_IR,MATCH($C126,TAB_IR_DIAS,1),MATCH($B$8,TAB_IR_REGIMES,0)),0)*IF($B$26=2,M126,MAX(0,P126))-O126)</f>
        <v>18626.2511200728</v>
      </c>
      <c r="R126" s="181" t="n">
        <f aca="false">MAX(0,M126-Q126-M126*$B$25)</f>
        <v>255548.756347079</v>
      </c>
      <c r="S126" s="180" t="n">
        <f aca="false">R126/$D126</f>
        <v>206637.838610804</v>
      </c>
      <c r="U126" s="180" t="n">
        <f aca="false">AB125</f>
        <v>249634.714153831</v>
      </c>
      <c r="V126" s="180" t="n">
        <f aca="false">IF($C$9=0,0,IF($A126&gt;IN_PRAZO,0,IF(APORTE_CORRIGIDO="Sim",IN_APORTE*$D126,IN_APORTE))+IF(AND($C$35=1,PGBL_REINVESTE="Sim",$A126&gt;=13,$A126&lt;=IN_PRAZO,MONTH($B126)=5),PGBL_BENEFICIO,0))</f>
        <v>0</v>
      </c>
      <c r="W126" s="180" t="n">
        <f aca="false">V126*$C$24</f>
        <v>0</v>
      </c>
      <c r="X126" s="180" t="n">
        <f aca="false">U126*$C$19</f>
        <v>2036.32664136958</v>
      </c>
      <c r="Y126" s="180" t="n">
        <f aca="false">U126*$C$22</f>
        <v>41.6057856923051</v>
      </c>
      <c r="Z126" s="180" t="n">
        <f aca="false">$C$23*MAX(0,X126-U126*$C$18)</f>
        <v>0</v>
      </c>
      <c r="AA126" s="180" t="n">
        <f aca="false">IF(AND($C$27=1,OR(MONTH($B126)=5,MONTH($B126)=11)),MAX(0,$C$28*MAX(0,(U126+X126-Y126-Z126+V126-W126)+AD125-AC126)-AD125),0)</f>
        <v>0</v>
      </c>
      <c r="AB126" s="181" t="n">
        <f aca="false">U126+X126-Y126-Z126+V126-W126-AA126</f>
        <v>251629.435009508</v>
      </c>
      <c r="AC126" s="180" t="n">
        <f aca="false">AC125+V126-W126</f>
        <v>150000</v>
      </c>
      <c r="AD126" s="180" t="n">
        <f aca="false">AD125+AA126</f>
        <v>0</v>
      </c>
      <c r="AE126" s="180" t="n">
        <f aca="false">AB126+AD126-AC126</f>
        <v>101629.435009508</v>
      </c>
      <c r="AF126" s="180" t="n">
        <f aca="false">MAX(0,IFERROR(INDEX(TAB_IR,MATCH($C126,TAB_IR_DIAS,1),MATCH($C$8,TAB_IR_REGIMES,0)),0)*IF($C$26=2,AB126,MAX(0,AE126))-AD126)</f>
        <v>15244.4152514262</v>
      </c>
      <c r="AG126" s="181" t="n">
        <f aca="false">MAX(0,AB126-AF126-AB126*$C$25)</f>
        <v>236385.019758082</v>
      </c>
      <c r="AH126" s="180" t="n">
        <f aca="false">AG126/$D126</f>
        <v>191141.957648351</v>
      </c>
      <c r="AJ126" s="180" t="n">
        <f aca="false">AQ125</f>
        <v>233981.175970693</v>
      </c>
      <c r="AK126" s="180" t="n">
        <f aca="false">IF($D$9=0,0,IF($A126&gt;IN_PRAZO,0,IF(APORTE_CORRIGIDO="Sim",IN_APORTE*$D126,IN_APORTE))+IF(AND($D$35=1,PGBL_REINVESTE="Sim",$A126&gt;=13,$A126&lt;=IN_PRAZO,MONTH($B126)=5),PGBL_BENEFICIO,0))</f>
        <v>0</v>
      </c>
      <c r="AL126" s="180" t="n">
        <f aca="false">AK126*$D$24</f>
        <v>0</v>
      </c>
      <c r="AM126" s="180" t="n">
        <f aca="false">AJ126*$D$19</f>
        <v>2103.18590609709</v>
      </c>
      <c r="AN126" s="180" t="n">
        <f aca="false">AJ126*$D$22</f>
        <v>194.984313308911</v>
      </c>
      <c r="AO126" s="180" t="n">
        <f aca="false">$D$23*MAX(0,AM126-AJ126*$D$18)</f>
        <v>0</v>
      </c>
      <c r="AP126" s="180" t="n">
        <f aca="false">IF(AND($D$27=1,OR(MONTH($B126)=5,MONTH($B126)=11)),MAX(0,$D$28*MAX(0,(AJ126+AM126-AN126-AO126+AK126-AL126)+AS125-AR126)-AS125),0)</f>
        <v>0</v>
      </c>
      <c r="AQ126" s="181" t="n">
        <f aca="false">AJ126+AM126-AN126-AO126+AK126-AL126-AP126</f>
        <v>235889.377563481</v>
      </c>
      <c r="AR126" s="180" t="n">
        <f aca="false">AR125+AK126-AL126</f>
        <v>150000</v>
      </c>
      <c r="AS126" s="180" t="n">
        <f aca="false">AS125+AP126</f>
        <v>14486.1901002691</v>
      </c>
      <c r="AT126" s="180" t="n">
        <f aca="false">AQ126+AS126-AR126</f>
        <v>100375.56766375</v>
      </c>
      <c r="AU126" s="180" t="n">
        <f aca="false">MAX(0,IFERROR(INDEX(TAB_IR,MATCH($C126,TAB_IR_DIAS,1),MATCH($D$8,TAB_IR_REGIMES,0)),0)*IF($D$26=2,AQ126,MAX(0,AT126))-AS126)</f>
        <v>570.145049293418</v>
      </c>
      <c r="AV126" s="181" t="n">
        <f aca="false">MAX(0,AQ126-AU126-AQ126*$D$25)</f>
        <v>235319.232514187</v>
      </c>
      <c r="AW126" s="180" t="n">
        <f aca="false">AV126/$D126</f>
        <v>190280.157435956</v>
      </c>
      <c r="AY126" s="180" t="n">
        <f aca="false">BF125</f>
        <v>258473.989458171</v>
      </c>
      <c r="AZ126" s="180" t="n">
        <f aca="false">IF($E$9=0,0,IF($A126&gt;IN_PRAZO,0,IF(APORTE_CORRIGIDO="Sim",IN_APORTE*$D126,IN_APORTE))+IF(AND($E$35=1,PGBL_REINVESTE="Sim",$A126&gt;=13,$A126&lt;=IN_PRAZO,MONTH($B126)=5),PGBL_BENEFICIO,0))</f>
        <v>0</v>
      </c>
      <c r="BA126" s="180" t="n">
        <f aca="false">AZ126*$E$24</f>
        <v>0</v>
      </c>
      <c r="BB126" s="180" t="n">
        <f aca="false">AY126*$E$19</f>
        <v>2530.13606246393</v>
      </c>
      <c r="BC126" s="180" t="n">
        <f aca="false">AY126*$E$22</f>
        <v>323.092486822714</v>
      </c>
      <c r="BD126" s="180" t="n">
        <f aca="false">$E$23*MAX(0,BB126-AY126*$E$18)</f>
        <v>0</v>
      </c>
      <c r="BE126" s="180" t="n">
        <f aca="false">IF(AND($E$27=1,OR(MONTH($B126)=5,MONTH($B126)=11)),MAX(0,$E$28*MAX(0,(AY126+BB126-BC126-BD126+AZ126-BA126)+BH125-BG126)-BH125),0)</f>
        <v>0</v>
      </c>
      <c r="BF126" s="181" t="n">
        <f aca="false">AY126+BB126-BC126-BD126+AZ126-BA126-BE126</f>
        <v>260681.033033812</v>
      </c>
      <c r="BG126" s="180" t="n">
        <f aca="false">BG125+AZ126-BA126</f>
        <v>150000</v>
      </c>
      <c r="BH126" s="180" t="n">
        <f aca="false">BH125+BE126</f>
        <v>0</v>
      </c>
      <c r="BI126" s="180" t="n">
        <f aca="false">BF126+BH126-BG126</f>
        <v>110681.033033812</v>
      </c>
      <c r="BJ126" s="180" t="n">
        <f aca="false">MAX(0,IFERROR(INDEX(TAB_IR,MATCH($C126,TAB_IR_DIAS,1),MATCH($E$8,TAB_IR_REGIMES,0)),0)*IF($E$26=2,BF126,MAX(0,BI126))-BH126)</f>
        <v>27670.2582584531</v>
      </c>
      <c r="BK126" s="181" t="n">
        <f aca="false">MAX(0,BF126-BJ126-BF126*$E$25)</f>
        <v>233010.774775359</v>
      </c>
      <c r="BL126" s="180" t="n">
        <f aca="false">BK126/$D126</f>
        <v>188413.528443139</v>
      </c>
      <c r="BN126" s="180" t="n">
        <f aca="false">BU125</f>
        <v>258473.989458171</v>
      </c>
      <c r="BO126" s="180" t="n">
        <f aca="false">IF($F$9=0,0,IF($A126&gt;IN_PRAZO,0,IF(APORTE_CORRIGIDO="Sim",IN_APORTE*$D126,IN_APORTE))+IF(AND($F$35=1,PGBL_REINVESTE="Sim",$A126&gt;=13,$A126&lt;=IN_PRAZO,MONTH($B126)=5),PGBL_BENEFICIO,0))</f>
        <v>0</v>
      </c>
      <c r="BP126" s="180" t="n">
        <f aca="false">BO126*$F$24</f>
        <v>0</v>
      </c>
      <c r="BQ126" s="180" t="n">
        <f aca="false">BN126*$F$19</f>
        <v>2530.13606246393</v>
      </c>
      <c r="BR126" s="180" t="n">
        <f aca="false">BN126*$F$22</f>
        <v>323.092486822714</v>
      </c>
      <c r="BS126" s="180" t="n">
        <f aca="false">$F$23*MAX(0,BQ126-BN126*$F$18)</f>
        <v>0</v>
      </c>
      <c r="BT126" s="180" t="n">
        <f aca="false">IF(AND($F$27=1,OR(MONTH($B126)=5,MONTH($B126)=11)),MAX(0,$F$28*MAX(0,(BN126+BQ126-BR126-BS126+BO126-BP126)+BW125-BV126)-BW125),0)</f>
        <v>0</v>
      </c>
      <c r="BU126" s="181" t="n">
        <f aca="false">BN126+BQ126-BR126-BS126+BO126-BP126-BT126</f>
        <v>260681.033033812</v>
      </c>
      <c r="BV126" s="180" t="n">
        <f aca="false">BV125+BO126-BP126</f>
        <v>150000</v>
      </c>
      <c r="BW126" s="180" t="n">
        <f aca="false">BW125+BT126</f>
        <v>0</v>
      </c>
      <c r="BX126" s="180" t="n">
        <f aca="false">BU126+BW126-BV126</f>
        <v>110681.033033812</v>
      </c>
      <c r="BY126" s="180" t="n">
        <f aca="false">MAX(0,IFERROR(INDEX(TAB_IR,MATCH($C126,TAB_IR_DIAS,1),MATCH($F$8,TAB_IR_REGIMES,0)),0)*IF($F$26=2,BU126,MAX(0,BX126))-BW126)</f>
        <v>65170.2582584531</v>
      </c>
      <c r="BZ126" s="181" t="n">
        <f aca="false">MAX(0,BU126-BY126-BU126*$F$25)</f>
        <v>195510.774775359</v>
      </c>
      <c r="CA126" s="180" t="n">
        <f aca="false">BZ126/$D126</f>
        <v>158090.864937859</v>
      </c>
      <c r="CC126" s="180" t="n">
        <f aca="false">CJ125</f>
        <v>223617.661330458</v>
      </c>
      <c r="CD126" s="180" t="n">
        <f aca="false">IF($G$9=0,0,IF($A126&gt;IN_PRAZO,0,IF(APORTE_CORRIGIDO="Sim",IN_APORTE*$D126,IN_APORTE))+IF(AND($G$35=1,PGBL_REINVESTE="Sim",$A126&gt;=13,$A126&lt;=IN_PRAZO,MONTH($B126)=5),PGBL_BENEFICIO,0))</f>
        <v>0</v>
      </c>
      <c r="CE126" s="180" t="n">
        <f aca="false">CD126*$G$24</f>
        <v>0</v>
      </c>
      <c r="CF126" s="180" t="n">
        <f aca="false">CC126*$G$19</f>
        <v>1824.09967616672</v>
      </c>
      <c r="CG126" s="180" t="n">
        <f aca="false">CC126*$G$22</f>
        <v>186.348051108715</v>
      </c>
      <c r="CH126" s="180" t="n">
        <f aca="false">$G$23*MAX(0,CF126-CC126*$G$18)</f>
        <v>0</v>
      </c>
      <c r="CI126" s="180" t="n">
        <f aca="false">IF(AND($G$27=1,OR(MONTH($B126)=5,MONTH($B126)=11)),MAX(0,$G$28*MAX(0,(CC126+CF126-CG126-CH126+CD126-CE126)+CL125-CK126)-CL125),0)</f>
        <v>0</v>
      </c>
      <c r="CJ126" s="181" t="n">
        <f aca="false">CC126+CF126-CG126-CH126+CD126-CE126-CI126</f>
        <v>225255.412955516</v>
      </c>
      <c r="CK126" s="180" t="n">
        <f aca="false">CK125+CD126-CE126</f>
        <v>150000</v>
      </c>
      <c r="CL126" s="180" t="n">
        <f aca="false">CL125+CI126</f>
        <v>12704.4383315834</v>
      </c>
      <c r="CM126" s="180" t="n">
        <f aca="false">CJ126+CL126-CK126</f>
        <v>87959.8512870996</v>
      </c>
      <c r="CN126" s="180" t="n">
        <f aca="false">MAX(0,IFERROR(INDEX(TAB_IR,MATCH($C126,TAB_IR_DIAS,1),MATCH($G$8,TAB_IR_REGIMES,0)),0)*IF($G$26=2,CJ126,MAX(0,CM126))-CL126)</f>
        <v>489.539361481504</v>
      </c>
      <c r="CO126" s="181" t="n">
        <f aca="false">MAX(0,CJ126-CN126-CJ126*$G$25)</f>
        <v>224765.873594035</v>
      </c>
      <c r="CP126" s="180" t="n">
        <f aca="false">CO126/$D126</f>
        <v>181746.66539899</v>
      </c>
    </row>
    <row r="127" customFormat="false" ht="12" hidden="false" customHeight="true" outlineLevel="0" collapsed="false">
      <c r="A127" s="177" t="n">
        <v>66</v>
      </c>
      <c r="B127" s="178" t="n">
        <f aca="false">EDATE(DATA_INICIO,$A127)</f>
        <v>48267</v>
      </c>
      <c r="C127" s="177" t="n">
        <f aca="false">$A127*30</f>
        <v>1980</v>
      </c>
      <c r="D127" s="179" t="n">
        <f aca="false">(1+IPCA_CENARIO)^($A127/12)</f>
        <v>1.24074737812138</v>
      </c>
      <c r="F127" s="180" t="n">
        <f aca="false">M126</f>
        <v>274175.007467152</v>
      </c>
      <c r="G127" s="180" t="n">
        <f aca="false">IF($B$9=0,0,IF($A127&gt;IN_PRAZO,0,IF(APORTE_CORRIGIDO="Sim",IN_APORTE*$D127,IN_APORTE))+IF(AND($B$35=1,PGBL_REINVESTE="Sim",$A127&gt;=13,$A127&lt;=IN_PRAZO,MONTH($B127)=5),PGBL_BENEFICIO,0))</f>
        <v>0</v>
      </c>
      <c r="H127" s="180" t="n">
        <f aca="false">G127*$B$24</f>
        <v>0</v>
      </c>
      <c r="I127" s="180" t="n">
        <f aca="false">F127*$B$19</f>
        <v>2601.58987369356</v>
      </c>
      <c r="J127" s="180" t="n">
        <f aca="false">F127*$B$22</f>
        <v>45.6958345778586</v>
      </c>
      <c r="K127" s="180" t="n">
        <f aca="false">$B$23*MAX(0,I127-F127*$B$18)</f>
        <v>0</v>
      </c>
      <c r="L127" s="180" t="n">
        <f aca="false">IF(AND($B$27=1,OR(MONTH($B127)=5,MONTH($B127)=11)),MAX(0,$B$28*MAX(0,(F127+I127-J127-K127+G127-H127)+O126-N127)-O126),0)</f>
        <v>0</v>
      </c>
      <c r="M127" s="181" t="n">
        <f aca="false">F127+I127-J127-K127+G127-H127-L127</f>
        <v>276730.901506268</v>
      </c>
      <c r="N127" s="180" t="n">
        <f aca="false">N126+G127-H127</f>
        <v>150000</v>
      </c>
      <c r="O127" s="180" t="n">
        <f aca="false">O126+L127</f>
        <v>0</v>
      </c>
      <c r="P127" s="180" t="n">
        <f aca="false">M127+O127-N127</f>
        <v>126730.901506268</v>
      </c>
      <c r="Q127" s="180" t="n">
        <f aca="false">MAX(0,IFERROR(INDEX(TAB_IR,MATCH($C127,TAB_IR_DIAS,1),MATCH($B$8,TAB_IR_REGIMES,0)),0)*IF($B$26=2,M127,MAX(0,P127))-O127)</f>
        <v>19009.6352259401</v>
      </c>
      <c r="R127" s="181" t="n">
        <f aca="false">MAX(0,M127-Q127-M127*$B$25)</f>
        <v>257721.266280327</v>
      </c>
      <c r="S127" s="180" t="n">
        <f aca="false">R127/$D127</f>
        <v>207714.536274535</v>
      </c>
      <c r="U127" s="180" t="n">
        <f aca="false">AB126</f>
        <v>251629.435009508</v>
      </c>
      <c r="V127" s="180" t="n">
        <f aca="false">IF($C$9=0,0,IF($A127&gt;IN_PRAZO,0,IF(APORTE_CORRIGIDO="Sim",IN_APORTE*$D127,IN_APORTE))+IF(AND($C$35=1,PGBL_REINVESTE="Sim",$A127&gt;=13,$A127&lt;=IN_PRAZO,MONTH($B127)=5),PGBL_BENEFICIO,0))</f>
        <v>0</v>
      </c>
      <c r="W127" s="180" t="n">
        <f aca="false">V127*$C$24</f>
        <v>0</v>
      </c>
      <c r="X127" s="180" t="n">
        <f aca="false">U127*$C$19</f>
        <v>2052.59802908215</v>
      </c>
      <c r="Y127" s="180" t="n">
        <f aca="false">U127*$C$22</f>
        <v>41.9382391682513</v>
      </c>
      <c r="Z127" s="180" t="n">
        <f aca="false">$C$23*MAX(0,X127-U127*$C$18)</f>
        <v>0</v>
      </c>
      <c r="AA127" s="180" t="n">
        <f aca="false">IF(AND($C$27=1,OR(MONTH($B127)=5,MONTH($B127)=11)),MAX(0,$C$28*MAX(0,(U127+X127-Y127-Z127+V127-W127)+AD126-AC127)-AD126),0)</f>
        <v>0</v>
      </c>
      <c r="AB127" s="181" t="n">
        <f aca="false">U127+X127-Y127-Z127+V127-W127-AA127</f>
        <v>253640.094799422</v>
      </c>
      <c r="AC127" s="180" t="n">
        <f aca="false">AC126+V127-W127</f>
        <v>150000</v>
      </c>
      <c r="AD127" s="180" t="n">
        <f aca="false">AD126+AA127</f>
        <v>0</v>
      </c>
      <c r="AE127" s="180" t="n">
        <f aca="false">AB127+AD127-AC127</f>
        <v>103640.094799422</v>
      </c>
      <c r="AF127" s="180" t="n">
        <f aca="false">MAX(0,IFERROR(INDEX(TAB_IR,MATCH($C127,TAB_IR_DIAS,1),MATCH($C$8,TAB_IR_REGIMES,0)),0)*IF($C$26=2,AB127,MAX(0,AE127))-AD127)</f>
        <v>15546.0142199133</v>
      </c>
      <c r="AG127" s="181" t="n">
        <f aca="false">MAX(0,AB127-AF127-AB127*$C$25)</f>
        <v>238094.080579509</v>
      </c>
      <c r="AH127" s="180" t="n">
        <f aca="false">AG127/$D127</f>
        <v>191895.695109191</v>
      </c>
      <c r="AJ127" s="180" t="n">
        <f aca="false">AQ126</f>
        <v>235889.377563481</v>
      </c>
      <c r="AK127" s="180" t="n">
        <f aca="false">IF($D$9=0,0,IF($A127&gt;IN_PRAZO,0,IF(APORTE_CORRIGIDO="Sim",IN_APORTE*$D127,IN_APORTE))+IF(AND($D$35=1,PGBL_REINVESTE="Sim",$A127&gt;=13,$A127&lt;=IN_PRAZO,MONTH($B127)=5),PGBL_BENEFICIO,0))</f>
        <v>0</v>
      </c>
      <c r="AL127" s="180" t="n">
        <f aca="false">AK127*$D$24</f>
        <v>0</v>
      </c>
      <c r="AM127" s="180" t="n">
        <f aca="false">AJ127*$D$19</f>
        <v>2120.33815212412</v>
      </c>
      <c r="AN127" s="180" t="n">
        <f aca="false">AJ127*$D$22</f>
        <v>196.574481302901</v>
      </c>
      <c r="AO127" s="180" t="n">
        <f aca="false">$D$23*MAX(0,AM127-AJ127*$D$18)</f>
        <v>0</v>
      </c>
      <c r="AP127" s="180" t="n">
        <f aca="false">IF(AND($D$27=1,OR(MONTH($B127)=5,MONTH($B127)=11)),MAX(0,$D$28*MAX(0,(AJ127+AM127-AN127-AO127+AK127-AL127)+AS126-AR127)-AS126),0)</f>
        <v>0</v>
      </c>
      <c r="AQ127" s="181" t="n">
        <f aca="false">AJ127+AM127-AN127-AO127+AK127-AL127-AP127</f>
        <v>237813.141234302</v>
      </c>
      <c r="AR127" s="180" t="n">
        <f aca="false">AR126+AK127-AL127</f>
        <v>150000</v>
      </c>
      <c r="AS127" s="180" t="n">
        <f aca="false">AS126+AP127</f>
        <v>14486.1901002691</v>
      </c>
      <c r="AT127" s="180" t="n">
        <f aca="false">AQ127+AS127-AR127</f>
        <v>102299.331334571</v>
      </c>
      <c r="AU127" s="180" t="n">
        <f aca="false">MAX(0,IFERROR(INDEX(TAB_IR,MATCH($C127,TAB_IR_DIAS,1),MATCH($D$8,TAB_IR_REGIMES,0)),0)*IF($D$26=2,AQ127,MAX(0,AT127))-AS127)</f>
        <v>858.7095999166</v>
      </c>
      <c r="AV127" s="181" t="n">
        <f aca="false">MAX(0,AQ127-AU127-AQ127*$D$25)</f>
        <v>236954.431634386</v>
      </c>
      <c r="AW127" s="180" t="n">
        <f aca="false">AV127/$D127</f>
        <v>190977.176992434</v>
      </c>
      <c r="AY127" s="180" t="n">
        <f aca="false">BF126</f>
        <v>260681.033033812</v>
      </c>
      <c r="AZ127" s="180" t="n">
        <f aca="false">IF($E$9=0,0,IF($A127&gt;IN_PRAZO,0,IF(APORTE_CORRIGIDO="Sim",IN_APORTE*$D127,IN_APORTE))+IF(AND($E$35=1,PGBL_REINVESTE="Sim",$A127&gt;=13,$A127&lt;=IN_PRAZO,MONTH($B127)=5),PGBL_BENEFICIO,0))</f>
        <v>0</v>
      </c>
      <c r="BA127" s="180" t="n">
        <f aca="false">AZ127*$E$24</f>
        <v>0</v>
      </c>
      <c r="BB127" s="180" t="n">
        <f aca="false">AY127*$E$19</f>
        <v>2551.74025000274</v>
      </c>
      <c r="BC127" s="180" t="n">
        <f aca="false">AY127*$E$22</f>
        <v>325.851291292266</v>
      </c>
      <c r="BD127" s="180" t="n">
        <f aca="false">$E$23*MAX(0,BB127-AY127*$E$18)</f>
        <v>0</v>
      </c>
      <c r="BE127" s="180" t="n">
        <f aca="false">IF(AND($E$27=1,OR(MONTH($B127)=5,MONTH($B127)=11)),MAX(0,$E$28*MAX(0,(AY127+BB127-BC127-BD127+AZ127-BA127)+BH126-BG127)-BH126),0)</f>
        <v>0</v>
      </c>
      <c r="BF127" s="181" t="n">
        <f aca="false">AY127+BB127-BC127-BD127+AZ127-BA127-BE127</f>
        <v>262906.921992523</v>
      </c>
      <c r="BG127" s="180" t="n">
        <f aca="false">BG126+AZ127-BA127</f>
        <v>150000</v>
      </c>
      <c r="BH127" s="180" t="n">
        <f aca="false">BH126+BE127</f>
        <v>0</v>
      </c>
      <c r="BI127" s="180" t="n">
        <f aca="false">BF127+BH127-BG127</f>
        <v>112906.921992523</v>
      </c>
      <c r="BJ127" s="180" t="n">
        <f aca="false">MAX(0,IFERROR(INDEX(TAB_IR,MATCH($C127,TAB_IR_DIAS,1),MATCH($E$8,TAB_IR_REGIMES,0)),0)*IF($E$26=2,BF127,MAX(0,BI127))-BH127)</f>
        <v>28226.7304981307</v>
      </c>
      <c r="BK127" s="181" t="n">
        <f aca="false">MAX(0,BF127-BJ127-BF127*$E$25)</f>
        <v>234680.191494392</v>
      </c>
      <c r="BL127" s="180" t="n">
        <f aca="false">BK127/$D127</f>
        <v>189144.21713284</v>
      </c>
      <c r="BN127" s="180" t="n">
        <f aca="false">BU126</f>
        <v>260681.033033812</v>
      </c>
      <c r="BO127" s="180" t="n">
        <f aca="false">IF($F$9=0,0,IF($A127&gt;IN_PRAZO,0,IF(APORTE_CORRIGIDO="Sim",IN_APORTE*$D127,IN_APORTE))+IF(AND($F$35=1,PGBL_REINVESTE="Sim",$A127&gt;=13,$A127&lt;=IN_PRAZO,MONTH($B127)=5),PGBL_BENEFICIO,0))</f>
        <v>0</v>
      </c>
      <c r="BP127" s="180" t="n">
        <f aca="false">BO127*$F$24</f>
        <v>0</v>
      </c>
      <c r="BQ127" s="180" t="n">
        <f aca="false">BN127*$F$19</f>
        <v>2551.74025000274</v>
      </c>
      <c r="BR127" s="180" t="n">
        <f aca="false">BN127*$F$22</f>
        <v>325.851291292266</v>
      </c>
      <c r="BS127" s="180" t="n">
        <f aca="false">$F$23*MAX(0,BQ127-BN127*$F$18)</f>
        <v>0</v>
      </c>
      <c r="BT127" s="180" t="n">
        <f aca="false">IF(AND($F$27=1,OR(MONTH($B127)=5,MONTH($B127)=11)),MAX(0,$F$28*MAX(0,(BN127+BQ127-BR127-BS127+BO127-BP127)+BW126-BV127)-BW126),0)</f>
        <v>0</v>
      </c>
      <c r="BU127" s="181" t="n">
        <f aca="false">BN127+BQ127-BR127-BS127+BO127-BP127-BT127</f>
        <v>262906.921992523</v>
      </c>
      <c r="BV127" s="180" t="n">
        <f aca="false">BV126+BO127-BP127</f>
        <v>150000</v>
      </c>
      <c r="BW127" s="180" t="n">
        <f aca="false">BW126+BT127</f>
        <v>0</v>
      </c>
      <c r="BX127" s="180" t="n">
        <f aca="false">BU127+BW127-BV127</f>
        <v>112906.921992523</v>
      </c>
      <c r="BY127" s="180" t="n">
        <f aca="false">MAX(0,IFERROR(INDEX(TAB_IR,MATCH($C127,TAB_IR_DIAS,1),MATCH($F$8,TAB_IR_REGIMES,0)),0)*IF($F$26=2,BU127,MAX(0,BX127))-BW127)</f>
        <v>65726.7304981307</v>
      </c>
      <c r="BZ127" s="181" t="n">
        <f aca="false">MAX(0,BU127-BY127-BU127*$F$25)</f>
        <v>197180.191494392</v>
      </c>
      <c r="CA127" s="180" t="n">
        <f aca="false">BZ127/$D127</f>
        <v>158920.498218536</v>
      </c>
      <c r="CC127" s="180" t="n">
        <f aca="false">CJ126</f>
        <v>225255.412955516</v>
      </c>
      <c r="CD127" s="180" t="n">
        <f aca="false">IF($G$9=0,0,IF($A127&gt;IN_PRAZO,0,IF(APORTE_CORRIGIDO="Sim",IN_APORTE*$D127,IN_APORTE))+IF(AND($G$35=1,PGBL_REINVESTE="Sim",$A127&gt;=13,$A127&lt;=IN_PRAZO,MONTH($B127)=5),PGBL_BENEFICIO,0))</f>
        <v>0</v>
      </c>
      <c r="CE127" s="180" t="n">
        <f aca="false">CD127*$G$24</f>
        <v>0</v>
      </c>
      <c r="CF127" s="180" t="n">
        <f aca="false">CC127*$G$19</f>
        <v>1837.45918538945</v>
      </c>
      <c r="CG127" s="180" t="n">
        <f aca="false">CC127*$G$22</f>
        <v>187.712844129597</v>
      </c>
      <c r="CH127" s="180" t="n">
        <f aca="false">$G$23*MAX(0,CF127-CC127*$G$18)</f>
        <v>0</v>
      </c>
      <c r="CI127" s="180" t="n">
        <f aca="false">IF(AND($G$27=1,OR(MONTH($B127)=5,MONTH($B127)=11)),MAX(0,$G$28*MAX(0,(CC127+CF127-CG127-CH127+CD127-CE127)+CL126-CK127)-CL126),0)</f>
        <v>0</v>
      </c>
      <c r="CJ127" s="181" t="n">
        <f aca="false">CC127+CF127-CG127-CH127+CD127-CE127-CI127</f>
        <v>226905.159296776</v>
      </c>
      <c r="CK127" s="180" t="n">
        <f aca="false">CK126+CD127-CE127</f>
        <v>150000</v>
      </c>
      <c r="CL127" s="180" t="n">
        <f aca="false">CL126+CI127</f>
        <v>12704.4383315834</v>
      </c>
      <c r="CM127" s="180" t="n">
        <f aca="false">CJ127+CL127-CK127</f>
        <v>89609.5976283594</v>
      </c>
      <c r="CN127" s="180" t="n">
        <f aca="false">MAX(0,IFERROR(INDEX(TAB_IR,MATCH($C127,TAB_IR_DIAS,1),MATCH($G$8,TAB_IR_REGIMES,0)),0)*IF($G$26=2,CJ127,MAX(0,CM127))-CL127)</f>
        <v>737.001312670484</v>
      </c>
      <c r="CO127" s="181" t="n">
        <f aca="false">MAX(0,CJ127-CN127-CJ127*$G$25)</f>
        <v>226168.157984106</v>
      </c>
      <c r="CP127" s="180" t="n">
        <f aca="false">CO127/$D127</f>
        <v>182283.808914066</v>
      </c>
    </row>
    <row r="128" customFormat="false" ht="12" hidden="false" customHeight="true" outlineLevel="0" collapsed="false">
      <c r="A128" s="177" t="n">
        <v>67</v>
      </c>
      <c r="B128" s="178" t="n">
        <f aca="false">EDATE(DATA_INICIO,$A128)</f>
        <v>48296</v>
      </c>
      <c r="C128" s="177" t="n">
        <f aca="false">$A128*30</f>
        <v>2010</v>
      </c>
      <c r="D128" s="179" t="n">
        <f aca="false">(1+IPCA_CENARIO)^($A128/12)</f>
        <v>1.24480926217279</v>
      </c>
      <c r="F128" s="180" t="n">
        <f aca="false">M127</f>
        <v>276730.901506268</v>
      </c>
      <c r="G128" s="180" t="n">
        <f aca="false">IF($B$9=0,0,IF($A128&gt;IN_PRAZO,0,IF(APORTE_CORRIGIDO="Sim",IN_APORTE*$D128,IN_APORTE))+IF(AND($B$35=1,PGBL_REINVESTE="Sim",$A128&gt;=13,$A128&lt;=IN_PRAZO,MONTH($B128)=5),PGBL_BENEFICIO,0))</f>
        <v>0</v>
      </c>
      <c r="H128" s="180" t="n">
        <f aca="false">G128*$B$24</f>
        <v>0</v>
      </c>
      <c r="I128" s="180" t="n">
        <f aca="false">F128*$B$19</f>
        <v>2625.84222299347</v>
      </c>
      <c r="J128" s="180" t="n">
        <f aca="false">F128*$B$22</f>
        <v>46.1218169177113</v>
      </c>
      <c r="K128" s="180" t="n">
        <f aca="false">$B$23*MAX(0,I128-F128*$B$18)</f>
        <v>0</v>
      </c>
      <c r="L128" s="180" t="n">
        <f aca="false">IF(AND($B$27=1,OR(MONTH($B128)=5,MONTH($B128)=11)),MAX(0,$B$28*MAX(0,(F128+I128-J128-K128+G128-H128)+O127-N128)-O127),0)</f>
        <v>0</v>
      </c>
      <c r="M128" s="181" t="n">
        <f aca="false">F128+I128-J128-K128+G128-H128-L128</f>
        <v>279310.621912343</v>
      </c>
      <c r="N128" s="180" t="n">
        <f aca="false">N127+G128-H128</f>
        <v>150000</v>
      </c>
      <c r="O128" s="180" t="n">
        <f aca="false">O127+L128</f>
        <v>0</v>
      </c>
      <c r="P128" s="180" t="n">
        <f aca="false">M128+O128-N128</f>
        <v>129310.621912343</v>
      </c>
      <c r="Q128" s="180" t="n">
        <f aca="false">MAX(0,IFERROR(INDEX(TAB_IR,MATCH($C128,TAB_IR_DIAS,1),MATCH($B$8,TAB_IR_REGIMES,0)),0)*IF($B$26=2,M128,MAX(0,P128))-O128)</f>
        <v>19396.5932868515</v>
      </c>
      <c r="R128" s="181" t="n">
        <f aca="false">MAX(0,M128-Q128-M128*$B$25)</f>
        <v>259914.028625492</v>
      </c>
      <c r="S128" s="180" t="n">
        <f aca="false">R128/$D128</f>
        <v>208798.276590436</v>
      </c>
      <c r="U128" s="180" t="n">
        <f aca="false">AB127</f>
        <v>253640.094799422</v>
      </c>
      <c r="V128" s="180" t="n">
        <f aca="false">IF($C$9=0,0,IF($A128&gt;IN_PRAZO,0,IF(APORTE_CORRIGIDO="Sim",IN_APORTE*$D128,IN_APORTE))+IF(AND($C$35=1,PGBL_REINVESTE="Sim",$A128&gt;=13,$A128&lt;=IN_PRAZO,MONTH($B128)=5),PGBL_BENEFICIO,0))</f>
        <v>0</v>
      </c>
      <c r="W128" s="180" t="n">
        <f aca="false">V128*$C$24</f>
        <v>0</v>
      </c>
      <c r="X128" s="180" t="n">
        <f aca="false">U128*$C$19</f>
        <v>2068.99943427457</v>
      </c>
      <c r="Y128" s="180" t="n">
        <f aca="false">U128*$C$22</f>
        <v>42.273349133237</v>
      </c>
      <c r="Z128" s="180" t="n">
        <f aca="false">$C$23*MAX(0,X128-U128*$C$18)</f>
        <v>0</v>
      </c>
      <c r="AA128" s="180" t="n">
        <f aca="false">IF(AND($C$27=1,OR(MONTH($B128)=5,MONTH($B128)=11)),MAX(0,$C$28*MAX(0,(U128+X128-Y128-Z128+V128-W128)+AD127-AC128)-AD127),0)</f>
        <v>0</v>
      </c>
      <c r="AB128" s="181" t="n">
        <f aca="false">U128+X128-Y128-Z128+V128-W128-AA128</f>
        <v>255666.820884563</v>
      </c>
      <c r="AC128" s="180" t="n">
        <f aca="false">AC127+V128-W128</f>
        <v>150000</v>
      </c>
      <c r="AD128" s="180" t="n">
        <f aca="false">AD127+AA128</f>
        <v>0</v>
      </c>
      <c r="AE128" s="180" t="n">
        <f aca="false">AB128+AD128-AC128</f>
        <v>105666.820884563</v>
      </c>
      <c r="AF128" s="180" t="n">
        <f aca="false">MAX(0,IFERROR(INDEX(TAB_IR,MATCH($C128,TAB_IR_DIAS,1),MATCH($C$8,TAB_IR_REGIMES,0)),0)*IF($C$26=2,AB128,MAX(0,AE128))-AD128)</f>
        <v>15850.0231326845</v>
      </c>
      <c r="AG128" s="181" t="n">
        <f aca="false">MAX(0,AB128-AF128-AB128*$C$25)</f>
        <v>239816.797751879</v>
      </c>
      <c r="AH128" s="180" t="n">
        <f aca="false">AG128/$D128</f>
        <v>192653.449037873</v>
      </c>
      <c r="AJ128" s="180" t="n">
        <f aca="false">AQ127</f>
        <v>237813.141234302</v>
      </c>
      <c r="AK128" s="180" t="n">
        <f aca="false">IF($D$9=0,0,IF($A128&gt;IN_PRAZO,0,IF(APORTE_CORRIGIDO="Sim",IN_APORTE*$D128,IN_APORTE))+IF(AND($D$35=1,PGBL_REINVESTE="Sim",$A128&gt;=13,$A128&lt;=IN_PRAZO,MONTH($B128)=5),PGBL_BENEFICIO,0))</f>
        <v>0</v>
      </c>
      <c r="AL128" s="180" t="n">
        <f aca="false">AK128*$D$24</f>
        <v>0</v>
      </c>
      <c r="AM128" s="180" t="n">
        <f aca="false">AJ128*$D$19</f>
        <v>2137.63028095606</v>
      </c>
      <c r="AN128" s="180" t="n">
        <f aca="false">AJ128*$D$22</f>
        <v>198.177617695252</v>
      </c>
      <c r="AO128" s="180" t="n">
        <f aca="false">$D$23*MAX(0,AM128-AJ128*$D$18)</f>
        <v>0</v>
      </c>
      <c r="AP128" s="180" t="n">
        <f aca="false">IF(AND($D$27=1,OR(MONTH($B128)=5,MONTH($B128)=11)),MAX(0,$D$28*MAX(0,(AJ128+AM128-AN128-AO128+AK128-AL128)+AS127-AR128)-AS127),0)</f>
        <v>0</v>
      </c>
      <c r="AQ128" s="181" t="n">
        <f aca="false">AJ128+AM128-AN128-AO128+AK128-AL128-AP128</f>
        <v>239752.593897563</v>
      </c>
      <c r="AR128" s="180" t="n">
        <f aca="false">AR127+AK128-AL128</f>
        <v>150000</v>
      </c>
      <c r="AS128" s="180" t="n">
        <f aca="false">AS127+AP128</f>
        <v>14486.1901002691</v>
      </c>
      <c r="AT128" s="180" t="n">
        <f aca="false">AQ128+AS128-AR128</f>
        <v>104238.783997832</v>
      </c>
      <c r="AU128" s="180" t="n">
        <f aca="false">MAX(0,IFERROR(INDEX(TAB_IR,MATCH($C128,TAB_IR_DIAS,1),MATCH($D$8,TAB_IR_REGIMES,0)),0)*IF($D$26=2,AQ128,MAX(0,AT128))-AS128)</f>
        <v>1149.62749940572</v>
      </c>
      <c r="AV128" s="181" t="n">
        <f aca="false">MAX(0,AQ128-AU128-AQ128*$D$25)</f>
        <v>238602.966398157</v>
      </c>
      <c r="AW128" s="180" t="n">
        <f aca="false">AV128/$D128</f>
        <v>191678.334704611</v>
      </c>
      <c r="AY128" s="180" t="n">
        <f aca="false">BF127</f>
        <v>262906.921992523</v>
      </c>
      <c r="AZ128" s="180" t="n">
        <f aca="false">IF($E$9=0,0,IF($A128&gt;IN_PRAZO,0,IF(APORTE_CORRIGIDO="Sim",IN_APORTE*$D128,IN_APORTE))+IF(AND($E$35=1,PGBL_REINVESTE="Sim",$A128&gt;=13,$A128&lt;=IN_PRAZO,MONTH($B128)=5),PGBL_BENEFICIO,0))</f>
        <v>0</v>
      </c>
      <c r="BA128" s="180" t="n">
        <f aca="false">AZ128*$E$24</f>
        <v>0</v>
      </c>
      <c r="BB128" s="180" t="n">
        <f aca="false">AY128*$E$19</f>
        <v>2573.52891019744</v>
      </c>
      <c r="BC128" s="180" t="n">
        <f aca="false">AY128*$E$22</f>
        <v>328.633652490654</v>
      </c>
      <c r="BD128" s="180" t="n">
        <f aca="false">$E$23*MAX(0,BB128-AY128*$E$18)</f>
        <v>0</v>
      </c>
      <c r="BE128" s="180" t="n">
        <f aca="false">IF(AND($E$27=1,OR(MONTH($B128)=5,MONTH($B128)=11)),MAX(0,$E$28*MAX(0,(AY128+BB128-BC128-BD128+AZ128-BA128)+BH127-BG128)-BH127),0)</f>
        <v>0</v>
      </c>
      <c r="BF128" s="181" t="n">
        <f aca="false">AY128+BB128-BC128-BD128+AZ128-BA128-BE128</f>
        <v>265151.81725023</v>
      </c>
      <c r="BG128" s="180" t="n">
        <f aca="false">BG127+AZ128-BA128</f>
        <v>150000</v>
      </c>
      <c r="BH128" s="180" t="n">
        <f aca="false">BH127+BE128</f>
        <v>0</v>
      </c>
      <c r="BI128" s="180" t="n">
        <f aca="false">BF128+BH128-BG128</f>
        <v>115151.81725023</v>
      </c>
      <c r="BJ128" s="180" t="n">
        <f aca="false">MAX(0,IFERROR(INDEX(TAB_IR,MATCH($C128,TAB_IR_DIAS,1),MATCH($E$8,TAB_IR_REGIMES,0)),0)*IF($E$26=2,BF128,MAX(0,BI128))-BH128)</f>
        <v>28787.9543125574</v>
      </c>
      <c r="BK128" s="181" t="n">
        <f aca="false">MAX(0,BF128-BJ128-BF128*$E$25)</f>
        <v>236363.862937672</v>
      </c>
      <c r="BL128" s="180" t="n">
        <f aca="false">BK128/$D128</f>
        <v>189879.582455149</v>
      </c>
      <c r="BN128" s="180" t="n">
        <f aca="false">BU127</f>
        <v>262906.921992523</v>
      </c>
      <c r="BO128" s="180" t="n">
        <f aca="false">IF($F$9=0,0,IF($A128&gt;IN_PRAZO,0,IF(APORTE_CORRIGIDO="Sim",IN_APORTE*$D128,IN_APORTE))+IF(AND($F$35=1,PGBL_REINVESTE="Sim",$A128&gt;=13,$A128&lt;=IN_PRAZO,MONTH($B128)=5),PGBL_BENEFICIO,0))</f>
        <v>0</v>
      </c>
      <c r="BP128" s="180" t="n">
        <f aca="false">BO128*$F$24</f>
        <v>0</v>
      </c>
      <c r="BQ128" s="180" t="n">
        <f aca="false">BN128*$F$19</f>
        <v>2573.52891019744</v>
      </c>
      <c r="BR128" s="180" t="n">
        <f aca="false">BN128*$F$22</f>
        <v>328.633652490654</v>
      </c>
      <c r="BS128" s="180" t="n">
        <f aca="false">$F$23*MAX(0,BQ128-BN128*$F$18)</f>
        <v>0</v>
      </c>
      <c r="BT128" s="180" t="n">
        <f aca="false">IF(AND($F$27=1,OR(MONTH($B128)=5,MONTH($B128)=11)),MAX(0,$F$28*MAX(0,(BN128+BQ128-BR128-BS128+BO128-BP128)+BW127-BV128)-BW127),0)</f>
        <v>0</v>
      </c>
      <c r="BU128" s="181" t="n">
        <f aca="false">BN128+BQ128-BR128-BS128+BO128-BP128-BT128</f>
        <v>265151.81725023</v>
      </c>
      <c r="BV128" s="180" t="n">
        <f aca="false">BV127+BO128-BP128</f>
        <v>150000</v>
      </c>
      <c r="BW128" s="180" t="n">
        <f aca="false">BW127+BT128</f>
        <v>0</v>
      </c>
      <c r="BX128" s="180" t="n">
        <f aca="false">BU128+BW128-BV128</f>
        <v>115151.81725023</v>
      </c>
      <c r="BY128" s="180" t="n">
        <f aca="false">MAX(0,IFERROR(INDEX(TAB_IR,MATCH($C128,TAB_IR_DIAS,1),MATCH($F$8,TAB_IR_REGIMES,0)),0)*IF($F$26=2,BU128,MAX(0,BX128))-BW128)</f>
        <v>66287.9543125574</v>
      </c>
      <c r="BZ128" s="181" t="n">
        <f aca="false">MAX(0,BU128-BY128-BU128*$F$25)</f>
        <v>198863.862937672</v>
      </c>
      <c r="CA128" s="180" t="n">
        <f aca="false">BZ128/$D128</f>
        <v>159754.485269943</v>
      </c>
      <c r="CC128" s="180" t="n">
        <f aca="false">CJ127</f>
        <v>226905.159296776</v>
      </c>
      <c r="CD128" s="180" t="n">
        <f aca="false">IF($G$9=0,0,IF($A128&gt;IN_PRAZO,0,IF(APORTE_CORRIGIDO="Sim",IN_APORTE*$D128,IN_APORTE))+IF(AND($G$35=1,PGBL_REINVESTE="Sim",$A128&gt;=13,$A128&lt;=IN_PRAZO,MONTH($B128)=5),PGBL_BENEFICIO,0))</f>
        <v>0</v>
      </c>
      <c r="CE128" s="180" t="n">
        <f aca="false">CD128*$G$24</f>
        <v>0</v>
      </c>
      <c r="CF128" s="180" t="n">
        <f aca="false">CC128*$G$19</f>
        <v>1850.91653821634</v>
      </c>
      <c r="CG128" s="180" t="n">
        <f aca="false">CC128*$G$22</f>
        <v>189.087632747313</v>
      </c>
      <c r="CH128" s="180" t="n">
        <f aca="false">$G$23*MAX(0,CF128-CC128*$G$18)</f>
        <v>0</v>
      </c>
      <c r="CI128" s="180" t="n">
        <f aca="false">IF(AND($G$27=1,OR(MONTH($B128)=5,MONTH($B128)=11)),MAX(0,$G$28*MAX(0,(CC128+CF128-CG128-CH128+CD128-CE128)+CL127-CK128)-CL127),0)</f>
        <v>0</v>
      </c>
      <c r="CJ128" s="181" t="n">
        <f aca="false">CC128+CF128-CG128-CH128+CD128-CE128-CI128</f>
        <v>228566.988202245</v>
      </c>
      <c r="CK128" s="180" t="n">
        <f aca="false">CK127+CD128-CE128</f>
        <v>150000</v>
      </c>
      <c r="CL128" s="180" t="n">
        <f aca="false">CL127+CI128</f>
        <v>12704.4383315834</v>
      </c>
      <c r="CM128" s="180" t="n">
        <f aca="false">CJ128+CL128-CK128</f>
        <v>91271.4265338285</v>
      </c>
      <c r="CN128" s="180" t="n">
        <f aca="false">MAX(0,IFERROR(INDEX(TAB_IR,MATCH($C128,TAB_IR_DIAS,1),MATCH($G$8,TAB_IR_REGIMES,0)),0)*IF($G$26=2,CJ128,MAX(0,CM128))-CL128)</f>
        <v>986.275648490839</v>
      </c>
      <c r="CO128" s="181" t="n">
        <f aca="false">MAX(0,CJ128-CN128-CJ128*$G$25)</f>
        <v>227580.712553754</v>
      </c>
      <c r="CP128" s="180" t="n">
        <f aca="false">CO128/$D128</f>
        <v>182823.762217607</v>
      </c>
    </row>
    <row r="129" customFormat="false" ht="12" hidden="false" customHeight="true" outlineLevel="0" collapsed="false">
      <c r="A129" s="177" t="n">
        <v>68</v>
      </c>
      <c r="B129" s="178" t="n">
        <f aca="false">EDATE(DATA_INICIO,$A129)</f>
        <v>48327</v>
      </c>
      <c r="C129" s="177" t="n">
        <f aca="false">$A129*30</f>
        <v>2040</v>
      </c>
      <c r="D129" s="179" t="n">
        <f aca="false">(1+IPCA_CENARIO)^($A129/12)</f>
        <v>1.24888444377562</v>
      </c>
      <c r="F129" s="180" t="n">
        <f aca="false">M128</f>
        <v>279310.621912343</v>
      </c>
      <c r="G129" s="180" t="n">
        <f aca="false">IF($B$9=0,0,IF($A129&gt;IN_PRAZO,0,IF(APORTE_CORRIGIDO="Sim",IN_APORTE*$D129,IN_APORTE))+IF(AND($B$35=1,PGBL_REINVESTE="Sim",$A129&gt;=13,$A129&lt;=IN_PRAZO,MONTH($B129)=5),PGBL_BENEFICIO,0))</f>
        <v>0</v>
      </c>
      <c r="H129" s="180" t="n">
        <f aca="false">G129*$B$24</f>
        <v>0</v>
      </c>
      <c r="I129" s="180" t="n">
        <f aca="false">F129*$B$19</f>
        <v>2650.32065575584</v>
      </c>
      <c r="J129" s="180" t="n">
        <f aca="false">F129*$B$22</f>
        <v>46.5517703187239</v>
      </c>
      <c r="K129" s="180" t="n">
        <f aca="false">$B$23*MAX(0,I129-F129*$B$18)</f>
        <v>0</v>
      </c>
      <c r="L129" s="180" t="n">
        <f aca="false">IF(AND($B$27=1,OR(MONTH($B129)=5,MONTH($B129)=11)),MAX(0,$B$28*MAX(0,(F129+I129-J129-K129+G129-H129)+O128-N129)-O128),0)</f>
        <v>0</v>
      </c>
      <c r="M129" s="181" t="n">
        <f aca="false">F129+I129-J129-K129+G129-H129-L129</f>
        <v>281914.390797781</v>
      </c>
      <c r="N129" s="180" t="n">
        <f aca="false">N128+G129-H129</f>
        <v>150000</v>
      </c>
      <c r="O129" s="180" t="n">
        <f aca="false">O128+L129</f>
        <v>0</v>
      </c>
      <c r="P129" s="180" t="n">
        <f aca="false">M129+O129-N129</f>
        <v>131914.39079778</v>
      </c>
      <c r="Q129" s="180" t="n">
        <f aca="false">MAX(0,IFERROR(INDEX(TAB_IR,MATCH($C129,TAB_IR_DIAS,1),MATCH($B$8,TAB_IR_REGIMES,0)),0)*IF($B$26=2,M129,MAX(0,P129))-O129)</f>
        <v>19787.1586196671</v>
      </c>
      <c r="R129" s="181" t="n">
        <f aca="false">MAX(0,M129-Q129-M129*$B$25)</f>
        <v>262127.232178113</v>
      </c>
      <c r="S129" s="180" t="n">
        <f aca="false">R129/$D129</f>
        <v>209889.100216231</v>
      </c>
      <c r="U129" s="180" t="n">
        <f aca="false">AB128</f>
        <v>255666.820884563</v>
      </c>
      <c r="V129" s="180" t="n">
        <f aca="false">IF($C$9=0,0,IF($A129&gt;IN_PRAZO,0,IF(APORTE_CORRIGIDO="Sim",IN_APORTE*$D129,IN_APORTE))+IF(AND($C$35=1,PGBL_REINVESTE="Sim",$A129&gt;=13,$A129&lt;=IN_PRAZO,MONTH($B129)=5),PGBL_BENEFICIO,0))</f>
        <v>0</v>
      </c>
      <c r="W129" s="180" t="n">
        <f aca="false">V129*$C$24</f>
        <v>0</v>
      </c>
      <c r="X129" s="180" t="n">
        <f aca="false">U129*$C$19</f>
        <v>2085.53189585917</v>
      </c>
      <c r="Y129" s="180" t="n">
        <f aca="false">U129*$C$22</f>
        <v>42.6111368140939</v>
      </c>
      <c r="Z129" s="180" t="n">
        <f aca="false">$C$23*MAX(0,X129-U129*$C$18)</f>
        <v>0</v>
      </c>
      <c r="AA129" s="180" t="n">
        <f aca="false">IF(AND($C$27=1,OR(MONTH($B129)=5,MONTH($B129)=11)),MAX(0,$C$28*MAX(0,(U129+X129-Y129-Z129+V129-W129)+AD128-AC129)-AD128),0)</f>
        <v>0</v>
      </c>
      <c r="AB129" s="181" t="n">
        <f aca="false">U129+X129-Y129-Z129+V129-W129-AA129</f>
        <v>257709.741643608</v>
      </c>
      <c r="AC129" s="180" t="n">
        <f aca="false">AC128+V129-W129</f>
        <v>150000</v>
      </c>
      <c r="AD129" s="180" t="n">
        <f aca="false">AD128+AA129</f>
        <v>0</v>
      </c>
      <c r="AE129" s="180" t="n">
        <f aca="false">AB129+AD129-AC129</f>
        <v>107709.741643608</v>
      </c>
      <c r="AF129" s="180" t="n">
        <f aca="false">MAX(0,IFERROR(INDEX(TAB_IR,MATCH($C129,TAB_IR_DIAS,1),MATCH($C$8,TAB_IR_REGIMES,0)),0)*IF($C$26=2,AB129,MAX(0,AE129))-AD129)</f>
        <v>16156.4612465412</v>
      </c>
      <c r="AG129" s="181" t="n">
        <f aca="false">MAX(0,AB129-AF129-AB129*$C$25)</f>
        <v>241553.280397067</v>
      </c>
      <c r="AH129" s="180" t="n">
        <f aca="false">AG129/$D129</f>
        <v>193415.236774673</v>
      </c>
      <c r="AJ129" s="180" t="n">
        <f aca="false">AQ128</f>
        <v>239752.593897563</v>
      </c>
      <c r="AK129" s="180" t="n">
        <f aca="false">IF($D$9=0,0,IF($A129&gt;IN_PRAZO,0,IF(APORTE_CORRIGIDO="Sim",IN_APORTE*$D129,IN_APORTE))+IF(AND($D$35=1,PGBL_REINVESTE="Sim",$A129&gt;=13,$A129&lt;=IN_PRAZO,MONTH($B129)=5),PGBL_BENEFICIO,0))</f>
        <v>0</v>
      </c>
      <c r="AL129" s="180" t="n">
        <f aca="false">AK129*$D$24</f>
        <v>0</v>
      </c>
      <c r="AM129" s="180" t="n">
        <f aca="false">AJ129*$D$19</f>
        <v>2155.06343338804</v>
      </c>
      <c r="AN129" s="180" t="n">
        <f aca="false">AJ129*$D$22</f>
        <v>199.793828247969</v>
      </c>
      <c r="AO129" s="180" t="n">
        <f aca="false">$D$23*MAX(0,AM129-AJ129*$D$18)</f>
        <v>0</v>
      </c>
      <c r="AP129" s="180" t="n">
        <f aca="false">IF(AND($D$27=1,OR(MONTH($B129)=5,MONTH($B129)=11)),MAX(0,$D$28*MAX(0,(AJ129+AM129-AN129-AO129+AK129-AL129)+AS128-AR129)-AS128),0)</f>
        <v>0</v>
      </c>
      <c r="AQ129" s="181" t="n">
        <f aca="false">AJ129+AM129-AN129-AO129+AK129-AL129-AP129</f>
        <v>241707.863502703</v>
      </c>
      <c r="AR129" s="180" t="n">
        <f aca="false">AR128+AK129-AL129</f>
        <v>150000</v>
      </c>
      <c r="AS129" s="180" t="n">
        <f aca="false">AS128+AP129</f>
        <v>14486.1901002691</v>
      </c>
      <c r="AT129" s="180" t="n">
        <f aca="false">AQ129+AS129-AR129</f>
        <v>106194.053602972</v>
      </c>
      <c r="AU129" s="180" t="n">
        <f aca="false">MAX(0,IFERROR(INDEX(TAB_IR,MATCH($C129,TAB_IR_DIAS,1),MATCH($D$8,TAB_IR_REGIMES,0)),0)*IF($D$26=2,AQ129,MAX(0,AT129))-AS129)</f>
        <v>1442.91794017673</v>
      </c>
      <c r="AV129" s="181" t="n">
        <f aca="false">MAX(0,AQ129-AU129-AQ129*$D$25)</f>
        <v>240264.945562526</v>
      </c>
      <c r="AW129" s="180" t="n">
        <f aca="false">AV129/$D129</f>
        <v>192383.648271059</v>
      </c>
      <c r="AY129" s="180" t="n">
        <f aca="false">BF128</f>
        <v>265151.81725023</v>
      </c>
      <c r="AZ129" s="180" t="n">
        <f aca="false">IF($E$9=0,0,IF($A129&gt;IN_PRAZO,0,IF(APORTE_CORRIGIDO="Sim",IN_APORTE*$D129,IN_APORTE))+IF(AND($E$35=1,PGBL_REINVESTE="Sim",$A129&gt;=13,$A129&lt;=IN_PRAZO,MONTH($B129)=5),PGBL_BENEFICIO,0))</f>
        <v>0</v>
      </c>
      <c r="BA129" s="180" t="n">
        <f aca="false">AZ129*$E$24</f>
        <v>0</v>
      </c>
      <c r="BB129" s="180" t="n">
        <f aca="false">AY129*$E$19</f>
        <v>2595.50361821307</v>
      </c>
      <c r="BC129" s="180" t="n">
        <f aca="false">AY129*$E$22</f>
        <v>331.439771562787</v>
      </c>
      <c r="BD129" s="180" t="n">
        <f aca="false">$E$23*MAX(0,BB129-AY129*$E$18)</f>
        <v>0</v>
      </c>
      <c r="BE129" s="180" t="n">
        <f aca="false">IF(AND($E$27=1,OR(MONTH($B129)=5,MONTH($B129)=11)),MAX(0,$E$28*MAX(0,(AY129+BB129-BC129-BD129+AZ129-BA129)+BH128-BG129)-BH128),0)</f>
        <v>0</v>
      </c>
      <c r="BF129" s="181" t="n">
        <f aca="false">AY129+BB129-BC129-BD129+AZ129-BA129-BE129</f>
        <v>267415.88109688</v>
      </c>
      <c r="BG129" s="180" t="n">
        <f aca="false">BG128+AZ129-BA129</f>
        <v>150000</v>
      </c>
      <c r="BH129" s="180" t="n">
        <f aca="false">BH128+BE129</f>
        <v>0</v>
      </c>
      <c r="BI129" s="180" t="n">
        <f aca="false">BF129+BH129-BG129</f>
        <v>117415.88109688</v>
      </c>
      <c r="BJ129" s="180" t="n">
        <f aca="false">MAX(0,IFERROR(INDEX(TAB_IR,MATCH($C129,TAB_IR_DIAS,1),MATCH($E$8,TAB_IR_REGIMES,0)),0)*IF($E$26=2,BF129,MAX(0,BI129))-BH129)</f>
        <v>29353.97027422</v>
      </c>
      <c r="BK129" s="181" t="n">
        <f aca="false">MAX(0,BF129-BJ129-BF129*$E$25)</f>
        <v>238061.91082266</v>
      </c>
      <c r="BL129" s="180" t="n">
        <f aca="false">BK129/$D129</f>
        <v>190619.646204378</v>
      </c>
      <c r="BN129" s="180" t="n">
        <f aca="false">BU128</f>
        <v>265151.81725023</v>
      </c>
      <c r="BO129" s="180" t="n">
        <f aca="false">IF($F$9=0,0,IF($A129&gt;IN_PRAZO,0,IF(APORTE_CORRIGIDO="Sim",IN_APORTE*$D129,IN_APORTE))+IF(AND($F$35=1,PGBL_REINVESTE="Sim",$A129&gt;=13,$A129&lt;=IN_PRAZO,MONTH($B129)=5),PGBL_BENEFICIO,0))</f>
        <v>0</v>
      </c>
      <c r="BP129" s="180" t="n">
        <f aca="false">BO129*$F$24</f>
        <v>0</v>
      </c>
      <c r="BQ129" s="180" t="n">
        <f aca="false">BN129*$F$19</f>
        <v>2595.50361821307</v>
      </c>
      <c r="BR129" s="180" t="n">
        <f aca="false">BN129*$F$22</f>
        <v>331.439771562787</v>
      </c>
      <c r="BS129" s="180" t="n">
        <f aca="false">$F$23*MAX(0,BQ129-BN129*$F$18)</f>
        <v>0</v>
      </c>
      <c r="BT129" s="180" t="n">
        <f aca="false">IF(AND($F$27=1,OR(MONTH($B129)=5,MONTH($B129)=11)),MAX(0,$F$28*MAX(0,(BN129+BQ129-BR129-BS129+BO129-BP129)+BW128-BV129)-BW128),0)</f>
        <v>0</v>
      </c>
      <c r="BU129" s="181" t="n">
        <f aca="false">BN129+BQ129-BR129-BS129+BO129-BP129-BT129</f>
        <v>267415.88109688</v>
      </c>
      <c r="BV129" s="180" t="n">
        <f aca="false">BV128+BO129-BP129</f>
        <v>150000</v>
      </c>
      <c r="BW129" s="180" t="n">
        <f aca="false">BW128+BT129</f>
        <v>0</v>
      </c>
      <c r="BX129" s="180" t="n">
        <f aca="false">BU129+BW129-BV129</f>
        <v>117415.88109688</v>
      </c>
      <c r="BY129" s="180" t="n">
        <f aca="false">MAX(0,IFERROR(INDEX(TAB_IR,MATCH($C129,TAB_IR_DIAS,1),MATCH($F$8,TAB_IR_REGIMES,0)),0)*IF($F$26=2,BU129,MAX(0,BX129))-BW129)</f>
        <v>66853.97027422</v>
      </c>
      <c r="BZ129" s="181" t="n">
        <f aca="false">MAX(0,BU129-BY129-BU129*$F$25)</f>
        <v>200561.91082266</v>
      </c>
      <c r="CA129" s="180" t="n">
        <f aca="false">BZ129/$D129</f>
        <v>160592.848939909</v>
      </c>
      <c r="CC129" s="180" t="n">
        <f aca="false">CJ128</f>
        <v>228566.988202245</v>
      </c>
      <c r="CD129" s="180" t="n">
        <f aca="false">IF($G$9=0,0,IF($A129&gt;IN_PRAZO,0,IF(APORTE_CORRIGIDO="Sim",IN_APORTE*$D129,IN_APORTE))+IF(AND($G$35=1,PGBL_REINVESTE="Sim",$A129&gt;=13,$A129&lt;=IN_PRAZO,MONTH($B129)=5),PGBL_BENEFICIO,0))</f>
        <v>0</v>
      </c>
      <c r="CE129" s="180" t="n">
        <f aca="false">CD129*$G$24</f>
        <v>0</v>
      </c>
      <c r="CF129" s="180" t="n">
        <f aca="false">CC129*$G$19</f>
        <v>1864.4724512434</v>
      </c>
      <c r="CG129" s="180" t="n">
        <f aca="false">CC129*$G$22</f>
        <v>190.472490168538</v>
      </c>
      <c r="CH129" s="180" t="n">
        <f aca="false">$G$23*MAX(0,CF129-CC129*$G$18)</f>
        <v>0</v>
      </c>
      <c r="CI129" s="180" t="n">
        <f aca="false">IF(AND($G$27=1,OR(MONTH($B129)=5,MONTH($B129)=11)),MAX(0,$G$28*MAX(0,(CC129+CF129-CG129-CH129+CD129-CE129)+CL128-CK129)-CL128),0)</f>
        <v>0</v>
      </c>
      <c r="CJ129" s="181" t="n">
        <f aca="false">CC129+CF129-CG129-CH129+CD129-CE129-CI129</f>
        <v>230240.98816332</v>
      </c>
      <c r="CK129" s="180" t="n">
        <f aca="false">CK128+CD129-CE129</f>
        <v>150000</v>
      </c>
      <c r="CL129" s="180" t="n">
        <f aca="false">CL128+CI129</f>
        <v>12704.4383315834</v>
      </c>
      <c r="CM129" s="180" t="n">
        <f aca="false">CJ129+CL129-CK129</f>
        <v>92945.4264949033</v>
      </c>
      <c r="CN129" s="180" t="n">
        <f aca="false">MAX(0,IFERROR(INDEX(TAB_IR,MATCH($C129,TAB_IR_DIAS,1),MATCH($G$8,TAB_IR_REGIMES,0)),0)*IF($G$26=2,CJ129,MAX(0,CM129))-CL129)</f>
        <v>1237.37564265207</v>
      </c>
      <c r="CO129" s="181" t="n">
        <f aca="false">MAX(0,CJ129-CN129-CJ129*$G$25)</f>
        <v>229003.612520668</v>
      </c>
      <c r="CP129" s="180" t="n">
        <f aca="false">CO129/$D129</f>
        <v>183366.534559711</v>
      </c>
    </row>
    <row r="130" customFormat="false" ht="12" hidden="false" customHeight="true" outlineLevel="0" collapsed="false">
      <c r="A130" s="177" t="n">
        <v>69</v>
      </c>
      <c r="B130" s="178" t="n">
        <f aca="false">EDATE(DATA_INICIO,$A130)</f>
        <v>48357</v>
      </c>
      <c r="C130" s="177" t="n">
        <f aca="false">$A130*30</f>
        <v>2070</v>
      </c>
      <c r="D130" s="179" t="n">
        <f aca="false">(1+IPCA_CENARIO)^($A130/12)</f>
        <v>1.25297296646258</v>
      </c>
      <c r="F130" s="180" t="n">
        <f aca="false">M129</f>
        <v>281914.390797781</v>
      </c>
      <c r="G130" s="180" t="n">
        <f aca="false">IF($B$9=0,0,IF($A130&gt;IN_PRAZO,0,IF(APORTE_CORRIGIDO="Sim",IN_APORTE*$D130,IN_APORTE))+IF(AND($B$35=1,PGBL_REINVESTE="Sim",$A130&gt;=13,$A130&lt;=IN_PRAZO,MONTH($B130)=5),PGBL_BENEFICIO,0))</f>
        <v>0</v>
      </c>
      <c r="H130" s="180" t="n">
        <f aca="false">G130*$B$24</f>
        <v>0</v>
      </c>
      <c r="I130" s="180" t="n">
        <f aca="false">F130*$B$19</f>
        <v>2675.02727955926</v>
      </c>
      <c r="J130" s="180" t="n">
        <f aca="false">F130*$B$22</f>
        <v>46.9857317996301</v>
      </c>
      <c r="K130" s="180" t="n">
        <f aca="false">$B$23*MAX(0,I130-F130*$B$18)</f>
        <v>0</v>
      </c>
      <c r="L130" s="180" t="n">
        <f aca="false">IF(AND($B$27=1,OR(MONTH($B130)=5,MONTH($B130)=11)),MAX(0,$B$28*MAX(0,(F130+I130-J130-K130+G130-H130)+O129-N130)-O129),0)</f>
        <v>0</v>
      </c>
      <c r="M130" s="181" t="n">
        <f aca="false">F130+I130-J130-K130+G130-H130-L130</f>
        <v>284542.43234554</v>
      </c>
      <c r="N130" s="180" t="n">
        <f aca="false">N129+G130-H130</f>
        <v>150000</v>
      </c>
      <c r="O130" s="180" t="n">
        <f aca="false">O129+L130</f>
        <v>0</v>
      </c>
      <c r="P130" s="180" t="n">
        <f aca="false">M130+O130-N130</f>
        <v>134542.43234554</v>
      </c>
      <c r="Q130" s="180" t="n">
        <f aca="false">MAX(0,IFERROR(INDEX(TAB_IR,MATCH($C130,TAB_IR_DIAS,1),MATCH($B$8,TAB_IR_REGIMES,0)),0)*IF($B$26=2,M130,MAX(0,P130))-O130)</f>
        <v>20181.364851831</v>
      </c>
      <c r="R130" s="181" t="n">
        <f aca="false">MAX(0,M130-Q130-M130*$B$25)</f>
        <v>264361.067493709</v>
      </c>
      <c r="S130" s="180" t="n">
        <f aca="false">R130/$D130</f>
        <v>210987.048060629</v>
      </c>
      <c r="U130" s="180" t="n">
        <f aca="false">AB129</f>
        <v>257709.741643608</v>
      </c>
      <c r="V130" s="180" t="n">
        <f aca="false">IF($C$9=0,0,IF($A130&gt;IN_PRAZO,0,IF(APORTE_CORRIGIDO="Sim",IN_APORTE*$D130,IN_APORTE))+IF(AND($C$35=1,PGBL_REINVESTE="Sim",$A130&gt;=13,$A130&lt;=IN_PRAZO,MONTH($B130)=5),PGBL_BENEFICIO,0))</f>
        <v>0</v>
      </c>
      <c r="W130" s="180" t="n">
        <f aca="false">V130*$C$24</f>
        <v>0</v>
      </c>
      <c r="X130" s="180" t="n">
        <f aca="false">U130*$C$19</f>
        <v>2102.19646104976</v>
      </c>
      <c r="Y130" s="180" t="n">
        <f aca="false">U130*$C$22</f>
        <v>42.951623607268</v>
      </c>
      <c r="Z130" s="180" t="n">
        <f aca="false">$C$23*MAX(0,X130-U130*$C$18)</f>
        <v>0</v>
      </c>
      <c r="AA130" s="180" t="n">
        <f aca="false">IF(AND($C$27=1,OR(MONTH($B130)=5,MONTH($B130)=11)),MAX(0,$C$28*MAX(0,(U130+X130-Y130-Z130+V130-W130)+AD129-AC130)-AD129),0)</f>
        <v>0</v>
      </c>
      <c r="AB130" s="181" t="n">
        <f aca="false">U130+X130-Y130-Z130+V130-W130-AA130</f>
        <v>259768.986481051</v>
      </c>
      <c r="AC130" s="180" t="n">
        <f aca="false">AC129+V130-W130</f>
        <v>150000</v>
      </c>
      <c r="AD130" s="180" t="n">
        <f aca="false">AD129+AA130</f>
        <v>0</v>
      </c>
      <c r="AE130" s="180" t="n">
        <f aca="false">AB130+AD130-AC130</f>
        <v>109768.986481051</v>
      </c>
      <c r="AF130" s="180" t="n">
        <f aca="false">MAX(0,IFERROR(INDEX(TAB_IR,MATCH($C130,TAB_IR_DIAS,1),MATCH($C$8,TAB_IR_REGIMES,0)),0)*IF($C$26=2,AB130,MAX(0,AE130))-AD130)</f>
        <v>16465.3479721576</v>
      </c>
      <c r="AG130" s="181" t="n">
        <f aca="false">MAX(0,AB130-AF130-AB130*$C$25)</f>
        <v>243303.638508893</v>
      </c>
      <c r="AH130" s="180" t="n">
        <f aca="false">AG130/$D130</f>
        <v>194181.075746426</v>
      </c>
      <c r="AJ130" s="180" t="n">
        <f aca="false">AQ129</f>
        <v>241707.863502703</v>
      </c>
      <c r="AK130" s="180" t="n">
        <f aca="false">IF($D$9=0,0,IF($A130&gt;IN_PRAZO,0,IF(APORTE_CORRIGIDO="Sim",IN_APORTE*$D130,IN_APORTE))+IF(AND($D$35=1,PGBL_REINVESTE="Sim",$A130&gt;=13,$A130&lt;=IN_PRAZO,MONTH($B130)=5),PGBL_BENEFICIO,0))</f>
        <v>0</v>
      </c>
      <c r="AL130" s="180" t="n">
        <f aca="false">AK130*$D$24</f>
        <v>0</v>
      </c>
      <c r="AM130" s="180" t="n">
        <f aca="false">AJ130*$D$19</f>
        <v>2172.63875951883</v>
      </c>
      <c r="AN130" s="180" t="n">
        <f aca="false">AJ130*$D$22</f>
        <v>201.423219585586</v>
      </c>
      <c r="AO130" s="180" t="n">
        <f aca="false">$D$23*MAX(0,AM130-AJ130*$D$18)</f>
        <v>0</v>
      </c>
      <c r="AP130" s="180" t="n">
        <f aca="false">IF(AND($D$27=1,OR(MONTH($B130)=5,MONTH($B130)=11)),MAX(0,$D$28*MAX(0,(AJ130+AM130-AN130-AO130+AK130-AL130)+AS129-AR130)-AS129),0)</f>
        <v>1738.60027116672</v>
      </c>
      <c r="AQ130" s="181" t="n">
        <f aca="false">AJ130+AM130-AN130-AO130+AK130-AL130-AP130</f>
        <v>241940.47877147</v>
      </c>
      <c r="AR130" s="180" t="n">
        <f aca="false">AR129+AK130-AL130</f>
        <v>150000</v>
      </c>
      <c r="AS130" s="180" t="n">
        <f aca="false">AS129+AP130</f>
        <v>16224.7903714358</v>
      </c>
      <c r="AT130" s="180" t="n">
        <f aca="false">AQ130+AS130-AR130</f>
        <v>108165.269142905</v>
      </c>
      <c r="AU130" s="180" t="n">
        <f aca="false">MAX(0,IFERROR(INDEX(TAB_IR,MATCH($C130,TAB_IR_DIAS,1),MATCH($D$8,TAB_IR_REGIMES,0)),0)*IF($D$26=2,AQ130,MAX(0,AT130))-AS130)</f>
        <v>0</v>
      </c>
      <c r="AV130" s="181" t="n">
        <f aca="false">MAX(0,AQ130-AU130-AQ130*$D$25)</f>
        <v>241940.47877147</v>
      </c>
      <c r="AW130" s="180" t="n">
        <f aca="false">AV130/$D130</f>
        <v>193093.135484416</v>
      </c>
      <c r="AY130" s="180" t="n">
        <f aca="false">BF129</f>
        <v>267415.88109688</v>
      </c>
      <c r="AZ130" s="180" t="n">
        <f aca="false">IF($E$9=0,0,IF($A130&gt;IN_PRAZO,0,IF(APORTE_CORRIGIDO="Sim",IN_APORTE*$D130,IN_APORTE))+IF(AND($E$35=1,PGBL_REINVESTE="Sim",$A130&gt;=13,$A130&lt;=IN_PRAZO,MONTH($B130)=5),PGBL_BENEFICIO,0))</f>
        <v>0</v>
      </c>
      <c r="BA130" s="180" t="n">
        <f aca="false">AZ130*$E$24</f>
        <v>0</v>
      </c>
      <c r="BB130" s="180" t="n">
        <f aca="false">AY130*$E$19</f>
        <v>2617.66596266459</v>
      </c>
      <c r="BC130" s="180" t="n">
        <f aca="false">AY130*$E$22</f>
        <v>334.2698513711</v>
      </c>
      <c r="BD130" s="180" t="n">
        <f aca="false">$E$23*MAX(0,BB130-AY130*$E$18)</f>
        <v>0</v>
      </c>
      <c r="BE130" s="180" t="n">
        <f aca="false">IF(AND($E$27=1,OR(MONTH($B130)=5,MONTH($B130)=11)),MAX(0,$E$28*MAX(0,(AY130+BB130-BC130-BD130+AZ130-BA130)+BH129-BG130)-BH129),0)</f>
        <v>0</v>
      </c>
      <c r="BF130" s="181" t="n">
        <f aca="false">AY130+BB130-BC130-BD130+AZ130-BA130-BE130</f>
        <v>269699.277208173</v>
      </c>
      <c r="BG130" s="180" t="n">
        <f aca="false">BG129+AZ130-BA130</f>
        <v>150000</v>
      </c>
      <c r="BH130" s="180" t="n">
        <f aca="false">BH129+BE130</f>
        <v>0</v>
      </c>
      <c r="BI130" s="180" t="n">
        <f aca="false">BF130+BH130-BG130</f>
        <v>119699.277208173</v>
      </c>
      <c r="BJ130" s="180" t="n">
        <f aca="false">MAX(0,IFERROR(INDEX(TAB_IR,MATCH($C130,TAB_IR_DIAS,1),MATCH($E$8,TAB_IR_REGIMES,0)),0)*IF($E$26=2,BF130,MAX(0,BI130))-BH130)</f>
        <v>29924.8193020433</v>
      </c>
      <c r="BK130" s="181" t="n">
        <f aca="false">MAX(0,BF130-BJ130-BF130*$E$25)</f>
        <v>239774.45790613</v>
      </c>
      <c r="BL130" s="180" t="n">
        <f aca="false">BK130/$D130</f>
        <v>191364.430298179</v>
      </c>
      <c r="BN130" s="180" t="n">
        <f aca="false">BU129</f>
        <v>267415.88109688</v>
      </c>
      <c r="BO130" s="180" t="n">
        <f aca="false">IF($F$9=0,0,IF($A130&gt;IN_PRAZO,0,IF(APORTE_CORRIGIDO="Sim",IN_APORTE*$D130,IN_APORTE))+IF(AND($F$35=1,PGBL_REINVESTE="Sim",$A130&gt;=13,$A130&lt;=IN_PRAZO,MONTH($B130)=5),PGBL_BENEFICIO,0))</f>
        <v>0</v>
      </c>
      <c r="BP130" s="180" t="n">
        <f aca="false">BO130*$F$24</f>
        <v>0</v>
      </c>
      <c r="BQ130" s="180" t="n">
        <f aca="false">BN130*$F$19</f>
        <v>2617.66596266459</v>
      </c>
      <c r="BR130" s="180" t="n">
        <f aca="false">BN130*$F$22</f>
        <v>334.2698513711</v>
      </c>
      <c r="BS130" s="180" t="n">
        <f aca="false">$F$23*MAX(0,BQ130-BN130*$F$18)</f>
        <v>0</v>
      </c>
      <c r="BT130" s="180" t="n">
        <f aca="false">IF(AND($F$27=1,OR(MONTH($B130)=5,MONTH($B130)=11)),MAX(0,$F$28*MAX(0,(BN130+BQ130-BR130-BS130+BO130-BP130)+BW129-BV130)-BW129),0)</f>
        <v>0</v>
      </c>
      <c r="BU130" s="181" t="n">
        <f aca="false">BN130+BQ130-BR130-BS130+BO130-BP130-BT130</f>
        <v>269699.277208173</v>
      </c>
      <c r="BV130" s="180" t="n">
        <f aca="false">BV129+BO130-BP130</f>
        <v>150000</v>
      </c>
      <c r="BW130" s="180" t="n">
        <f aca="false">BW129+BT130</f>
        <v>0</v>
      </c>
      <c r="BX130" s="180" t="n">
        <f aca="false">BU130+BW130-BV130</f>
        <v>119699.277208173</v>
      </c>
      <c r="BY130" s="180" t="n">
        <f aca="false">MAX(0,IFERROR(INDEX(TAB_IR,MATCH($C130,TAB_IR_DIAS,1),MATCH($F$8,TAB_IR_REGIMES,0)),0)*IF($F$26=2,BU130,MAX(0,BX130))-BW130)</f>
        <v>67424.8193020433</v>
      </c>
      <c r="BZ130" s="181" t="n">
        <f aca="false">MAX(0,BU130-BY130-BU130*$F$25)</f>
        <v>202274.45790613</v>
      </c>
      <c r="CA130" s="180" t="n">
        <f aca="false">BZ130/$D130</f>
        <v>161435.612196164</v>
      </c>
      <c r="CC130" s="180" t="n">
        <f aca="false">CJ129</f>
        <v>230240.98816332</v>
      </c>
      <c r="CD130" s="180" t="n">
        <f aca="false">IF($G$9=0,0,IF($A130&gt;IN_PRAZO,0,IF(APORTE_CORRIGIDO="Sim",IN_APORTE*$D130,IN_APORTE))+IF(AND($G$35=1,PGBL_REINVESTE="Sim",$A130&gt;=13,$A130&lt;=IN_PRAZO,MONTH($B130)=5),PGBL_BENEFICIO,0))</f>
        <v>0</v>
      </c>
      <c r="CE130" s="180" t="n">
        <f aca="false">CD130*$G$24</f>
        <v>0</v>
      </c>
      <c r="CF130" s="180" t="n">
        <f aca="false">CC130*$G$19</f>
        <v>1878.1276463149</v>
      </c>
      <c r="CG130" s="180" t="n">
        <f aca="false">CC130*$G$22</f>
        <v>191.8674901361</v>
      </c>
      <c r="CH130" s="180" t="n">
        <f aca="false">$G$23*MAX(0,CF130-CC130*$G$18)</f>
        <v>0</v>
      </c>
      <c r="CI130" s="180" t="n">
        <f aca="false">IF(AND($G$27=1,OR(MONTH($B130)=5,MONTH($B130)=11)),MAX(0,$G$28*MAX(0,(CC130+CF130-CG130-CH130+CD130-CE130)+CL129-CK130)-CL129),0)</f>
        <v>1490.31466607889</v>
      </c>
      <c r="CJ130" s="181" t="n">
        <f aca="false">CC130+CF130-CG130-CH130+CD130-CE130-CI130</f>
        <v>230436.93365342</v>
      </c>
      <c r="CK130" s="180" t="n">
        <f aca="false">CK129+CD130-CE130</f>
        <v>150000</v>
      </c>
      <c r="CL130" s="180" t="n">
        <f aca="false">CL129+CI130</f>
        <v>14194.7529976623</v>
      </c>
      <c r="CM130" s="180" t="n">
        <f aca="false">CJ130+CL130-CK130</f>
        <v>94631.6866510822</v>
      </c>
      <c r="CN130" s="180" t="n">
        <f aca="false">MAX(0,IFERROR(INDEX(TAB_IR,MATCH($C130,TAB_IR_DIAS,1),MATCH($G$8,TAB_IR_REGIMES,0)),0)*IF($G$26=2,CJ130,MAX(0,CM130))-CL130)</f>
        <v>0</v>
      </c>
      <c r="CO130" s="181" t="n">
        <f aca="false">MAX(0,CJ130-CN130-CJ130*$G$25)</f>
        <v>230436.93365342</v>
      </c>
      <c r="CP130" s="180" t="n">
        <f aca="false">CO130/$D130</f>
        <v>183912.135234645</v>
      </c>
    </row>
    <row r="131" customFormat="false" ht="12" hidden="false" customHeight="true" outlineLevel="0" collapsed="false">
      <c r="A131" s="177" t="n">
        <v>70</v>
      </c>
      <c r="B131" s="178" t="n">
        <f aca="false">EDATE(DATA_INICIO,$A131)</f>
        <v>48388</v>
      </c>
      <c r="C131" s="177" t="n">
        <f aca="false">$A131*30</f>
        <v>2100</v>
      </c>
      <c r="D131" s="179" t="n">
        <f aca="false">(1+IPCA_CENARIO)^($A131/12)</f>
        <v>1.25707487390891</v>
      </c>
      <c r="F131" s="180" t="n">
        <f aca="false">M130</f>
        <v>284542.43234554</v>
      </c>
      <c r="G131" s="180" t="n">
        <f aca="false">IF($B$9=0,0,IF($A131&gt;IN_PRAZO,0,IF(APORTE_CORRIGIDO="Sim",IN_APORTE*$D131,IN_APORTE))+IF(AND($B$35=1,PGBL_REINVESTE="Sim",$A131&gt;=13,$A131&lt;=IN_PRAZO,MONTH($B131)=5),PGBL_BENEFICIO,0))</f>
        <v>0</v>
      </c>
      <c r="H131" s="180" t="n">
        <f aca="false">G131*$B$24</f>
        <v>0</v>
      </c>
      <c r="I131" s="180" t="n">
        <f aca="false">F131*$B$19</f>
        <v>2699.96422162944</v>
      </c>
      <c r="J131" s="180" t="n">
        <f aca="false">F131*$B$22</f>
        <v>47.4237387242567</v>
      </c>
      <c r="K131" s="180" t="n">
        <f aca="false">$B$23*MAX(0,I131-F131*$B$18)</f>
        <v>0</v>
      </c>
      <c r="L131" s="180" t="n">
        <f aca="false">IF(AND($B$27=1,OR(MONTH($B131)=5,MONTH($B131)=11)),MAX(0,$B$28*MAX(0,(F131+I131-J131-K131+G131-H131)+O130-N131)-O130),0)</f>
        <v>0</v>
      </c>
      <c r="M131" s="181" t="n">
        <f aca="false">F131+I131-J131-K131+G131-H131-L131</f>
        <v>287194.972828445</v>
      </c>
      <c r="N131" s="180" t="n">
        <f aca="false">N130+G131-H131</f>
        <v>150000</v>
      </c>
      <c r="O131" s="180" t="n">
        <f aca="false">O130+L131</f>
        <v>0</v>
      </c>
      <c r="P131" s="180" t="n">
        <f aca="false">M131+O131-N131</f>
        <v>137194.972828445</v>
      </c>
      <c r="Q131" s="180" t="n">
        <f aca="false">MAX(0,IFERROR(INDEX(TAB_IR,MATCH($C131,TAB_IR_DIAS,1),MATCH($B$8,TAB_IR_REGIMES,0)),0)*IF($B$26=2,M131,MAX(0,P131))-O131)</f>
        <v>20579.2459242668</v>
      </c>
      <c r="R131" s="181" t="n">
        <f aca="false">MAX(0,M131-Q131-M131*$B$25)</f>
        <v>266615.726904179</v>
      </c>
      <c r="S131" s="180" t="n">
        <f aca="false">R131/$D131</f>
        <v>212092.161284817</v>
      </c>
      <c r="U131" s="180" t="n">
        <f aca="false">AB130</f>
        <v>259768.986481051</v>
      </c>
      <c r="V131" s="180" t="n">
        <f aca="false">IF($C$9=0,0,IF($A131&gt;IN_PRAZO,0,IF(APORTE_CORRIGIDO="Sim",IN_APORTE*$D131,IN_APORTE))+IF(AND($C$35=1,PGBL_REINVESTE="Sim",$A131&gt;=13,$A131&lt;=IN_PRAZO,MONTH($B131)=5),PGBL_BENEFICIO,0))</f>
        <v>0</v>
      </c>
      <c r="W131" s="180" t="n">
        <f aca="false">V131*$C$24</f>
        <v>0</v>
      </c>
      <c r="X131" s="180" t="n">
        <f aca="false">U131*$C$19</f>
        <v>2118.99418542796</v>
      </c>
      <c r="Y131" s="180" t="n">
        <f aca="false">U131*$C$22</f>
        <v>43.2948310801751</v>
      </c>
      <c r="Z131" s="180" t="n">
        <f aca="false">$C$23*MAX(0,X131-U131*$C$18)</f>
        <v>0</v>
      </c>
      <c r="AA131" s="180" t="n">
        <f aca="false">IF(AND($C$27=1,OR(MONTH($B131)=5,MONTH($B131)=11)),MAX(0,$C$28*MAX(0,(U131+X131-Y131-Z131+V131-W131)+AD130-AC131)-AD130),0)</f>
        <v>0</v>
      </c>
      <c r="AB131" s="181" t="n">
        <f aca="false">U131+X131-Y131-Z131+V131-W131-AA131</f>
        <v>261844.685835399</v>
      </c>
      <c r="AC131" s="180" t="n">
        <f aca="false">AC130+V131-W131</f>
        <v>150000</v>
      </c>
      <c r="AD131" s="180" t="n">
        <f aca="false">AD130+AA131</f>
        <v>0</v>
      </c>
      <c r="AE131" s="180" t="n">
        <f aca="false">AB131+AD131-AC131</f>
        <v>111844.685835399</v>
      </c>
      <c r="AF131" s="180" t="n">
        <f aca="false">MAX(0,IFERROR(INDEX(TAB_IR,MATCH($C131,TAB_IR_DIAS,1),MATCH($C$8,TAB_IR_REGIMES,0)),0)*IF($C$26=2,AB131,MAX(0,AE131))-AD131)</f>
        <v>16776.7028753098</v>
      </c>
      <c r="AG131" s="181" t="n">
        <f aca="false">MAX(0,AB131-AF131-AB131*$C$25)</f>
        <v>245067.982960089</v>
      </c>
      <c r="AH131" s="180" t="n">
        <f aca="false">AG131/$D131</f>
        <v>194950.983466915</v>
      </c>
      <c r="AJ131" s="180" t="n">
        <f aca="false">AQ130</f>
        <v>241940.47877147</v>
      </c>
      <c r="AK131" s="180" t="n">
        <f aca="false">IF($D$9=0,0,IF($A131&gt;IN_PRAZO,0,IF(APORTE_CORRIGIDO="Sim",IN_APORTE*$D131,IN_APORTE))+IF(AND($D$35=1,PGBL_REINVESTE="Sim",$A131&gt;=13,$A131&lt;=IN_PRAZO,MONTH($B131)=5),PGBL_BENEFICIO,0))</f>
        <v>0</v>
      </c>
      <c r="AL131" s="180" t="n">
        <f aca="false">AK131*$D$24</f>
        <v>0</v>
      </c>
      <c r="AM131" s="180" t="n">
        <f aca="false">AJ131*$D$19</f>
        <v>2174.72966769887</v>
      </c>
      <c r="AN131" s="180" t="n">
        <f aca="false">AJ131*$D$22</f>
        <v>201.617065642891</v>
      </c>
      <c r="AO131" s="180" t="n">
        <f aca="false">$D$23*MAX(0,AM131-AJ131*$D$18)</f>
        <v>0</v>
      </c>
      <c r="AP131" s="180" t="n">
        <f aca="false">IF(AND($D$27=1,OR(MONTH($B131)=5,MONTH($B131)=11)),MAX(0,$D$28*MAX(0,(AJ131+AM131-AN131-AO131+AK131-AL131)+AS130-AR131)-AS130),0)</f>
        <v>0</v>
      </c>
      <c r="AQ131" s="181" t="n">
        <f aca="false">AJ131+AM131-AN131-AO131+AK131-AL131-AP131</f>
        <v>243913.591373525</v>
      </c>
      <c r="AR131" s="180" t="n">
        <f aca="false">AR130+AK131-AL131</f>
        <v>150000</v>
      </c>
      <c r="AS131" s="180" t="n">
        <f aca="false">AS130+AP131</f>
        <v>16224.7903714358</v>
      </c>
      <c r="AT131" s="180" t="n">
        <f aca="false">AQ131+AS131-AR131</f>
        <v>110138.381744961</v>
      </c>
      <c r="AU131" s="180" t="n">
        <f aca="false">MAX(0,IFERROR(INDEX(TAB_IR,MATCH($C131,TAB_IR_DIAS,1),MATCH($D$8,TAB_IR_REGIMES,0)),0)*IF($D$26=2,AQ131,MAX(0,AT131))-AS131)</f>
        <v>295.966890308397</v>
      </c>
      <c r="AV131" s="181" t="n">
        <f aca="false">MAX(0,AQ131-AU131-AQ131*$D$25)</f>
        <v>243617.624483217</v>
      </c>
      <c r="AW131" s="180" t="n">
        <f aca="false">AV131/$D131</f>
        <v>193797.22683159</v>
      </c>
      <c r="AY131" s="180" t="n">
        <f aca="false">BF130</f>
        <v>269699.277208173</v>
      </c>
      <c r="AZ131" s="180" t="n">
        <f aca="false">IF($E$9=0,0,IF($A131&gt;IN_PRAZO,0,IF(APORTE_CORRIGIDO="Sim",IN_APORTE*$D131,IN_APORTE))+IF(AND($E$35=1,PGBL_REINVESTE="Sim",$A131&gt;=13,$A131&lt;=IN_PRAZO,MONTH($B131)=5),PGBL_BENEFICIO,0))</f>
        <v>0</v>
      </c>
      <c r="BA131" s="180" t="n">
        <f aca="false">AZ131*$E$24</f>
        <v>0</v>
      </c>
      <c r="BB131" s="180" t="n">
        <f aca="false">AY131*$E$19</f>
        <v>2640.01754573175</v>
      </c>
      <c r="BC131" s="180" t="n">
        <f aca="false">AY131*$E$22</f>
        <v>337.124096510217</v>
      </c>
      <c r="BD131" s="180" t="n">
        <f aca="false">$E$23*MAX(0,BB131-AY131*$E$18)</f>
        <v>0</v>
      </c>
      <c r="BE131" s="180" t="n">
        <f aca="false">IF(AND($E$27=1,OR(MONTH($B131)=5,MONTH($B131)=11)),MAX(0,$E$28*MAX(0,(AY131+BB131-BC131-BD131+AZ131-BA131)+BH130-BG131)-BH130),0)</f>
        <v>0</v>
      </c>
      <c r="BF131" s="181" t="n">
        <f aca="false">AY131+BB131-BC131-BD131+AZ131-BA131-BE131</f>
        <v>272002.170657395</v>
      </c>
      <c r="BG131" s="180" t="n">
        <f aca="false">BG130+AZ131-BA131</f>
        <v>150000</v>
      </c>
      <c r="BH131" s="180" t="n">
        <f aca="false">BH130+BE131</f>
        <v>0</v>
      </c>
      <c r="BI131" s="180" t="n">
        <f aca="false">BF131+BH131-BG131</f>
        <v>122002.170657395</v>
      </c>
      <c r="BJ131" s="180" t="n">
        <f aca="false">MAX(0,IFERROR(INDEX(TAB_IR,MATCH($C131,TAB_IR_DIAS,1),MATCH($E$8,TAB_IR_REGIMES,0)),0)*IF($E$26=2,BF131,MAX(0,BI131))-BH131)</f>
        <v>30500.5426643487</v>
      </c>
      <c r="BK131" s="181" t="n">
        <f aca="false">MAX(0,BF131-BJ131-BF131*$E$25)</f>
        <v>241501.627993046</v>
      </c>
      <c r="BL131" s="180" t="n">
        <f aca="false">BK131/$D131</f>
        <v>192113.95677816</v>
      </c>
      <c r="BN131" s="180" t="n">
        <f aca="false">BU130</f>
        <v>269699.277208173</v>
      </c>
      <c r="BO131" s="180" t="n">
        <f aca="false">IF($F$9=0,0,IF($A131&gt;IN_PRAZO,0,IF(APORTE_CORRIGIDO="Sim",IN_APORTE*$D131,IN_APORTE))+IF(AND($F$35=1,PGBL_REINVESTE="Sim",$A131&gt;=13,$A131&lt;=IN_PRAZO,MONTH($B131)=5),PGBL_BENEFICIO,0))</f>
        <v>0</v>
      </c>
      <c r="BP131" s="180" t="n">
        <f aca="false">BO131*$F$24</f>
        <v>0</v>
      </c>
      <c r="BQ131" s="180" t="n">
        <f aca="false">BN131*$F$19</f>
        <v>2640.01754573175</v>
      </c>
      <c r="BR131" s="180" t="n">
        <f aca="false">BN131*$F$22</f>
        <v>337.124096510217</v>
      </c>
      <c r="BS131" s="180" t="n">
        <f aca="false">$F$23*MAX(0,BQ131-BN131*$F$18)</f>
        <v>0</v>
      </c>
      <c r="BT131" s="180" t="n">
        <f aca="false">IF(AND($F$27=1,OR(MONTH($B131)=5,MONTH($B131)=11)),MAX(0,$F$28*MAX(0,(BN131+BQ131-BR131-BS131+BO131-BP131)+BW130-BV131)-BW130),0)</f>
        <v>0</v>
      </c>
      <c r="BU131" s="181" t="n">
        <f aca="false">BN131+BQ131-BR131-BS131+BO131-BP131-BT131</f>
        <v>272002.170657395</v>
      </c>
      <c r="BV131" s="180" t="n">
        <f aca="false">BV130+BO131-BP131</f>
        <v>150000</v>
      </c>
      <c r="BW131" s="180" t="n">
        <f aca="false">BW130+BT131</f>
        <v>0</v>
      </c>
      <c r="BX131" s="180" t="n">
        <f aca="false">BU131+BW131-BV131</f>
        <v>122002.170657395</v>
      </c>
      <c r="BY131" s="180" t="n">
        <f aca="false">MAX(0,IFERROR(INDEX(TAB_IR,MATCH($C131,TAB_IR_DIAS,1),MATCH($F$8,TAB_IR_REGIMES,0)),0)*IF($F$26=2,BU131,MAX(0,BX131))-BW131)</f>
        <v>68000.5426643487</v>
      </c>
      <c r="BZ131" s="181" t="n">
        <f aca="false">MAX(0,BU131-BY131-BU131*$F$25)</f>
        <v>204001.627993046</v>
      </c>
      <c r="CA131" s="180" t="n">
        <f aca="false">BZ131/$D131</f>
        <v>162282.798126971</v>
      </c>
      <c r="CC131" s="180" t="n">
        <f aca="false">CJ130</f>
        <v>230436.93365342</v>
      </c>
      <c r="CD131" s="180" t="n">
        <f aca="false">IF($G$9=0,0,IF($A131&gt;IN_PRAZO,0,IF(APORTE_CORRIGIDO="Sim",IN_APORTE*$D131,IN_APORTE))+IF(AND($G$35=1,PGBL_REINVESTE="Sim",$A131&gt;=13,$A131&lt;=IN_PRAZO,MONTH($B131)=5),PGBL_BENEFICIO,0))</f>
        <v>0</v>
      </c>
      <c r="CE131" s="180" t="n">
        <f aca="false">CD131*$G$24</f>
        <v>0</v>
      </c>
      <c r="CF131" s="180" t="n">
        <f aca="false">CC131*$G$19</f>
        <v>1879.72601785189</v>
      </c>
      <c r="CG131" s="180" t="n">
        <f aca="false">CC131*$G$22</f>
        <v>192.030778044517</v>
      </c>
      <c r="CH131" s="180" t="n">
        <f aca="false">$G$23*MAX(0,CF131-CC131*$G$18)</f>
        <v>0</v>
      </c>
      <c r="CI131" s="180" t="n">
        <f aca="false">IF(AND($G$27=1,OR(MONTH($B131)=5,MONTH($B131)=11)),MAX(0,$G$28*MAX(0,(CC131+CF131-CG131-CH131+CD131-CE131)+CL130-CK131)-CL130),0)</f>
        <v>0</v>
      </c>
      <c r="CJ131" s="181" t="n">
        <f aca="false">CC131+CF131-CG131-CH131+CD131-CE131-CI131</f>
        <v>232124.628893227</v>
      </c>
      <c r="CK131" s="180" t="n">
        <f aca="false">CK130+CD131-CE131</f>
        <v>150000</v>
      </c>
      <c r="CL131" s="180" t="n">
        <f aca="false">CL130+CI131</f>
        <v>14194.7529976623</v>
      </c>
      <c r="CM131" s="180" t="n">
        <f aca="false">CJ131+CL131-CK131</f>
        <v>96319.3818908895</v>
      </c>
      <c r="CN131" s="180" t="n">
        <f aca="false">MAX(0,IFERROR(INDEX(TAB_IR,MATCH($C131,TAB_IR_DIAS,1),MATCH($G$8,TAB_IR_REGIMES,0)),0)*IF($G$26=2,CJ131,MAX(0,CM131))-CL131)</f>
        <v>253.154285971104</v>
      </c>
      <c r="CO131" s="181" t="n">
        <f aca="false">MAX(0,CJ131-CN131-CJ131*$G$25)</f>
        <v>231871.474607256</v>
      </c>
      <c r="CP131" s="180" t="n">
        <f aca="false">CO131/$D131</f>
        <v>184453.193218512</v>
      </c>
    </row>
    <row r="132" customFormat="false" ht="12" hidden="false" customHeight="true" outlineLevel="0" collapsed="false">
      <c r="A132" s="177" t="n">
        <v>71</v>
      </c>
      <c r="B132" s="178" t="n">
        <f aca="false">EDATE(DATA_INICIO,$A132)</f>
        <v>48418</v>
      </c>
      <c r="C132" s="177" t="n">
        <f aca="false">$A132*30</f>
        <v>2130</v>
      </c>
      <c r="D132" s="179" t="n">
        <f aca="false">(1+IPCA_CENARIO)^($A132/12)</f>
        <v>1.26119020993282</v>
      </c>
      <c r="F132" s="180" t="n">
        <f aca="false">M131</f>
        <v>287194.972828445</v>
      </c>
      <c r="G132" s="180" t="n">
        <f aca="false">IF($B$9=0,0,IF($A132&gt;IN_PRAZO,0,IF(APORTE_CORRIGIDO="Sim",IN_APORTE*$D132,IN_APORTE))+IF(AND($B$35=1,PGBL_REINVESTE="Sim",$A132&gt;=13,$A132&lt;=IN_PRAZO,MONTH($B132)=5),PGBL_BENEFICIO,0))</f>
        <v>0</v>
      </c>
      <c r="H132" s="180" t="n">
        <f aca="false">G132*$B$24</f>
        <v>0</v>
      </c>
      <c r="I132" s="180" t="n">
        <f aca="false">F132*$B$19</f>
        <v>2725.13362902232</v>
      </c>
      <c r="J132" s="180" t="n">
        <f aca="false">F132*$B$22</f>
        <v>47.8658288047409</v>
      </c>
      <c r="K132" s="180" t="n">
        <f aca="false">$B$23*MAX(0,I132-F132*$B$18)</f>
        <v>0</v>
      </c>
      <c r="L132" s="180" t="n">
        <f aca="false">IF(AND($B$27=1,OR(MONTH($B132)=5,MONTH($B132)=11)),MAX(0,$B$28*MAX(0,(F132+I132-J132-K132+G132-H132)+O131-N132)-O131),0)</f>
        <v>0</v>
      </c>
      <c r="M132" s="181" t="n">
        <f aca="false">F132+I132-J132-K132+G132-H132-L132</f>
        <v>289872.240628663</v>
      </c>
      <c r="N132" s="180" t="n">
        <f aca="false">N131+G132-H132</f>
        <v>150000</v>
      </c>
      <c r="O132" s="180" t="n">
        <f aca="false">O131+L132</f>
        <v>0</v>
      </c>
      <c r="P132" s="180" t="n">
        <f aca="false">M132+O132-N132</f>
        <v>139872.240628663</v>
      </c>
      <c r="Q132" s="180" t="n">
        <f aca="false">MAX(0,IFERROR(INDEX(TAB_IR,MATCH($C132,TAB_IR_DIAS,1),MATCH($B$8,TAB_IR_REGIMES,0)),0)*IF($B$26=2,M132,MAX(0,P132))-O132)</f>
        <v>20980.8360942994</v>
      </c>
      <c r="R132" s="181" t="n">
        <f aca="false">MAX(0,M132-Q132-M132*$B$25)</f>
        <v>268891.404534364</v>
      </c>
      <c r="S132" s="180" t="n">
        <f aca="false">R132/$D132</f>
        <v>213204.481303963</v>
      </c>
      <c r="U132" s="180" t="n">
        <f aca="false">AB131</f>
        <v>261844.685835399</v>
      </c>
      <c r="V132" s="180" t="n">
        <f aca="false">IF($C$9=0,0,IF($A132&gt;IN_PRAZO,0,IF(APORTE_CORRIGIDO="Sim",IN_APORTE*$D132,IN_APORTE))+IF(AND($C$35=1,PGBL_REINVESTE="Sim",$A132&gt;=13,$A132&lt;=IN_PRAZO,MONTH($B132)=5),PGBL_BENEFICIO,0))</f>
        <v>0</v>
      </c>
      <c r="W132" s="180" t="n">
        <f aca="false">V132*$C$24</f>
        <v>0</v>
      </c>
      <c r="X132" s="180" t="n">
        <f aca="false">U132*$C$19</f>
        <v>2135.92613301009</v>
      </c>
      <c r="Y132" s="180" t="n">
        <f aca="false">U132*$C$22</f>
        <v>43.6407809725664</v>
      </c>
      <c r="Z132" s="180" t="n">
        <f aca="false">$C$23*MAX(0,X132-U132*$C$18)</f>
        <v>0</v>
      </c>
      <c r="AA132" s="180" t="n">
        <f aca="false">IF(AND($C$27=1,OR(MONTH($B132)=5,MONTH($B132)=11)),MAX(0,$C$28*MAX(0,(U132+X132-Y132-Z132+V132-W132)+AD131-AC132)-AD131),0)</f>
        <v>0</v>
      </c>
      <c r="AB132" s="181" t="n">
        <f aca="false">U132+X132-Y132-Z132+V132-W132-AA132</f>
        <v>263936.971187436</v>
      </c>
      <c r="AC132" s="180" t="n">
        <f aca="false">AC131+V132-W132</f>
        <v>150000</v>
      </c>
      <c r="AD132" s="180" t="n">
        <f aca="false">AD131+AA132</f>
        <v>0</v>
      </c>
      <c r="AE132" s="180" t="n">
        <f aca="false">AB132+AD132-AC132</f>
        <v>113936.971187436</v>
      </c>
      <c r="AF132" s="180" t="n">
        <f aca="false">MAX(0,IFERROR(INDEX(TAB_IR,MATCH($C132,TAB_IR_DIAS,1),MATCH($C$8,TAB_IR_REGIMES,0)),0)*IF($C$26=2,AB132,MAX(0,AE132))-AD132)</f>
        <v>17090.5456781154</v>
      </c>
      <c r="AG132" s="181" t="n">
        <f aca="false">MAX(0,AB132-AF132-AB132*$C$25)</f>
        <v>246846.425509321</v>
      </c>
      <c r="AH132" s="180" t="n">
        <f aca="false">AG132/$D132</f>
        <v>195724.977537265</v>
      </c>
      <c r="AJ132" s="180" t="n">
        <f aca="false">AQ131</f>
        <v>243913.591373525</v>
      </c>
      <c r="AK132" s="180" t="n">
        <f aca="false">IF($D$9=0,0,IF($A132&gt;IN_PRAZO,0,IF(APORTE_CORRIGIDO="Sim",IN_APORTE*$D132,IN_APORTE))+IF(AND($D$35=1,PGBL_REINVESTE="Sim",$A132&gt;=13,$A132&lt;=IN_PRAZO,MONTH($B132)=5),PGBL_BENEFICIO,0))</f>
        <v>0</v>
      </c>
      <c r="AL132" s="180" t="n">
        <f aca="false">AK132*$D$24</f>
        <v>0</v>
      </c>
      <c r="AM132" s="180" t="n">
        <f aca="false">AJ132*$D$19</f>
        <v>2192.4653791234</v>
      </c>
      <c r="AN132" s="180" t="n">
        <f aca="false">AJ132*$D$22</f>
        <v>203.261326144605</v>
      </c>
      <c r="AO132" s="180" t="n">
        <f aca="false">$D$23*MAX(0,AM132-AJ132*$D$18)</f>
        <v>0</v>
      </c>
      <c r="AP132" s="180" t="n">
        <f aca="false">IF(AND($D$27=1,OR(MONTH($B132)=5,MONTH($B132)=11)),MAX(0,$D$28*MAX(0,(AJ132+AM132-AN132-AO132+AK132-AL132)+AS131-AR132)-AS131),0)</f>
        <v>0</v>
      </c>
      <c r="AQ132" s="181" t="n">
        <f aca="false">AJ132+AM132-AN132-AO132+AK132-AL132-AP132</f>
        <v>245902.795426504</v>
      </c>
      <c r="AR132" s="180" t="n">
        <f aca="false">AR131+AK132-AL132</f>
        <v>150000</v>
      </c>
      <c r="AS132" s="180" t="n">
        <f aca="false">AS131+AP132</f>
        <v>16224.7903714358</v>
      </c>
      <c r="AT132" s="180" t="n">
        <f aca="false">AQ132+AS132-AR132</f>
        <v>112127.58579794</v>
      </c>
      <c r="AU132" s="180" t="n">
        <f aca="false">MAX(0,IFERROR(INDEX(TAB_IR,MATCH($C132,TAB_IR_DIAS,1),MATCH($D$8,TAB_IR_REGIMES,0)),0)*IF($D$26=2,AQ132,MAX(0,AT132))-AS132)</f>
        <v>594.347498255216</v>
      </c>
      <c r="AV132" s="181" t="n">
        <f aca="false">MAX(0,AQ132-AU132-AQ132*$D$25)</f>
        <v>245308.447928249</v>
      </c>
      <c r="AW132" s="180" t="n">
        <f aca="false">AV132/$D132</f>
        <v>194505.51232975</v>
      </c>
      <c r="AY132" s="180" t="n">
        <f aca="false">BF131</f>
        <v>272002.170657395</v>
      </c>
      <c r="AZ132" s="180" t="n">
        <f aca="false">IF($E$9=0,0,IF($A132&gt;IN_PRAZO,0,IF(APORTE_CORRIGIDO="Sim",IN_APORTE*$D132,IN_APORTE))+IF(AND($E$35=1,PGBL_REINVESTE="Sim",$A132&gt;=13,$A132&lt;=IN_PRAZO,MONTH($B132)=5),PGBL_BENEFICIO,0))</f>
        <v>0</v>
      </c>
      <c r="BA132" s="180" t="n">
        <f aca="false">AZ132*$E$24</f>
        <v>0</v>
      </c>
      <c r="BB132" s="180" t="n">
        <f aca="false">AY132*$E$19</f>
        <v>2662.55998327489</v>
      </c>
      <c r="BC132" s="180" t="n">
        <f aca="false">AY132*$E$22</f>
        <v>340.002713321744</v>
      </c>
      <c r="BD132" s="180" t="n">
        <f aca="false">$E$23*MAX(0,BB132-AY132*$E$18)</f>
        <v>0</v>
      </c>
      <c r="BE132" s="180" t="n">
        <f aca="false">IF(AND($E$27=1,OR(MONTH($B132)=5,MONTH($B132)=11)),MAX(0,$E$28*MAX(0,(AY132+BB132-BC132-BD132+AZ132-BA132)+BH131-BG132)-BH131),0)</f>
        <v>0</v>
      </c>
      <c r="BF132" s="181" t="n">
        <f aca="false">AY132+BB132-BC132-BD132+AZ132-BA132-BE132</f>
        <v>274324.727927348</v>
      </c>
      <c r="BG132" s="180" t="n">
        <f aca="false">BG131+AZ132-BA132</f>
        <v>150000</v>
      </c>
      <c r="BH132" s="180" t="n">
        <f aca="false">BH131+BE132</f>
        <v>0</v>
      </c>
      <c r="BI132" s="180" t="n">
        <f aca="false">BF132+BH132-BG132</f>
        <v>124324.727927348</v>
      </c>
      <c r="BJ132" s="180" t="n">
        <f aca="false">MAX(0,IFERROR(INDEX(TAB_IR,MATCH($C132,TAB_IR_DIAS,1),MATCH($E$8,TAB_IR_REGIMES,0)),0)*IF($E$26=2,BF132,MAX(0,BI132))-BH132)</f>
        <v>31081.181981837</v>
      </c>
      <c r="BK132" s="181" t="n">
        <f aca="false">MAX(0,BF132-BJ132-BF132*$E$25)</f>
        <v>243243.545945511</v>
      </c>
      <c r="BL132" s="180" t="n">
        <f aca="false">BK132/$D132</f>
        <v>192868.247810508</v>
      </c>
      <c r="BN132" s="180" t="n">
        <f aca="false">BU131</f>
        <v>272002.170657395</v>
      </c>
      <c r="BO132" s="180" t="n">
        <f aca="false">IF($F$9=0,0,IF($A132&gt;IN_PRAZO,0,IF(APORTE_CORRIGIDO="Sim",IN_APORTE*$D132,IN_APORTE))+IF(AND($F$35=1,PGBL_REINVESTE="Sim",$A132&gt;=13,$A132&lt;=IN_PRAZO,MONTH($B132)=5),PGBL_BENEFICIO,0))</f>
        <v>0</v>
      </c>
      <c r="BP132" s="180" t="n">
        <f aca="false">BO132*$F$24</f>
        <v>0</v>
      </c>
      <c r="BQ132" s="180" t="n">
        <f aca="false">BN132*$F$19</f>
        <v>2662.55998327489</v>
      </c>
      <c r="BR132" s="180" t="n">
        <f aca="false">BN132*$F$22</f>
        <v>340.002713321744</v>
      </c>
      <c r="BS132" s="180" t="n">
        <f aca="false">$F$23*MAX(0,BQ132-BN132*$F$18)</f>
        <v>0</v>
      </c>
      <c r="BT132" s="180" t="n">
        <f aca="false">IF(AND($F$27=1,OR(MONTH($B132)=5,MONTH($B132)=11)),MAX(0,$F$28*MAX(0,(BN132+BQ132-BR132-BS132+BO132-BP132)+BW131-BV132)-BW131),0)</f>
        <v>0</v>
      </c>
      <c r="BU132" s="181" t="n">
        <f aca="false">BN132+BQ132-BR132-BS132+BO132-BP132-BT132</f>
        <v>274324.727927348</v>
      </c>
      <c r="BV132" s="180" t="n">
        <f aca="false">BV131+BO132-BP132</f>
        <v>150000</v>
      </c>
      <c r="BW132" s="180" t="n">
        <f aca="false">BW131+BT132</f>
        <v>0</v>
      </c>
      <c r="BX132" s="180" t="n">
        <f aca="false">BU132+BW132-BV132</f>
        <v>124324.727927348</v>
      </c>
      <c r="BY132" s="180" t="n">
        <f aca="false">MAX(0,IFERROR(INDEX(TAB_IR,MATCH($C132,TAB_IR_DIAS,1),MATCH($F$8,TAB_IR_REGIMES,0)),0)*IF($F$26=2,BU132,MAX(0,BX132))-BW132)</f>
        <v>68581.181981837</v>
      </c>
      <c r="BZ132" s="181" t="n">
        <f aca="false">MAX(0,BU132-BY132-BU132*$F$25)</f>
        <v>205743.545945511</v>
      </c>
      <c r="CA132" s="180" t="n">
        <f aca="false">BZ132/$D132</f>
        <v>163134.429941753</v>
      </c>
      <c r="CC132" s="180" t="n">
        <f aca="false">CJ131</f>
        <v>232124.628893227</v>
      </c>
      <c r="CD132" s="180" t="n">
        <f aca="false">IF($G$9=0,0,IF($A132&gt;IN_PRAZO,0,IF(APORTE_CORRIGIDO="Sim",IN_APORTE*$D132,IN_APORTE))+IF(AND($G$35=1,PGBL_REINVESTE="Sim",$A132&gt;=13,$A132&lt;=IN_PRAZO,MONTH($B132)=5),PGBL_BENEFICIO,0))</f>
        <v>0</v>
      </c>
      <c r="CE132" s="180" t="n">
        <f aca="false">CD132*$G$24</f>
        <v>0</v>
      </c>
      <c r="CF132" s="180" t="n">
        <f aca="false">CC132*$G$19</f>
        <v>1893.49292839949</v>
      </c>
      <c r="CG132" s="180" t="n">
        <f aca="false">CC132*$G$22</f>
        <v>193.437190744356</v>
      </c>
      <c r="CH132" s="180" t="n">
        <f aca="false">$G$23*MAX(0,CF132-CC132*$G$18)</f>
        <v>0</v>
      </c>
      <c r="CI132" s="180" t="n">
        <f aca="false">IF(AND($G$27=1,OR(MONTH($B132)=5,MONTH($B132)=11)),MAX(0,$G$28*MAX(0,(CC132+CF132-CG132-CH132+CD132-CE132)+CL131-CK132)-CL131),0)</f>
        <v>0</v>
      </c>
      <c r="CJ132" s="181" t="n">
        <f aca="false">CC132+CF132-CG132-CH132+CD132-CE132-CI132</f>
        <v>233824.684630882</v>
      </c>
      <c r="CK132" s="180" t="n">
        <f aca="false">CK131+CD132-CE132</f>
        <v>150000</v>
      </c>
      <c r="CL132" s="180" t="n">
        <f aca="false">CL131+CI132</f>
        <v>14194.7529976623</v>
      </c>
      <c r="CM132" s="180" t="n">
        <f aca="false">CJ132+CL132-CK132</f>
        <v>98019.4376285447</v>
      </c>
      <c r="CN132" s="180" t="n">
        <f aca="false">MAX(0,IFERROR(INDEX(TAB_IR,MATCH($C132,TAB_IR_DIAS,1),MATCH($G$8,TAB_IR_REGIMES,0)),0)*IF($G$26=2,CJ132,MAX(0,CM132))-CL132)</f>
        <v>508.162646619376</v>
      </c>
      <c r="CO132" s="181" t="n">
        <f aca="false">MAX(0,CJ132-CN132-CJ132*$G$25)</f>
        <v>233316.521984263</v>
      </c>
      <c r="CP132" s="180" t="n">
        <f aca="false">CO132/$D132</f>
        <v>184997.092545375</v>
      </c>
    </row>
    <row r="133" customFormat="false" ht="12" hidden="false" customHeight="true" outlineLevel="0" collapsed="false">
      <c r="A133" s="177" t="n">
        <v>72</v>
      </c>
      <c r="B133" s="178" t="n">
        <f aca="false">EDATE(DATA_INICIO,$A133)</f>
        <v>48449</v>
      </c>
      <c r="C133" s="177" t="n">
        <f aca="false">$A133*30</f>
        <v>2160</v>
      </c>
      <c r="D133" s="179" t="n">
        <f aca="false">(1+IPCA_CENARIO)^($A133/12)</f>
        <v>1.265319018496</v>
      </c>
      <c r="F133" s="180" t="n">
        <f aca="false">M132</f>
        <v>289872.240628663</v>
      </c>
      <c r="G133" s="180" t="n">
        <f aca="false">IF($B$9=0,0,IF($A133&gt;IN_PRAZO,0,IF(APORTE_CORRIGIDO="Sim",IN_APORTE*$D133,IN_APORTE))+IF(AND($B$35=1,PGBL_REINVESTE="Sim",$A133&gt;=13,$A133&lt;=IN_PRAZO,MONTH($B133)=5),PGBL_BENEFICIO,0))</f>
        <v>0</v>
      </c>
      <c r="H133" s="180" t="n">
        <f aca="false">G133*$B$24</f>
        <v>0</v>
      </c>
      <c r="I133" s="180" t="n">
        <f aca="false">F133*$B$19</f>
        <v>2750.53766880901</v>
      </c>
      <c r="J133" s="180" t="n">
        <f aca="false">F133*$B$22</f>
        <v>48.3120401047772</v>
      </c>
      <c r="K133" s="180" t="n">
        <f aca="false">$B$23*MAX(0,I133-F133*$B$18)</f>
        <v>0</v>
      </c>
      <c r="L133" s="180" t="n">
        <f aca="false">IF(AND($B$27=1,OR(MONTH($B133)=5,MONTH($B133)=11)),MAX(0,$B$28*MAX(0,(F133+I133-J133-K133+G133-H133)+O132-N133)-O132),0)</f>
        <v>0</v>
      </c>
      <c r="M133" s="181" t="n">
        <f aca="false">F133+I133-J133-K133+G133-H133-L133</f>
        <v>292574.466257367</v>
      </c>
      <c r="N133" s="180" t="n">
        <f aca="false">N132+G133-H133</f>
        <v>150000</v>
      </c>
      <c r="O133" s="180" t="n">
        <f aca="false">O132+L133</f>
        <v>0</v>
      </c>
      <c r="P133" s="180" t="n">
        <f aca="false">M133+O133-N133</f>
        <v>142574.466257367</v>
      </c>
      <c r="Q133" s="180" t="n">
        <f aca="false">MAX(0,IFERROR(INDEX(TAB_IR,MATCH($C133,TAB_IR_DIAS,1),MATCH($B$8,TAB_IR_REGIMES,0)),0)*IF($B$26=2,M133,MAX(0,P133))-O133)</f>
        <v>21386.1699386051</v>
      </c>
      <c r="R133" s="181" t="n">
        <f aca="false">MAX(0,M133-Q133-M133*$B$25)</f>
        <v>271188.296318762</v>
      </c>
      <c r="S133" s="180" t="n">
        <f aca="false">R133/$D133</f>
        <v>214324.049788729</v>
      </c>
      <c r="U133" s="180" t="n">
        <f aca="false">AB132</f>
        <v>263936.971187436</v>
      </c>
      <c r="V133" s="180" t="n">
        <f aca="false">IF($C$9=0,0,IF($A133&gt;IN_PRAZO,0,IF(APORTE_CORRIGIDO="Sim",IN_APORTE*$D133,IN_APORTE))+IF(AND($C$35=1,PGBL_REINVESTE="Sim",$A133&gt;=13,$A133&lt;=IN_PRAZO,MONTH($B133)=5),PGBL_BENEFICIO,0))</f>
        <v>0</v>
      </c>
      <c r="W133" s="180" t="n">
        <f aca="false">V133*$C$24</f>
        <v>0</v>
      </c>
      <c r="X133" s="180" t="n">
        <f aca="false">U133*$C$19</f>
        <v>2152.99337631455</v>
      </c>
      <c r="Y133" s="180" t="n">
        <f aca="false">U133*$C$22</f>
        <v>43.989495197906</v>
      </c>
      <c r="Z133" s="180" t="n">
        <f aca="false">$C$23*MAX(0,X133-U133*$C$18)</f>
        <v>0</v>
      </c>
      <c r="AA133" s="180" t="n">
        <f aca="false">IF(AND($C$27=1,OR(MONTH($B133)=5,MONTH($B133)=11)),MAX(0,$C$28*MAX(0,(U133+X133-Y133-Z133+V133-W133)+AD132-AC133)-AD132),0)</f>
        <v>0</v>
      </c>
      <c r="AB133" s="181" t="n">
        <f aca="false">U133+X133-Y133-Z133+V133-W133-AA133</f>
        <v>266045.975068553</v>
      </c>
      <c r="AC133" s="180" t="n">
        <f aca="false">AC132+V133-W133</f>
        <v>150000</v>
      </c>
      <c r="AD133" s="180" t="n">
        <f aca="false">AD132+AA133</f>
        <v>0</v>
      </c>
      <c r="AE133" s="180" t="n">
        <f aca="false">AB133+AD133-AC133</f>
        <v>116045.975068553</v>
      </c>
      <c r="AF133" s="180" t="n">
        <f aca="false">MAX(0,IFERROR(INDEX(TAB_IR,MATCH($C133,TAB_IR_DIAS,1),MATCH($C$8,TAB_IR_REGIMES,0)),0)*IF($C$26=2,AB133,MAX(0,AE133))-AD133)</f>
        <v>17406.8962602829</v>
      </c>
      <c r="AG133" s="181" t="n">
        <f aca="false">MAX(0,AB133-AF133-AB133*$C$25)</f>
        <v>248639.07880827</v>
      </c>
      <c r="AH133" s="180" t="n">
        <f aca="false">AG133/$D133</f>
        <v>196503.075646338</v>
      </c>
      <c r="AJ133" s="180" t="n">
        <f aca="false">AQ132</f>
        <v>245902.795426504</v>
      </c>
      <c r="AK133" s="180" t="n">
        <f aca="false">IF($D$9=0,0,IF($A133&gt;IN_PRAZO,0,IF(APORTE_CORRIGIDO="Sim",IN_APORTE*$D133,IN_APORTE))+IF(AND($D$35=1,PGBL_REINVESTE="Sim",$A133&gt;=13,$A133&lt;=IN_PRAZO,MONTH($B133)=5),PGBL_BENEFICIO,0))</f>
        <v>0</v>
      </c>
      <c r="AL133" s="180" t="n">
        <f aca="false">AK133*$D$24</f>
        <v>0</v>
      </c>
      <c r="AM133" s="180" t="n">
        <f aca="false">AJ133*$D$19</f>
        <v>2210.34573172535</v>
      </c>
      <c r="AN133" s="180" t="n">
        <f aca="false">AJ133*$D$22</f>
        <v>204.918996188754</v>
      </c>
      <c r="AO133" s="180" t="n">
        <f aca="false">$D$23*MAX(0,AM133-AJ133*$D$18)</f>
        <v>0</v>
      </c>
      <c r="AP133" s="180" t="n">
        <f aca="false">IF(AND($D$27=1,OR(MONTH($B133)=5,MONTH($B133)=11)),MAX(0,$D$28*MAX(0,(AJ133+AM133-AN133-AO133+AK133-AL133)+AS132-AR133)-AS132),0)</f>
        <v>0</v>
      </c>
      <c r="AQ133" s="181" t="n">
        <f aca="false">AJ133+AM133-AN133-AO133+AK133-AL133-AP133</f>
        <v>247908.222162041</v>
      </c>
      <c r="AR133" s="180" t="n">
        <f aca="false">AR132+AK133-AL133</f>
        <v>150000</v>
      </c>
      <c r="AS133" s="180" t="n">
        <f aca="false">AS132+AP133</f>
        <v>16224.7903714358</v>
      </c>
      <c r="AT133" s="180" t="n">
        <f aca="false">AQ133+AS133-AR133</f>
        <v>114133.012533477</v>
      </c>
      <c r="AU133" s="180" t="n">
        <f aca="false">MAX(0,IFERROR(INDEX(TAB_IR,MATCH($C133,TAB_IR_DIAS,1),MATCH($D$8,TAB_IR_REGIMES,0)),0)*IF($D$26=2,AQ133,MAX(0,AT133))-AS133)</f>
        <v>895.161508585714</v>
      </c>
      <c r="AV133" s="181" t="n">
        <f aca="false">MAX(0,AQ133-AU133-AQ133*$D$25)</f>
        <v>247013.060653455</v>
      </c>
      <c r="AW133" s="180" t="n">
        <f aca="false">AV133/$D133</f>
        <v>195218.009879487</v>
      </c>
      <c r="AY133" s="180" t="n">
        <f aca="false">BF132</f>
        <v>274324.727927348</v>
      </c>
      <c r="AZ133" s="180" t="n">
        <f aca="false">IF($E$9=0,0,IF($A133&gt;IN_PRAZO,0,IF(APORTE_CORRIGIDO="Sim",IN_APORTE*$D133,IN_APORTE))+IF(AND($E$35=1,PGBL_REINVESTE="Sim",$A133&gt;=13,$A133&lt;=IN_PRAZO,MONTH($B133)=5),PGBL_BENEFICIO,0))</f>
        <v>0</v>
      </c>
      <c r="BA133" s="180" t="n">
        <f aca="false">AZ133*$E$24</f>
        <v>0</v>
      </c>
      <c r="BB133" s="180" t="n">
        <f aca="false">AY133*$E$19</f>
        <v>2685.29490495178</v>
      </c>
      <c r="BC133" s="180" t="n">
        <f aca="false">AY133*$E$22</f>
        <v>342.905909909185</v>
      </c>
      <c r="BD133" s="180" t="n">
        <f aca="false">$E$23*MAX(0,BB133-AY133*$E$18)</f>
        <v>0</v>
      </c>
      <c r="BE133" s="180" t="n">
        <f aca="false">IF(AND($E$27=1,OR(MONTH($B133)=5,MONTH($B133)=11)),MAX(0,$E$28*MAX(0,(AY133+BB133-BC133-BD133+AZ133-BA133)+BH132-BG133)-BH132),0)</f>
        <v>0</v>
      </c>
      <c r="BF133" s="181" t="n">
        <f aca="false">AY133+BB133-BC133-BD133+AZ133-BA133-BE133</f>
        <v>276667.116922391</v>
      </c>
      <c r="BG133" s="180" t="n">
        <f aca="false">BG132+AZ133-BA133</f>
        <v>150000</v>
      </c>
      <c r="BH133" s="180" t="n">
        <f aca="false">BH132+BE133</f>
        <v>0</v>
      </c>
      <c r="BI133" s="180" t="n">
        <f aca="false">BF133+BH133-BG133</f>
        <v>126667.116922391</v>
      </c>
      <c r="BJ133" s="180" t="n">
        <f aca="false">MAX(0,IFERROR(INDEX(TAB_IR,MATCH($C133,TAB_IR_DIAS,1),MATCH($E$8,TAB_IR_REGIMES,0)),0)*IF($E$26=2,BF133,MAX(0,BI133))-BH133)</f>
        <v>31666.7792305976</v>
      </c>
      <c r="BK133" s="181" t="n">
        <f aca="false">MAX(0,BF133-BJ133-BF133*$E$25)</f>
        <v>245000.337691793</v>
      </c>
      <c r="BL133" s="180" t="n">
        <f aca="false">BK133/$D133</f>
        <v>193627.325686615</v>
      </c>
      <c r="BN133" s="180" t="n">
        <f aca="false">BU132</f>
        <v>274324.727927348</v>
      </c>
      <c r="BO133" s="180" t="n">
        <f aca="false">IF($F$9=0,0,IF($A133&gt;IN_PRAZO,0,IF(APORTE_CORRIGIDO="Sim",IN_APORTE*$D133,IN_APORTE))+IF(AND($F$35=1,PGBL_REINVESTE="Sim",$A133&gt;=13,$A133&lt;=IN_PRAZO,MONTH($B133)=5),PGBL_BENEFICIO,0))</f>
        <v>0</v>
      </c>
      <c r="BP133" s="180" t="n">
        <f aca="false">BO133*$F$24</f>
        <v>0</v>
      </c>
      <c r="BQ133" s="180" t="n">
        <f aca="false">BN133*$F$19</f>
        <v>2685.29490495178</v>
      </c>
      <c r="BR133" s="180" t="n">
        <f aca="false">BN133*$F$22</f>
        <v>342.905909909185</v>
      </c>
      <c r="BS133" s="180" t="n">
        <f aca="false">$F$23*MAX(0,BQ133-BN133*$F$18)</f>
        <v>0</v>
      </c>
      <c r="BT133" s="180" t="n">
        <f aca="false">IF(AND($F$27=1,OR(MONTH($B133)=5,MONTH($B133)=11)),MAX(0,$F$28*MAX(0,(BN133+BQ133-BR133-BS133+BO133-BP133)+BW132-BV133)-BW132),0)</f>
        <v>0</v>
      </c>
      <c r="BU133" s="181" t="n">
        <f aca="false">BN133+BQ133-BR133-BS133+BO133-BP133-BT133</f>
        <v>276667.116922391</v>
      </c>
      <c r="BV133" s="180" t="n">
        <f aca="false">BV132+BO133-BP133</f>
        <v>150000</v>
      </c>
      <c r="BW133" s="180" t="n">
        <f aca="false">BW132+BT133</f>
        <v>0</v>
      </c>
      <c r="BX133" s="180" t="n">
        <f aca="false">BU133+BW133-BV133</f>
        <v>126667.116922391</v>
      </c>
      <c r="BY133" s="180" t="n">
        <f aca="false">MAX(0,IFERROR(INDEX(TAB_IR,MATCH($C133,TAB_IR_DIAS,1),MATCH($F$8,TAB_IR_REGIMES,0)),0)*IF($F$26=2,BU133,MAX(0,BX133))-BW133)</f>
        <v>69166.7792305976</v>
      </c>
      <c r="BZ133" s="181" t="n">
        <f aca="false">MAX(0,BU133-BY133-BU133*$F$25)</f>
        <v>207500.337691793</v>
      </c>
      <c r="CA133" s="180" t="n">
        <f aca="false">BZ133/$D133</f>
        <v>163990.530971734</v>
      </c>
      <c r="CC133" s="180" t="n">
        <f aca="false">CJ132</f>
        <v>233824.684630882</v>
      </c>
      <c r="CD133" s="180" t="n">
        <f aca="false">IF($G$9=0,0,IF($A133&gt;IN_PRAZO,0,IF(APORTE_CORRIGIDO="Sim",IN_APORTE*$D133,IN_APORTE))+IF(AND($G$35=1,PGBL_REINVESTE="Sim",$A133&gt;=13,$A133&lt;=IN_PRAZO,MONTH($B133)=5),PGBL_BENEFICIO,0))</f>
        <v>0</v>
      </c>
      <c r="CE133" s="180" t="n">
        <f aca="false">CD133*$G$24</f>
        <v>0</v>
      </c>
      <c r="CF133" s="180" t="n">
        <f aca="false">CC133*$G$19</f>
        <v>1907.36066631461</v>
      </c>
      <c r="CG133" s="180" t="n">
        <f aca="false">CC133*$G$22</f>
        <v>194.853903859069</v>
      </c>
      <c r="CH133" s="180" t="n">
        <f aca="false">$G$23*MAX(0,CF133-CC133*$G$18)</f>
        <v>0</v>
      </c>
      <c r="CI133" s="180" t="n">
        <f aca="false">IF(AND($G$27=1,OR(MONTH($B133)=5,MONTH($B133)=11)),MAX(0,$G$28*MAX(0,(CC133+CF133-CG133-CH133+CD133-CE133)+CL132-CK133)-CL132),0)</f>
        <v>0</v>
      </c>
      <c r="CJ133" s="181" t="n">
        <f aca="false">CC133+CF133-CG133-CH133+CD133-CE133-CI133</f>
        <v>235537.191393338</v>
      </c>
      <c r="CK133" s="180" t="n">
        <f aca="false">CK132+CD133-CE133</f>
        <v>150000</v>
      </c>
      <c r="CL133" s="180" t="n">
        <f aca="false">CL132+CI133</f>
        <v>14194.7529976623</v>
      </c>
      <c r="CM133" s="180" t="n">
        <f aca="false">CJ133+CL133-CK133</f>
        <v>99731.9443910002</v>
      </c>
      <c r="CN133" s="180" t="n">
        <f aca="false">MAX(0,IFERROR(INDEX(TAB_IR,MATCH($C133,TAB_IR_DIAS,1),MATCH($G$8,TAB_IR_REGIMES,0)),0)*IF($G$26=2,CJ133,MAX(0,CM133))-CL133)</f>
        <v>765.038660987706</v>
      </c>
      <c r="CO133" s="181" t="n">
        <f aca="false">MAX(0,CJ133-CN133-CJ133*$G$25)</f>
        <v>234772.15273235</v>
      </c>
      <c r="CP133" s="180" t="n">
        <f aca="false">CO133/$D133</f>
        <v>185543.842541313</v>
      </c>
    </row>
    <row r="134" customFormat="false" ht="12" hidden="false" customHeight="true" outlineLevel="0" collapsed="false">
      <c r="A134" s="177" t="n">
        <v>73</v>
      </c>
      <c r="B134" s="178" t="n">
        <f aca="false">EDATE(DATA_INICIO,$A134)</f>
        <v>48480</v>
      </c>
      <c r="C134" s="177" t="n">
        <f aca="false">$A134*30</f>
        <v>2190</v>
      </c>
      <c r="D134" s="179" t="n">
        <f aca="false">(1+IPCA_CENARIO)^($A134/12)</f>
        <v>1.26946134370402</v>
      </c>
      <c r="F134" s="180" t="n">
        <f aca="false">M133</f>
        <v>292574.466257367</v>
      </c>
      <c r="G134" s="180" t="n">
        <f aca="false">IF($B$9=0,0,IF($A134&gt;IN_PRAZO,0,IF(APORTE_CORRIGIDO="Sim",IN_APORTE*$D134,IN_APORTE))+IF(AND($B$35=1,PGBL_REINVESTE="Sim",$A134&gt;=13,$A134&lt;=IN_PRAZO,MONTH($B134)=5),PGBL_BENEFICIO,0))</f>
        <v>0</v>
      </c>
      <c r="H134" s="180" t="n">
        <f aca="false">G134*$B$24</f>
        <v>0</v>
      </c>
      <c r="I134" s="180" t="n">
        <f aca="false">F134*$B$19</f>
        <v>2776.17852826231</v>
      </c>
      <c r="J134" s="180" t="n">
        <f aca="false">F134*$B$22</f>
        <v>48.7624110428945</v>
      </c>
      <c r="K134" s="180" t="n">
        <f aca="false">$B$23*MAX(0,I134-F134*$B$18)</f>
        <v>0</v>
      </c>
      <c r="L134" s="180" t="n">
        <f aca="false">IF(AND($B$27=1,OR(MONTH($B134)=5,MONTH($B134)=11)),MAX(0,$B$28*MAX(0,(F134+I134-J134-K134+G134-H134)+O133-N134)-O133),0)</f>
        <v>0</v>
      </c>
      <c r="M134" s="181" t="n">
        <f aca="false">F134+I134-J134-K134+G134-H134-L134</f>
        <v>295301.882374587</v>
      </c>
      <c r="N134" s="180" t="n">
        <f aca="false">N133+G134-H134</f>
        <v>150000</v>
      </c>
      <c r="O134" s="180" t="n">
        <f aca="false">O133+L134</f>
        <v>0</v>
      </c>
      <c r="P134" s="180" t="n">
        <f aca="false">M134+O134-N134</f>
        <v>145301.882374587</v>
      </c>
      <c r="Q134" s="180" t="n">
        <f aca="false">MAX(0,IFERROR(INDEX(TAB_IR,MATCH($C134,TAB_IR_DIAS,1),MATCH($B$8,TAB_IR_REGIMES,0)),0)*IF($B$26=2,M134,MAX(0,P134))-O134)</f>
        <v>21795.282356188</v>
      </c>
      <c r="R134" s="181" t="n">
        <f aca="false">MAX(0,M134-Q134-M134*$B$25)</f>
        <v>273506.600018399</v>
      </c>
      <c r="S134" s="180" t="n">
        <f aca="false">R134/$D134</f>
        <v>215450.908666792</v>
      </c>
      <c r="U134" s="180" t="n">
        <f aca="false">AB133</f>
        <v>266045.975068553</v>
      </c>
      <c r="V134" s="180" t="n">
        <f aca="false">IF($C$9=0,0,IF($A134&gt;IN_PRAZO,0,IF(APORTE_CORRIGIDO="Sim",IN_APORTE*$D134,IN_APORTE))+IF(AND($C$35=1,PGBL_REINVESTE="Sim",$A134&gt;=13,$A134&lt;=IN_PRAZO,MONTH($B134)=5),PGBL_BENEFICIO,0))</f>
        <v>0</v>
      </c>
      <c r="W134" s="180" t="n">
        <f aca="false">V134*$C$24</f>
        <v>0</v>
      </c>
      <c r="X134" s="180" t="n">
        <f aca="false">U134*$C$19</f>
        <v>2170.19699642975</v>
      </c>
      <c r="Y134" s="180" t="n">
        <f aca="false">U134*$C$22</f>
        <v>44.3409958447588</v>
      </c>
      <c r="Z134" s="180" t="n">
        <f aca="false">$C$23*MAX(0,X134-U134*$C$18)</f>
        <v>0</v>
      </c>
      <c r="AA134" s="180" t="n">
        <f aca="false">IF(AND($C$27=1,OR(MONTH($B134)=5,MONTH($B134)=11)),MAX(0,$C$28*MAX(0,(U134+X134-Y134-Z134+V134-W134)+AD133-AC134)-AD133),0)</f>
        <v>0</v>
      </c>
      <c r="AB134" s="181" t="n">
        <f aca="false">U134+X134-Y134-Z134+V134-W134-AA134</f>
        <v>268171.831069138</v>
      </c>
      <c r="AC134" s="180" t="n">
        <f aca="false">AC133+V134-W134</f>
        <v>150000</v>
      </c>
      <c r="AD134" s="180" t="n">
        <f aca="false">AD133+AA134</f>
        <v>0</v>
      </c>
      <c r="AE134" s="180" t="n">
        <f aca="false">AB134+AD134-AC134</f>
        <v>118171.831069138</v>
      </c>
      <c r="AF134" s="180" t="n">
        <f aca="false">MAX(0,IFERROR(INDEX(TAB_IR,MATCH($C134,TAB_IR_DIAS,1),MATCH($C$8,TAB_IR_REGIMES,0)),0)*IF($C$26=2,AB134,MAX(0,AE134))-AD134)</f>
        <v>17725.7746603707</v>
      </c>
      <c r="AG134" s="181" t="n">
        <f aca="false">MAX(0,AB134-AF134-AB134*$C$25)</f>
        <v>250446.056408767</v>
      </c>
      <c r="AH134" s="180" t="n">
        <f aca="false">AG134/$D134</f>
        <v>197285.295571126</v>
      </c>
      <c r="AJ134" s="180" t="n">
        <f aca="false">AQ133</f>
        <v>247908.222162041</v>
      </c>
      <c r="AK134" s="180" t="n">
        <f aca="false">IF($D$9=0,0,IF($A134&gt;IN_PRAZO,0,IF(APORTE_CORRIGIDO="Sim",IN_APORTE*$D134,IN_APORTE))+IF(AND($D$35=1,PGBL_REINVESTE="Sim",$A134&gt;=13,$A134&lt;=IN_PRAZO,MONTH($B134)=5),PGBL_BENEFICIO,0))</f>
        <v>0</v>
      </c>
      <c r="AL134" s="180" t="n">
        <f aca="false">AK134*$D$24</f>
        <v>0</v>
      </c>
      <c r="AM134" s="180" t="n">
        <f aca="false">AJ134*$D$19</f>
        <v>2228.37190510615</v>
      </c>
      <c r="AN134" s="180" t="n">
        <f aca="false">AJ134*$D$22</f>
        <v>206.590185135034</v>
      </c>
      <c r="AO134" s="180" t="n">
        <f aca="false">$D$23*MAX(0,AM134-AJ134*$D$18)</f>
        <v>0</v>
      </c>
      <c r="AP134" s="180" t="n">
        <f aca="false">IF(AND($D$27=1,OR(MONTH($B134)=5,MONTH($B134)=11)),MAX(0,$D$28*MAX(0,(AJ134+AM134-AN134-AO134+AK134-AL134)+AS133-AR134)-AS133),0)</f>
        <v>0</v>
      </c>
      <c r="AQ134" s="181" t="n">
        <f aca="false">AJ134+AM134-AN134-AO134+AK134-AL134-AP134</f>
        <v>249930.003882012</v>
      </c>
      <c r="AR134" s="180" t="n">
        <f aca="false">AR133+AK134-AL134</f>
        <v>150000</v>
      </c>
      <c r="AS134" s="180" t="n">
        <f aca="false">AS133+AP134</f>
        <v>16224.7903714358</v>
      </c>
      <c r="AT134" s="180" t="n">
        <f aca="false">AQ134+AS134-AR134</f>
        <v>116154.794253448</v>
      </c>
      <c r="AU134" s="180" t="n">
        <f aca="false">MAX(0,IFERROR(INDEX(TAB_IR,MATCH($C134,TAB_IR_DIAS,1),MATCH($D$8,TAB_IR_REGIMES,0)),0)*IF($D$26=2,AQ134,MAX(0,AT134))-AS134)</f>
        <v>1198.42876658138</v>
      </c>
      <c r="AV134" s="181" t="n">
        <f aca="false">MAX(0,AQ134-AU134-AQ134*$D$25)</f>
        <v>248731.575115431</v>
      </c>
      <c r="AW134" s="180" t="n">
        <f aca="false">AV134/$D134</f>
        <v>195934.737476672</v>
      </c>
      <c r="AY134" s="180" t="n">
        <f aca="false">BF133</f>
        <v>276667.116922391</v>
      </c>
      <c r="AZ134" s="180" t="n">
        <f aca="false">IF($E$9=0,0,IF($A134&gt;IN_PRAZO,0,IF(APORTE_CORRIGIDO="Sim",IN_APORTE*$D134,IN_APORTE))+IF(AND($E$35=1,PGBL_REINVESTE="Sim",$A134&gt;=13,$A134&lt;=IN_PRAZO,MONTH($B134)=5),PGBL_BENEFICIO,0))</f>
        <v>0</v>
      </c>
      <c r="BA134" s="180" t="n">
        <f aca="false">AZ134*$E$24</f>
        <v>0</v>
      </c>
      <c r="BB134" s="180" t="n">
        <f aca="false">AY134*$E$19</f>
        <v>2708.22395433544</v>
      </c>
      <c r="BC134" s="180" t="n">
        <f aca="false">AY134*$E$22</f>
        <v>345.833896152988</v>
      </c>
      <c r="BD134" s="180" t="n">
        <f aca="false">$E$23*MAX(0,BB134-AY134*$E$18)</f>
        <v>0</v>
      </c>
      <c r="BE134" s="180" t="n">
        <f aca="false">IF(AND($E$27=1,OR(MONTH($B134)=5,MONTH($B134)=11)),MAX(0,$E$28*MAX(0,(AY134+BB134-BC134-BD134+AZ134-BA134)+BH133-BG134)-BH133),0)</f>
        <v>0</v>
      </c>
      <c r="BF134" s="181" t="n">
        <f aca="false">AY134+BB134-BC134-BD134+AZ134-BA134-BE134</f>
        <v>279029.506980573</v>
      </c>
      <c r="BG134" s="180" t="n">
        <f aca="false">BG133+AZ134-BA134</f>
        <v>150000</v>
      </c>
      <c r="BH134" s="180" t="n">
        <f aca="false">BH133+BE134</f>
        <v>0</v>
      </c>
      <c r="BI134" s="180" t="n">
        <f aca="false">BF134+BH134-BG134</f>
        <v>129029.506980573</v>
      </c>
      <c r="BJ134" s="180" t="n">
        <f aca="false">MAX(0,IFERROR(INDEX(TAB_IR,MATCH($C134,TAB_IR_DIAS,1),MATCH($E$8,TAB_IR_REGIMES,0)),0)*IF($E$26=2,BF134,MAX(0,BI134))-BH134)</f>
        <v>25805.9013961146</v>
      </c>
      <c r="BK134" s="181" t="n">
        <f aca="false">MAX(0,BF134-BJ134-BF134*$E$25)</f>
        <v>253223.605584458</v>
      </c>
      <c r="BL134" s="180" t="n">
        <f aca="false">BK134/$D134</f>
        <v>199473.270171114</v>
      </c>
      <c r="BN134" s="180" t="n">
        <f aca="false">BU133</f>
        <v>276667.116922391</v>
      </c>
      <c r="BO134" s="180" t="n">
        <f aca="false">IF($F$9=0,0,IF($A134&gt;IN_PRAZO,0,IF(APORTE_CORRIGIDO="Sim",IN_APORTE*$D134,IN_APORTE))+IF(AND($F$35=1,PGBL_REINVESTE="Sim",$A134&gt;=13,$A134&lt;=IN_PRAZO,MONTH($B134)=5),PGBL_BENEFICIO,0))</f>
        <v>0</v>
      </c>
      <c r="BP134" s="180" t="n">
        <f aca="false">BO134*$F$24</f>
        <v>0</v>
      </c>
      <c r="BQ134" s="180" t="n">
        <f aca="false">BN134*$F$19</f>
        <v>2708.22395433544</v>
      </c>
      <c r="BR134" s="180" t="n">
        <f aca="false">BN134*$F$22</f>
        <v>345.833896152988</v>
      </c>
      <c r="BS134" s="180" t="n">
        <f aca="false">$F$23*MAX(0,BQ134-BN134*$F$18)</f>
        <v>0</v>
      </c>
      <c r="BT134" s="180" t="n">
        <f aca="false">IF(AND($F$27=1,OR(MONTH($B134)=5,MONTH($B134)=11)),MAX(0,$F$28*MAX(0,(BN134+BQ134-BR134-BS134+BO134-BP134)+BW133-BV134)-BW133),0)</f>
        <v>0</v>
      </c>
      <c r="BU134" s="181" t="n">
        <f aca="false">BN134+BQ134-BR134-BS134+BO134-BP134-BT134</f>
        <v>279029.506980573</v>
      </c>
      <c r="BV134" s="180" t="n">
        <f aca="false">BV133+BO134-BP134</f>
        <v>150000</v>
      </c>
      <c r="BW134" s="180" t="n">
        <f aca="false">BW133+BT134</f>
        <v>0</v>
      </c>
      <c r="BX134" s="180" t="n">
        <f aca="false">BU134+BW134-BV134</f>
        <v>129029.506980573</v>
      </c>
      <c r="BY134" s="180" t="n">
        <f aca="false">MAX(0,IFERROR(INDEX(TAB_IR,MATCH($C134,TAB_IR_DIAS,1),MATCH($F$8,TAB_IR_REGIMES,0)),0)*IF($F$26=2,BU134,MAX(0,BX134))-BW134)</f>
        <v>55805.9013961146</v>
      </c>
      <c r="BZ134" s="181" t="n">
        <f aca="false">MAX(0,BU134-BY134-BU134*$F$25)</f>
        <v>223223.605584458</v>
      </c>
      <c r="CA134" s="180" t="n">
        <f aca="false">BZ134/$D134</f>
        <v>175841.199648615</v>
      </c>
      <c r="CC134" s="180" t="n">
        <f aca="false">CJ133</f>
        <v>235537.191393338</v>
      </c>
      <c r="CD134" s="180" t="n">
        <f aca="false">IF($G$9=0,0,IF($A134&gt;IN_PRAZO,0,IF(APORTE_CORRIGIDO="Sim",IN_APORTE*$D134,IN_APORTE))+IF(AND($G$35=1,PGBL_REINVESTE="Sim",$A134&gt;=13,$A134&lt;=IN_PRAZO,MONTH($B134)=5),PGBL_BENEFICIO,0))</f>
        <v>0</v>
      </c>
      <c r="CE134" s="180" t="n">
        <f aca="false">CD134*$G$24</f>
        <v>0</v>
      </c>
      <c r="CF134" s="180" t="n">
        <f aca="false">CC134*$G$19</f>
        <v>1921.329970046</v>
      </c>
      <c r="CG134" s="180" t="n">
        <f aca="false">CC134*$G$22</f>
        <v>196.280992827782</v>
      </c>
      <c r="CH134" s="180" t="n">
        <f aca="false">$G$23*MAX(0,CF134-CC134*$G$18)</f>
        <v>0</v>
      </c>
      <c r="CI134" s="180" t="n">
        <f aca="false">IF(AND($G$27=1,OR(MONTH($B134)=5,MONTH($B134)=11)),MAX(0,$G$28*MAX(0,(CC134+CF134-CG134-CH134+CD134-CE134)+CL133-CK134)-CL133),0)</f>
        <v>0</v>
      </c>
      <c r="CJ134" s="181" t="n">
        <f aca="false">CC134+CF134-CG134-CH134+CD134-CE134-CI134</f>
        <v>237262.240370556</v>
      </c>
      <c r="CK134" s="180" t="n">
        <f aca="false">CK133+CD134-CE134</f>
        <v>150000</v>
      </c>
      <c r="CL134" s="180" t="n">
        <f aca="false">CL133+CI134</f>
        <v>14194.7529976623</v>
      </c>
      <c r="CM134" s="180" t="n">
        <f aca="false">CJ134+CL134-CK134</f>
        <v>101456.993368218</v>
      </c>
      <c r="CN134" s="180" t="n">
        <f aca="false">MAX(0,IFERROR(INDEX(TAB_IR,MATCH($C134,TAB_IR_DIAS,1),MATCH($G$8,TAB_IR_REGIMES,0)),0)*IF($G$26=2,CJ134,MAX(0,CM134))-CL134)</f>
        <v>1023.79600757044</v>
      </c>
      <c r="CO134" s="181" t="n">
        <f aca="false">MAX(0,CJ134-CN134-CJ134*$G$25)</f>
        <v>236238.444362986</v>
      </c>
      <c r="CP134" s="180" t="n">
        <f aca="false">CO134/$D134</f>
        <v>186093.452577052</v>
      </c>
    </row>
    <row r="135" customFormat="false" ht="12" hidden="false" customHeight="true" outlineLevel="0" collapsed="false">
      <c r="A135" s="177" t="n">
        <v>74</v>
      </c>
      <c r="B135" s="178" t="n">
        <f aca="false">EDATE(DATA_INICIO,$A135)</f>
        <v>48510</v>
      </c>
      <c r="C135" s="177" t="n">
        <f aca="false">$A135*30</f>
        <v>2220</v>
      </c>
      <c r="D135" s="179" t="n">
        <f aca="false">(1+IPCA_CENARIO)^($A135/12)</f>
        <v>1.27361722980687</v>
      </c>
      <c r="F135" s="180" t="n">
        <f aca="false">M134</f>
        <v>295301.882374587</v>
      </c>
      <c r="G135" s="180" t="n">
        <f aca="false">IF($B$9=0,0,IF($A135&gt;IN_PRAZO,0,IF(APORTE_CORRIGIDO="Sim",IN_APORTE*$D135,IN_APORTE))+IF(AND($B$35=1,PGBL_REINVESTE="Sim",$A135&gt;=13,$A135&lt;=IN_PRAZO,MONTH($B135)=5),PGBL_BENEFICIO,0))</f>
        <v>0</v>
      </c>
      <c r="H135" s="180" t="n">
        <f aca="false">G135*$B$24</f>
        <v>0</v>
      </c>
      <c r="I135" s="180" t="n">
        <f aca="false">F135*$B$19</f>
        <v>2802.05841504505</v>
      </c>
      <c r="J135" s="180" t="n">
        <f aca="false">F135*$B$22</f>
        <v>49.2169803957644</v>
      </c>
      <c r="K135" s="180" t="n">
        <f aca="false">$B$23*MAX(0,I135-F135*$B$18)</f>
        <v>0</v>
      </c>
      <c r="L135" s="180" t="n">
        <f aca="false">IF(AND($B$27=1,OR(MONTH($B135)=5,MONTH($B135)=11)),MAX(0,$B$28*MAX(0,(F135+I135-J135-K135+G135-H135)+O134-N135)-O134),0)</f>
        <v>0</v>
      </c>
      <c r="M135" s="181" t="n">
        <f aca="false">F135+I135-J135-K135+G135-H135-L135</f>
        <v>298054.723809236</v>
      </c>
      <c r="N135" s="180" t="n">
        <f aca="false">N134+G135-H135</f>
        <v>150000</v>
      </c>
      <c r="O135" s="180" t="n">
        <f aca="false">O134+L135</f>
        <v>0</v>
      </c>
      <c r="P135" s="180" t="n">
        <f aca="false">M135+O135-N135</f>
        <v>148054.723809236</v>
      </c>
      <c r="Q135" s="180" t="n">
        <f aca="false">MAX(0,IFERROR(INDEX(TAB_IR,MATCH($C135,TAB_IR_DIAS,1),MATCH($B$8,TAB_IR_REGIMES,0)),0)*IF($B$26=2,M135,MAX(0,P135))-O135)</f>
        <v>22208.2085713854</v>
      </c>
      <c r="R135" s="181" t="n">
        <f aca="false">MAX(0,M135-Q135-M135*$B$25)</f>
        <v>275846.515237851</v>
      </c>
      <c r="S135" s="180" t="n">
        <f aca="false">R135/$D135</f>
        <v>216585.100124375</v>
      </c>
      <c r="U135" s="180" t="n">
        <f aca="false">AB134</f>
        <v>268171.831069138</v>
      </c>
      <c r="V135" s="180" t="n">
        <f aca="false">IF($C$9=0,0,IF($A135&gt;IN_PRAZO,0,IF(APORTE_CORRIGIDO="Sim",IN_APORTE*$D135,IN_APORTE))+IF(AND($C$35=1,PGBL_REINVESTE="Sim",$A135&gt;=13,$A135&lt;=IN_PRAZO,MONTH($B135)=5),PGBL_BENEFICIO,0))</f>
        <v>0</v>
      </c>
      <c r="W135" s="180" t="n">
        <f aca="false">V135*$C$24</f>
        <v>0</v>
      </c>
      <c r="X135" s="180" t="n">
        <f aca="false">U135*$C$19</f>
        <v>2187.53808308262</v>
      </c>
      <c r="Y135" s="180" t="n">
        <f aca="false">U135*$C$22</f>
        <v>44.6953051781896</v>
      </c>
      <c r="Z135" s="180" t="n">
        <f aca="false">$C$23*MAX(0,X135-U135*$C$18)</f>
        <v>0</v>
      </c>
      <c r="AA135" s="180" t="n">
        <f aca="false">IF(AND($C$27=1,OR(MONTH($B135)=5,MONTH($B135)=11)),MAX(0,$C$28*MAX(0,(U135+X135-Y135-Z135+V135-W135)+AD134-AC135)-AD134),0)</f>
        <v>0</v>
      </c>
      <c r="AB135" s="181" t="n">
        <f aca="false">U135+X135-Y135-Z135+V135-W135-AA135</f>
        <v>270314.673847042</v>
      </c>
      <c r="AC135" s="180" t="n">
        <f aca="false">AC134+V135-W135</f>
        <v>150000</v>
      </c>
      <c r="AD135" s="180" t="n">
        <f aca="false">AD134+AA135</f>
        <v>0</v>
      </c>
      <c r="AE135" s="180" t="n">
        <f aca="false">AB135+AD135-AC135</f>
        <v>120314.673847042</v>
      </c>
      <c r="AF135" s="180" t="n">
        <f aca="false">MAX(0,IFERROR(INDEX(TAB_IR,MATCH($C135,TAB_IR_DIAS,1),MATCH($C$8,TAB_IR_REGIMES,0)),0)*IF($C$26=2,AB135,MAX(0,AE135))-AD135)</f>
        <v>18047.2010770563</v>
      </c>
      <c r="AG135" s="181" t="n">
        <f aca="false">MAX(0,AB135-AF135-AB135*$C$25)</f>
        <v>252267.472769986</v>
      </c>
      <c r="AH135" s="180" t="n">
        <f aca="false">AG135/$D135</f>
        <v>198071.655177152</v>
      </c>
      <c r="AJ135" s="180" t="n">
        <f aca="false">AQ134</f>
        <v>249930.003882012</v>
      </c>
      <c r="AK135" s="180" t="n">
        <f aca="false">IF($D$9=0,0,IF($A135&gt;IN_PRAZO,0,IF(APORTE_CORRIGIDO="Sim",IN_APORTE*$D135,IN_APORTE))+IF(AND($D$35=1,PGBL_REINVESTE="Sim",$A135&gt;=13,$A135&lt;=IN_PRAZO,MONTH($B135)=5),PGBL_BENEFICIO,0))</f>
        <v>0</v>
      </c>
      <c r="AL135" s="180" t="n">
        <f aca="false">AK135*$D$24</f>
        <v>0</v>
      </c>
      <c r="AM135" s="180" t="n">
        <f aca="false">AJ135*$D$19</f>
        <v>2246.54508848728</v>
      </c>
      <c r="AN135" s="180" t="n">
        <f aca="false">AJ135*$D$22</f>
        <v>208.27500323501</v>
      </c>
      <c r="AO135" s="180" t="n">
        <f aca="false">$D$23*MAX(0,AM135-AJ135*$D$18)</f>
        <v>0</v>
      </c>
      <c r="AP135" s="180" t="n">
        <f aca="false">IF(AND($D$27=1,OR(MONTH($B135)=5,MONTH($B135)=11)),MAX(0,$D$28*MAX(0,(AJ135+AM135-AN135-AO135+AK135-AL135)+AS134-AR135)-AS134),0)</f>
        <v>0</v>
      </c>
      <c r="AQ135" s="181" t="n">
        <f aca="false">AJ135+AM135-AN135-AO135+AK135-AL135-AP135</f>
        <v>251968.273967264</v>
      </c>
      <c r="AR135" s="180" t="n">
        <f aca="false">AR134+AK135-AL135</f>
        <v>150000</v>
      </c>
      <c r="AS135" s="180" t="n">
        <f aca="false">AS134+AP135</f>
        <v>16224.7903714358</v>
      </c>
      <c r="AT135" s="180" t="n">
        <f aca="false">AQ135+AS135-AR135</f>
        <v>118193.0643387</v>
      </c>
      <c r="AU135" s="180" t="n">
        <f aca="false">MAX(0,IFERROR(INDEX(TAB_IR,MATCH($C135,TAB_IR_DIAS,1),MATCH($D$8,TAB_IR_REGIMES,0)),0)*IF($D$26=2,AQ135,MAX(0,AT135))-AS135)</f>
        <v>1504.16927936922</v>
      </c>
      <c r="AV135" s="181" t="n">
        <f aca="false">MAX(0,AQ135-AU135-AQ135*$D$25)</f>
        <v>250464.104687895</v>
      </c>
      <c r="AW135" s="180" t="n">
        <f aca="false">AV135/$D135</f>
        <v>196655.71321289</v>
      </c>
      <c r="AY135" s="180" t="n">
        <f aca="false">BF134</f>
        <v>279029.506980573</v>
      </c>
      <c r="AZ135" s="180" t="n">
        <f aca="false">IF($E$9=0,0,IF($A135&gt;IN_PRAZO,0,IF(APORTE_CORRIGIDO="Sim",IN_APORTE*$D135,IN_APORTE))+IF(AND($E$35=1,PGBL_REINVESTE="Sim",$A135&gt;=13,$A135&lt;=IN_PRAZO,MONTH($B135)=5),PGBL_BENEFICIO,0))</f>
        <v>0</v>
      </c>
      <c r="BA135" s="180" t="n">
        <f aca="false">AZ135*$E$24</f>
        <v>0</v>
      </c>
      <c r="BB135" s="180" t="n">
        <f aca="false">AY135*$E$19</f>
        <v>2731.3487890329</v>
      </c>
      <c r="BC135" s="180" t="n">
        <f aca="false">AY135*$E$22</f>
        <v>348.786883725716</v>
      </c>
      <c r="BD135" s="180" t="n">
        <f aca="false">$E$23*MAX(0,BB135-AY135*$E$18)</f>
        <v>0</v>
      </c>
      <c r="BE135" s="180" t="n">
        <f aca="false">IF(AND($E$27=1,OR(MONTH($B135)=5,MONTH($B135)=11)),MAX(0,$E$28*MAX(0,(AY135+BB135-BC135-BD135+AZ135-BA135)+BH134-BG135)-BH134),0)</f>
        <v>0</v>
      </c>
      <c r="BF135" s="181" t="n">
        <f aca="false">AY135+BB135-BC135-BD135+AZ135-BA135-BE135</f>
        <v>281412.06888588</v>
      </c>
      <c r="BG135" s="180" t="n">
        <f aca="false">BG134+AZ135-BA135</f>
        <v>150000</v>
      </c>
      <c r="BH135" s="180" t="n">
        <f aca="false">BH134+BE135</f>
        <v>0</v>
      </c>
      <c r="BI135" s="180" t="n">
        <f aca="false">BF135+BH135-BG135</f>
        <v>131412.06888588</v>
      </c>
      <c r="BJ135" s="180" t="n">
        <f aca="false">MAX(0,IFERROR(INDEX(TAB_IR,MATCH($C135,TAB_IR_DIAS,1),MATCH($E$8,TAB_IR_REGIMES,0)),0)*IF($E$26=2,BF135,MAX(0,BI135))-BH135)</f>
        <v>26282.413777176</v>
      </c>
      <c r="BK135" s="181" t="n">
        <f aca="false">MAX(0,BF135-BJ135-BF135*$E$25)</f>
        <v>255129.655108704</v>
      </c>
      <c r="BL135" s="180" t="n">
        <f aca="false">BK135/$D135</f>
        <v>200318.941309699</v>
      </c>
      <c r="BN135" s="180" t="n">
        <f aca="false">BU134</f>
        <v>279029.506980573</v>
      </c>
      <c r="BO135" s="180" t="n">
        <f aca="false">IF($F$9=0,0,IF($A135&gt;IN_PRAZO,0,IF(APORTE_CORRIGIDO="Sim",IN_APORTE*$D135,IN_APORTE))+IF(AND($F$35=1,PGBL_REINVESTE="Sim",$A135&gt;=13,$A135&lt;=IN_PRAZO,MONTH($B135)=5),PGBL_BENEFICIO,0))</f>
        <v>0</v>
      </c>
      <c r="BP135" s="180" t="n">
        <f aca="false">BO135*$F$24</f>
        <v>0</v>
      </c>
      <c r="BQ135" s="180" t="n">
        <f aca="false">BN135*$F$19</f>
        <v>2731.3487890329</v>
      </c>
      <c r="BR135" s="180" t="n">
        <f aca="false">BN135*$F$22</f>
        <v>348.786883725716</v>
      </c>
      <c r="BS135" s="180" t="n">
        <f aca="false">$F$23*MAX(0,BQ135-BN135*$F$18)</f>
        <v>0</v>
      </c>
      <c r="BT135" s="180" t="n">
        <f aca="false">IF(AND($F$27=1,OR(MONTH($B135)=5,MONTH($B135)=11)),MAX(0,$F$28*MAX(0,(BN135+BQ135-BR135-BS135+BO135-BP135)+BW134-BV135)-BW134),0)</f>
        <v>0</v>
      </c>
      <c r="BU135" s="181" t="n">
        <f aca="false">BN135+BQ135-BR135-BS135+BO135-BP135-BT135</f>
        <v>281412.06888588</v>
      </c>
      <c r="BV135" s="180" t="n">
        <f aca="false">BV134+BO135-BP135</f>
        <v>150000</v>
      </c>
      <c r="BW135" s="180" t="n">
        <f aca="false">BW134+BT135</f>
        <v>0</v>
      </c>
      <c r="BX135" s="180" t="n">
        <f aca="false">BU135+BW135-BV135</f>
        <v>131412.06888588</v>
      </c>
      <c r="BY135" s="180" t="n">
        <f aca="false">MAX(0,IFERROR(INDEX(TAB_IR,MATCH($C135,TAB_IR_DIAS,1),MATCH($F$8,TAB_IR_REGIMES,0)),0)*IF($F$26=2,BU135,MAX(0,BX135))-BW135)</f>
        <v>56282.413777176</v>
      </c>
      <c r="BZ135" s="181" t="n">
        <f aca="false">MAX(0,BU135-BY135-BU135*$F$25)</f>
        <v>225129.655108704</v>
      </c>
      <c r="CA135" s="180" t="n">
        <f aca="false">BZ135/$D135</f>
        <v>176763.983589357</v>
      </c>
      <c r="CC135" s="180" t="n">
        <f aca="false">CJ134</f>
        <v>237262.240370556</v>
      </c>
      <c r="CD135" s="180" t="n">
        <f aca="false">IF($G$9=0,0,IF($A135&gt;IN_PRAZO,0,IF(APORTE_CORRIGIDO="Sim",IN_APORTE*$D135,IN_APORTE))+IF(AND($G$35=1,PGBL_REINVESTE="Sim",$A135&gt;=13,$A135&lt;=IN_PRAZO,MONTH($B135)=5),PGBL_BENEFICIO,0))</f>
        <v>0</v>
      </c>
      <c r="CE135" s="180" t="n">
        <f aca="false">CD135*$G$24</f>
        <v>0</v>
      </c>
      <c r="CF135" s="180" t="n">
        <f aca="false">CC135*$G$19</f>
        <v>1935.40158345074</v>
      </c>
      <c r="CG135" s="180" t="n">
        <f aca="false">CC135*$G$22</f>
        <v>197.71853364213</v>
      </c>
      <c r="CH135" s="180" t="n">
        <f aca="false">$G$23*MAX(0,CF135-CC135*$G$18)</f>
        <v>0</v>
      </c>
      <c r="CI135" s="180" t="n">
        <f aca="false">IF(AND($G$27=1,OR(MONTH($B135)=5,MONTH($B135)=11)),MAX(0,$G$28*MAX(0,(CC135+CF135-CG135-CH135+CD135-CE135)+CL134-CK135)-CL134),0)</f>
        <v>0</v>
      </c>
      <c r="CJ135" s="181" t="n">
        <f aca="false">CC135+CF135-CG135-CH135+CD135-CE135-CI135</f>
        <v>238999.923420365</v>
      </c>
      <c r="CK135" s="180" t="n">
        <f aca="false">CK134+CD135-CE135</f>
        <v>150000</v>
      </c>
      <c r="CL135" s="180" t="n">
        <f aca="false">CL134+CI135</f>
        <v>14194.7529976623</v>
      </c>
      <c r="CM135" s="180" t="n">
        <f aca="false">CJ135+CL135-CK135</f>
        <v>103194.676418027</v>
      </c>
      <c r="CN135" s="180" t="n">
        <f aca="false">MAX(0,IFERROR(INDEX(TAB_IR,MATCH($C135,TAB_IR_DIAS,1),MATCH($G$8,TAB_IR_REGIMES,0)),0)*IF($G$26=2,CJ135,MAX(0,CM135))-CL135)</f>
        <v>1284.44846504173</v>
      </c>
      <c r="CO135" s="181" t="n">
        <f aca="false">MAX(0,CJ135-CN135-CJ135*$G$25)</f>
        <v>237715.474955323</v>
      </c>
      <c r="CP135" s="180" t="n">
        <f aca="false">CO135/$D135</f>
        <v>186645.932068122</v>
      </c>
    </row>
    <row r="136" customFormat="false" ht="12" hidden="false" customHeight="true" outlineLevel="0" collapsed="false">
      <c r="A136" s="177" t="n">
        <v>75</v>
      </c>
      <c r="B136" s="178" t="n">
        <f aca="false">EDATE(DATA_INICIO,$A136)</f>
        <v>48541</v>
      </c>
      <c r="C136" s="177" t="n">
        <f aca="false">$A136*30</f>
        <v>2250</v>
      </c>
      <c r="D136" s="179" t="n">
        <f aca="false">(1+IPCA_CENARIO)^($A136/12)</f>
        <v>1.27778672119938</v>
      </c>
      <c r="F136" s="180" t="n">
        <f aca="false">M135</f>
        <v>298054.723809236</v>
      </c>
      <c r="G136" s="180" t="n">
        <f aca="false">IF($B$9=0,0,IF($A136&gt;IN_PRAZO,0,IF(APORTE_CORRIGIDO="Sim",IN_APORTE*$D136,IN_APORTE))+IF(AND($B$35=1,PGBL_REINVESTE="Sim",$A136&gt;=13,$A136&lt;=IN_PRAZO,MONTH($B136)=5),PGBL_BENEFICIO,0))</f>
        <v>0</v>
      </c>
      <c r="H136" s="180" t="n">
        <f aca="false">G136*$B$24</f>
        <v>0</v>
      </c>
      <c r="I136" s="180" t="n">
        <f aca="false">F136*$B$19</f>
        <v>2828.17955740018</v>
      </c>
      <c r="J136" s="180" t="n">
        <f aca="false">F136*$B$22</f>
        <v>49.6757873015393</v>
      </c>
      <c r="K136" s="180" t="n">
        <f aca="false">$B$23*MAX(0,I136-F136*$B$18)</f>
        <v>0</v>
      </c>
      <c r="L136" s="180" t="n">
        <f aca="false">IF(AND($B$27=1,OR(MONTH($B136)=5,MONTH($B136)=11)),MAX(0,$B$28*MAX(0,(F136+I136-J136-K136+G136-H136)+O135-N136)-O135),0)</f>
        <v>0</v>
      </c>
      <c r="M136" s="181" t="n">
        <f aca="false">F136+I136-J136-K136+G136-H136-L136</f>
        <v>300833.227579334</v>
      </c>
      <c r="N136" s="180" t="n">
        <f aca="false">N135+G136-H136</f>
        <v>150000</v>
      </c>
      <c r="O136" s="180" t="n">
        <f aca="false">O135+L136</f>
        <v>0</v>
      </c>
      <c r="P136" s="180" t="n">
        <f aca="false">M136+O136-N136</f>
        <v>150833.227579334</v>
      </c>
      <c r="Q136" s="180" t="n">
        <f aca="false">MAX(0,IFERROR(INDEX(TAB_IR,MATCH($C136,TAB_IR_DIAS,1),MATCH($B$8,TAB_IR_REGIMES,0)),0)*IF($B$26=2,M136,MAX(0,P136))-O136)</f>
        <v>22624.9841369002</v>
      </c>
      <c r="R136" s="181" t="n">
        <f aca="false">MAX(0,M136-Q136-M136*$B$25)</f>
        <v>278208.243442434</v>
      </c>
      <c r="S136" s="180" t="n">
        <f aca="false">R136/$D136</f>
        <v>217726.666607786</v>
      </c>
      <c r="U136" s="180" t="n">
        <f aca="false">AB135</f>
        <v>270314.673847042</v>
      </c>
      <c r="V136" s="180" t="n">
        <f aca="false">IF($C$9=0,0,IF($A136&gt;IN_PRAZO,0,IF(APORTE_CORRIGIDO="Sim",IN_APORTE*$D136,IN_APORTE))+IF(AND($C$35=1,PGBL_REINVESTE="Sim",$A136&gt;=13,$A136&lt;=IN_PRAZO,MONTH($B136)=5),PGBL_BENEFICIO,0))</f>
        <v>0</v>
      </c>
      <c r="W136" s="180" t="n">
        <f aca="false">V136*$C$24</f>
        <v>0</v>
      </c>
      <c r="X136" s="180" t="n">
        <f aca="false">U136*$C$19</f>
        <v>2205.01773470761</v>
      </c>
      <c r="Y136" s="180" t="n">
        <f aca="false">U136*$C$22</f>
        <v>45.0524456411737</v>
      </c>
      <c r="Z136" s="180" t="n">
        <f aca="false">$C$23*MAX(0,X136-U136*$C$18)</f>
        <v>0</v>
      </c>
      <c r="AA136" s="180" t="n">
        <f aca="false">IF(AND($C$27=1,OR(MONTH($B136)=5,MONTH($B136)=11)),MAX(0,$C$28*MAX(0,(U136+X136-Y136-Z136+V136-W136)+AD135-AC136)-AD135),0)</f>
        <v>0</v>
      </c>
      <c r="AB136" s="181" t="n">
        <f aca="false">U136+X136-Y136-Z136+V136-W136-AA136</f>
        <v>272474.639136109</v>
      </c>
      <c r="AC136" s="180" t="n">
        <f aca="false">AC135+V136-W136</f>
        <v>150000</v>
      </c>
      <c r="AD136" s="180" t="n">
        <f aca="false">AD135+AA136</f>
        <v>0</v>
      </c>
      <c r="AE136" s="180" t="n">
        <f aca="false">AB136+AD136-AC136</f>
        <v>122474.639136109</v>
      </c>
      <c r="AF136" s="180" t="n">
        <f aca="false">MAX(0,IFERROR(INDEX(TAB_IR,MATCH($C136,TAB_IR_DIAS,1),MATCH($C$8,TAB_IR_REGIMES,0)),0)*IF($C$26=2,AB136,MAX(0,AE136))-AD136)</f>
        <v>18371.1958704163</v>
      </c>
      <c r="AG136" s="181" t="n">
        <f aca="false">MAX(0,AB136-AF136-AB136*$C$25)</f>
        <v>254103.443265692</v>
      </c>
      <c r="AH136" s="180" t="n">
        <f aca="false">AG136/$D136</f>
        <v>198862.172418868</v>
      </c>
      <c r="AJ136" s="180" t="n">
        <f aca="false">AQ135</f>
        <v>251968.273967264</v>
      </c>
      <c r="AK136" s="180" t="n">
        <f aca="false">IF($D$9=0,0,IF($A136&gt;IN_PRAZO,0,IF(APORTE_CORRIGIDO="Sim",IN_APORTE*$D136,IN_APORTE))+IF(AND($D$35=1,PGBL_REINVESTE="Sim",$A136&gt;=13,$A136&lt;=IN_PRAZO,MONTH($B136)=5),PGBL_BENEFICIO,0))</f>
        <v>0</v>
      </c>
      <c r="AL136" s="180" t="n">
        <f aca="false">AK136*$D$24</f>
        <v>0</v>
      </c>
      <c r="AM136" s="180" t="n">
        <f aca="false">AJ136*$D$19</f>
        <v>2264.86648078877</v>
      </c>
      <c r="AN136" s="180" t="n">
        <f aca="false">AJ136*$D$22</f>
        <v>209.973561639387</v>
      </c>
      <c r="AO136" s="180" t="n">
        <f aca="false">$D$23*MAX(0,AM136-AJ136*$D$18)</f>
        <v>0</v>
      </c>
      <c r="AP136" s="180" t="n">
        <f aca="false">IF(AND($D$27=1,OR(MONTH($B136)=5,MONTH($B136)=11)),MAX(0,$D$28*MAX(0,(AJ136+AM136-AN136-AO136+AK136-AL136)+AS135-AR136)-AS135),0)</f>
        <v>1812.40321724163</v>
      </c>
      <c r="AQ136" s="181" t="n">
        <f aca="false">AJ136+AM136-AN136-AO136+AK136-AL136-AP136</f>
        <v>252210.763669172</v>
      </c>
      <c r="AR136" s="180" t="n">
        <f aca="false">AR135+AK136-AL136</f>
        <v>150000</v>
      </c>
      <c r="AS136" s="180" t="n">
        <f aca="false">AS135+AP136</f>
        <v>18037.1935886774</v>
      </c>
      <c r="AT136" s="180" t="n">
        <f aca="false">AQ136+AS136-AR136</f>
        <v>120247.957257849</v>
      </c>
      <c r="AU136" s="180" t="n">
        <f aca="false">MAX(0,IFERROR(INDEX(TAB_IR,MATCH($C136,TAB_IR_DIAS,1),MATCH($D$8,TAB_IR_REGIMES,0)),0)*IF($D$26=2,AQ136,MAX(0,AT136))-AS136)</f>
        <v>0</v>
      </c>
      <c r="AV136" s="181" t="n">
        <f aca="false">MAX(0,AQ136-AU136-AQ136*$D$25)</f>
        <v>252210.763669172</v>
      </c>
      <c r="AW136" s="180" t="n">
        <f aca="false">AV136/$D136</f>
        <v>197380.955275882</v>
      </c>
      <c r="AY136" s="180" t="n">
        <f aca="false">BF135</f>
        <v>281412.06888588</v>
      </c>
      <c r="AZ136" s="180" t="n">
        <f aca="false">IF($E$9=0,0,IF($A136&gt;IN_PRAZO,0,IF(APORTE_CORRIGIDO="Sim",IN_APORTE*$D136,IN_APORTE))+IF(AND($E$35=1,PGBL_REINVESTE="Sim",$A136&gt;=13,$A136&lt;=IN_PRAZO,MONTH($B136)=5),PGBL_BENEFICIO,0))</f>
        <v>0</v>
      </c>
      <c r="BA136" s="180" t="n">
        <f aca="false">AZ136*$E$24</f>
        <v>0</v>
      </c>
      <c r="BB136" s="180" t="n">
        <f aca="false">AY136*$E$19</f>
        <v>2754.67108080511</v>
      </c>
      <c r="BC136" s="180" t="n">
        <f aca="false">AY136*$E$22</f>
        <v>351.76508610735</v>
      </c>
      <c r="BD136" s="180" t="n">
        <f aca="false">$E$23*MAX(0,BB136-AY136*$E$18)</f>
        <v>0</v>
      </c>
      <c r="BE136" s="180" t="n">
        <f aca="false">IF(AND($E$27=1,OR(MONTH($B136)=5,MONTH($B136)=11)),MAX(0,$E$28*MAX(0,(AY136+BB136-BC136-BD136+AZ136-BA136)+BH135-BG136)-BH135),0)</f>
        <v>0</v>
      </c>
      <c r="BF136" s="181" t="n">
        <f aca="false">AY136+BB136-BC136-BD136+AZ136-BA136-BE136</f>
        <v>283814.974880578</v>
      </c>
      <c r="BG136" s="180" t="n">
        <f aca="false">BG135+AZ136-BA136</f>
        <v>150000</v>
      </c>
      <c r="BH136" s="180" t="n">
        <f aca="false">BH135+BE136</f>
        <v>0</v>
      </c>
      <c r="BI136" s="180" t="n">
        <f aca="false">BF136+BH136-BG136</f>
        <v>133814.974880578</v>
      </c>
      <c r="BJ136" s="180" t="n">
        <f aca="false">MAX(0,IFERROR(INDEX(TAB_IR,MATCH($C136,TAB_IR_DIAS,1),MATCH($E$8,TAB_IR_REGIMES,0)),0)*IF($E$26=2,BF136,MAX(0,BI136))-BH136)</f>
        <v>26762.9949761156</v>
      </c>
      <c r="BK136" s="181" t="n">
        <f aca="false">MAX(0,BF136-BJ136-BF136*$E$25)</f>
        <v>257051.979904462</v>
      </c>
      <c r="BL136" s="180" t="n">
        <f aca="false">BK136/$D136</f>
        <v>201169.706680926</v>
      </c>
      <c r="BN136" s="180" t="n">
        <f aca="false">BU135</f>
        <v>281412.06888588</v>
      </c>
      <c r="BO136" s="180" t="n">
        <f aca="false">IF($F$9=0,0,IF($A136&gt;IN_PRAZO,0,IF(APORTE_CORRIGIDO="Sim",IN_APORTE*$D136,IN_APORTE))+IF(AND($F$35=1,PGBL_REINVESTE="Sim",$A136&gt;=13,$A136&lt;=IN_PRAZO,MONTH($B136)=5),PGBL_BENEFICIO,0))</f>
        <v>0</v>
      </c>
      <c r="BP136" s="180" t="n">
        <f aca="false">BO136*$F$24</f>
        <v>0</v>
      </c>
      <c r="BQ136" s="180" t="n">
        <f aca="false">BN136*$F$19</f>
        <v>2754.67108080511</v>
      </c>
      <c r="BR136" s="180" t="n">
        <f aca="false">BN136*$F$22</f>
        <v>351.76508610735</v>
      </c>
      <c r="BS136" s="180" t="n">
        <f aca="false">$F$23*MAX(0,BQ136-BN136*$F$18)</f>
        <v>0</v>
      </c>
      <c r="BT136" s="180" t="n">
        <f aca="false">IF(AND($F$27=1,OR(MONTH($B136)=5,MONTH($B136)=11)),MAX(0,$F$28*MAX(0,(BN136+BQ136-BR136-BS136+BO136-BP136)+BW135-BV136)-BW135),0)</f>
        <v>0</v>
      </c>
      <c r="BU136" s="181" t="n">
        <f aca="false">BN136+BQ136-BR136-BS136+BO136-BP136-BT136</f>
        <v>283814.974880578</v>
      </c>
      <c r="BV136" s="180" t="n">
        <f aca="false">BV135+BO136-BP136</f>
        <v>150000</v>
      </c>
      <c r="BW136" s="180" t="n">
        <f aca="false">BW135+BT136</f>
        <v>0</v>
      </c>
      <c r="BX136" s="180" t="n">
        <f aca="false">BU136+BW136-BV136</f>
        <v>133814.974880578</v>
      </c>
      <c r="BY136" s="180" t="n">
        <f aca="false">MAX(0,IFERROR(INDEX(TAB_IR,MATCH($C136,TAB_IR_DIAS,1),MATCH($F$8,TAB_IR_REGIMES,0)),0)*IF($F$26=2,BU136,MAX(0,BX136))-BW136)</f>
        <v>56762.9949761156</v>
      </c>
      <c r="BZ136" s="181" t="n">
        <f aca="false">MAX(0,BU136-BY136-BU136*$F$25)</f>
        <v>227051.979904462</v>
      </c>
      <c r="CA136" s="180" t="n">
        <f aca="false">BZ136/$D136</f>
        <v>177691.610139243</v>
      </c>
      <c r="CC136" s="180" t="n">
        <f aca="false">CJ135</f>
        <v>238999.923420365</v>
      </c>
      <c r="CD136" s="180" t="n">
        <f aca="false">IF($G$9=0,0,IF($A136&gt;IN_PRAZO,0,IF(APORTE_CORRIGIDO="Sim",IN_APORTE*$D136,IN_APORTE))+IF(AND($G$35=1,PGBL_REINVESTE="Sim",$A136&gt;=13,$A136&lt;=IN_PRAZO,MONTH($B136)=5),PGBL_BENEFICIO,0))</f>
        <v>0</v>
      </c>
      <c r="CE136" s="180" t="n">
        <f aca="false">CD136*$G$24</f>
        <v>0</v>
      </c>
      <c r="CF136" s="180" t="n">
        <f aca="false">CC136*$G$19</f>
        <v>1949.57625583385</v>
      </c>
      <c r="CG136" s="180" t="n">
        <f aca="false">CC136*$G$22</f>
        <v>199.166602850304</v>
      </c>
      <c r="CH136" s="180" t="n">
        <f aca="false">$G$23*MAX(0,CF136-CC136*$G$18)</f>
        <v>0</v>
      </c>
      <c r="CI136" s="180" t="n">
        <f aca="false">IF(AND($G$27=1,OR(MONTH($B136)=5,MONTH($B136)=11)),MAX(0,$G$28*MAX(0,(CC136+CF136-CG136-CH136+CD136-CE136)+CL135-CK136)-CL135),0)</f>
        <v>1547.00991298926</v>
      </c>
      <c r="CJ136" s="181" t="n">
        <f aca="false">CC136+CF136-CG136-CH136+CD136-CE136-CI136</f>
        <v>239203.323160359</v>
      </c>
      <c r="CK136" s="180" t="n">
        <f aca="false">CK135+CD136-CE136</f>
        <v>150000</v>
      </c>
      <c r="CL136" s="180" t="n">
        <f aca="false">CL135+CI136</f>
        <v>15741.7629106516</v>
      </c>
      <c r="CM136" s="180" t="n">
        <f aca="false">CJ136+CL136-CK136</f>
        <v>104945.086071011</v>
      </c>
      <c r="CN136" s="180" t="n">
        <f aca="false">MAX(0,IFERROR(INDEX(TAB_IR,MATCH($C136,TAB_IR_DIAS,1),MATCH($G$8,TAB_IR_REGIMES,0)),0)*IF($G$26=2,CJ136,MAX(0,CM136))-CL136)</f>
        <v>0</v>
      </c>
      <c r="CO136" s="181" t="n">
        <f aca="false">MAX(0,CJ136-CN136-CJ136*$G$25)</f>
        <v>239203.323160359</v>
      </c>
      <c r="CP136" s="180" t="n">
        <f aca="false">CO136/$D136</f>
        <v>187201.290475012</v>
      </c>
    </row>
    <row r="137" customFormat="false" ht="12" hidden="false" customHeight="true" outlineLevel="0" collapsed="false">
      <c r="A137" s="177" t="n">
        <v>76</v>
      </c>
      <c r="B137" s="178" t="n">
        <f aca="false">EDATE(DATA_INICIO,$A137)</f>
        <v>48571</v>
      </c>
      <c r="C137" s="177" t="n">
        <f aca="false">$A137*30</f>
        <v>2280</v>
      </c>
      <c r="D137" s="179" t="n">
        <f aca="false">(1+IPCA_CENARIO)^($A137/12)</f>
        <v>1.28196986242174</v>
      </c>
      <c r="F137" s="180" t="n">
        <f aca="false">M136</f>
        <v>300833.227579334</v>
      </c>
      <c r="G137" s="180" t="n">
        <f aca="false">IF($B$9=0,0,IF($A137&gt;IN_PRAZO,0,IF(APORTE_CORRIGIDO="Sim",IN_APORTE*$D137,IN_APORTE))+IF(AND($B$35=1,PGBL_REINVESTE="Sim",$A137&gt;=13,$A137&lt;=IN_PRAZO,MONTH($B137)=5),PGBL_BENEFICIO,0))</f>
        <v>0</v>
      </c>
      <c r="H137" s="180" t="n">
        <f aca="false">G137*$B$24</f>
        <v>0</v>
      </c>
      <c r="I137" s="180" t="n">
        <f aca="false">F137*$B$19</f>
        <v>2854.5442043426</v>
      </c>
      <c r="J137" s="180" t="n">
        <f aca="false">F137*$B$22</f>
        <v>50.1388712632224</v>
      </c>
      <c r="K137" s="180" t="n">
        <f aca="false">$B$23*MAX(0,I137-F137*$B$18)</f>
        <v>0</v>
      </c>
      <c r="L137" s="180" t="n">
        <f aca="false">IF(AND($B$27=1,OR(MONTH($B137)=5,MONTH($B137)=11)),MAX(0,$B$28*MAX(0,(F137+I137-J137-K137+G137-H137)+O136-N137)-O136),0)</f>
        <v>0</v>
      </c>
      <c r="M137" s="181" t="n">
        <f aca="false">F137+I137-J137-K137+G137-H137-L137</f>
        <v>303637.632912414</v>
      </c>
      <c r="N137" s="180" t="n">
        <f aca="false">N136+G137-H137</f>
        <v>150000</v>
      </c>
      <c r="O137" s="180" t="n">
        <f aca="false">O136+L137</f>
        <v>0</v>
      </c>
      <c r="P137" s="180" t="n">
        <f aca="false">M137+O137-N137</f>
        <v>153637.632912414</v>
      </c>
      <c r="Q137" s="180" t="n">
        <f aca="false">MAX(0,IFERROR(INDEX(TAB_IR,MATCH($C137,TAB_IR_DIAS,1),MATCH($B$8,TAB_IR_REGIMES,0)),0)*IF($B$26=2,M137,MAX(0,P137))-O137)</f>
        <v>23045.6449368621</v>
      </c>
      <c r="R137" s="181" t="n">
        <f aca="false">MAX(0,M137-Q137-M137*$B$25)</f>
        <v>280591.987975552</v>
      </c>
      <c r="S137" s="180" t="n">
        <f aca="false">R137/$D137</f>
        <v>218875.650824967</v>
      </c>
      <c r="U137" s="180" t="n">
        <f aca="false">AB136</f>
        <v>272474.639136109</v>
      </c>
      <c r="V137" s="180" t="n">
        <f aca="false">IF($C$9=0,0,IF($A137&gt;IN_PRAZO,0,IF(APORTE_CORRIGIDO="Sim",IN_APORTE*$D137,IN_APORTE))+IF(AND($C$35=1,PGBL_REINVESTE="Sim",$A137&gt;=13,$A137&lt;=IN_PRAZO,MONTH($B137)=5),PGBL_BENEFICIO,0))</f>
        <v>0</v>
      </c>
      <c r="W137" s="180" t="n">
        <f aca="false">V137*$C$24</f>
        <v>0</v>
      </c>
      <c r="X137" s="180" t="n">
        <f aca="false">U137*$C$19</f>
        <v>2222.63705851628</v>
      </c>
      <c r="Y137" s="180" t="n">
        <f aca="false">U137*$C$22</f>
        <v>45.4124398560181</v>
      </c>
      <c r="Z137" s="180" t="n">
        <f aca="false">$C$23*MAX(0,X137-U137*$C$18)</f>
        <v>0</v>
      </c>
      <c r="AA137" s="180" t="n">
        <f aca="false">IF(AND($C$27=1,OR(MONTH($B137)=5,MONTH($B137)=11)),MAX(0,$C$28*MAX(0,(U137+X137-Y137-Z137+V137-W137)+AD136-AC137)-AD136),0)</f>
        <v>0</v>
      </c>
      <c r="AB137" s="181" t="n">
        <f aca="false">U137+X137-Y137-Z137+V137-W137-AA137</f>
        <v>274651.863754769</v>
      </c>
      <c r="AC137" s="180" t="n">
        <f aca="false">AC136+V137-W137</f>
        <v>150000</v>
      </c>
      <c r="AD137" s="180" t="n">
        <f aca="false">AD136+AA137</f>
        <v>0</v>
      </c>
      <c r="AE137" s="180" t="n">
        <f aca="false">AB137+AD137-AC137</f>
        <v>124651.863754769</v>
      </c>
      <c r="AF137" s="180" t="n">
        <f aca="false">MAX(0,IFERROR(INDEX(TAB_IR,MATCH($C137,TAB_IR_DIAS,1),MATCH($C$8,TAB_IR_REGIMES,0)),0)*IF($C$26=2,AB137,MAX(0,AE137))-AD137)</f>
        <v>18697.7795632153</v>
      </c>
      <c r="AG137" s="181" t="n">
        <f aca="false">MAX(0,AB137-AF137-AB137*$C$25)</f>
        <v>255954.084191553</v>
      </c>
      <c r="AH137" s="180" t="n">
        <f aca="false">AG137/$D137</f>
        <v>199656.865340061</v>
      </c>
      <c r="AJ137" s="180" t="n">
        <f aca="false">AQ136</f>
        <v>252210.763669172</v>
      </c>
      <c r="AK137" s="180" t="n">
        <f aca="false">IF($D$9=0,0,IF($A137&gt;IN_PRAZO,0,IF(APORTE_CORRIGIDO="Sim",IN_APORTE*$D137,IN_APORTE))+IF(AND($D$35=1,PGBL_REINVESTE="Sim",$A137&gt;=13,$A137&lt;=IN_PRAZO,MONTH($B137)=5),PGBL_BENEFICIO,0))</f>
        <v>0</v>
      </c>
      <c r="AL137" s="180" t="n">
        <f aca="false">AK137*$D$24</f>
        <v>0</v>
      </c>
      <c r="AM137" s="180" t="n">
        <f aca="false">AJ137*$D$19</f>
        <v>2267.04614725685</v>
      </c>
      <c r="AN137" s="180" t="n">
        <f aca="false">AJ137*$D$22</f>
        <v>210.175636390977</v>
      </c>
      <c r="AO137" s="180" t="n">
        <f aca="false">$D$23*MAX(0,AM137-AJ137*$D$18)</f>
        <v>0</v>
      </c>
      <c r="AP137" s="180" t="n">
        <f aca="false">IF(AND($D$27=1,OR(MONTH($B137)=5,MONTH($B137)=11)),MAX(0,$D$28*MAX(0,(AJ137+AM137-AN137-AO137+AK137-AL137)+AS136-AR137)-AS136),0)</f>
        <v>0</v>
      </c>
      <c r="AQ137" s="181" t="n">
        <f aca="false">AJ137+AM137-AN137-AO137+AK137-AL137-AP137</f>
        <v>254267.634180038</v>
      </c>
      <c r="AR137" s="180" t="n">
        <f aca="false">AR136+AK137-AL137</f>
        <v>150000</v>
      </c>
      <c r="AS137" s="180" t="n">
        <f aca="false">AS136+AP137</f>
        <v>18037.1935886774</v>
      </c>
      <c r="AT137" s="180" t="n">
        <f aca="false">AQ137+AS137-AR137</f>
        <v>122304.827768715</v>
      </c>
      <c r="AU137" s="180" t="n">
        <f aca="false">MAX(0,IFERROR(INDEX(TAB_IR,MATCH($C137,TAB_IR_DIAS,1),MATCH($D$8,TAB_IR_REGIMES,0)),0)*IF($D$26=2,AQ137,MAX(0,AT137))-AS137)</f>
        <v>308.530576629881</v>
      </c>
      <c r="AV137" s="181" t="n">
        <f aca="false">MAX(0,AQ137-AU137-AQ137*$D$25)</f>
        <v>253959.103603408</v>
      </c>
      <c r="AW137" s="180" t="n">
        <f aca="false">AV137/$D137</f>
        <v>198100.681652266</v>
      </c>
      <c r="AY137" s="180" t="n">
        <f aca="false">BF136</f>
        <v>283814.974880578</v>
      </c>
      <c r="AZ137" s="180" t="n">
        <f aca="false">IF($E$9=0,0,IF($A137&gt;IN_PRAZO,0,IF(APORTE_CORRIGIDO="Sim",IN_APORTE*$D137,IN_APORTE))+IF(AND($E$35=1,PGBL_REINVESTE="Sim",$A137&gt;=13,$A137&lt;=IN_PRAZO,MONTH($B137)=5),PGBL_BENEFICIO,0))</f>
        <v>0</v>
      </c>
      <c r="BA137" s="180" t="n">
        <f aca="false">AZ137*$E$24</f>
        <v>0</v>
      </c>
      <c r="BB137" s="180" t="n">
        <f aca="false">AY137*$E$19</f>
        <v>2778.19251568774</v>
      </c>
      <c r="BC137" s="180" t="n">
        <f aca="false">AY137*$E$22</f>
        <v>354.768718600722</v>
      </c>
      <c r="BD137" s="180" t="n">
        <f aca="false">$E$23*MAX(0,BB137-AY137*$E$18)</f>
        <v>0</v>
      </c>
      <c r="BE137" s="180" t="n">
        <f aca="false">IF(AND($E$27=1,OR(MONTH($B137)=5,MONTH($B137)=11)),MAX(0,$E$28*MAX(0,(AY137+BB137-BC137-BD137+AZ137-BA137)+BH136-BG137)-BH136),0)</f>
        <v>0</v>
      </c>
      <c r="BF137" s="181" t="n">
        <f aca="false">AY137+BB137-BC137-BD137+AZ137-BA137-BE137</f>
        <v>286238.398677665</v>
      </c>
      <c r="BG137" s="180" t="n">
        <f aca="false">BG136+AZ137-BA137</f>
        <v>150000</v>
      </c>
      <c r="BH137" s="180" t="n">
        <f aca="false">BH136+BE137</f>
        <v>0</v>
      </c>
      <c r="BI137" s="180" t="n">
        <f aca="false">BF137+BH137-BG137</f>
        <v>136238.398677665</v>
      </c>
      <c r="BJ137" s="180" t="n">
        <f aca="false">MAX(0,IFERROR(INDEX(TAB_IR,MATCH($C137,TAB_IR_DIAS,1),MATCH($E$8,TAB_IR_REGIMES,0)),0)*IF($E$26=2,BF137,MAX(0,BI137))-BH137)</f>
        <v>27247.679735533</v>
      </c>
      <c r="BK137" s="181" t="n">
        <f aca="false">MAX(0,BF137-BJ137-BF137*$E$25)</f>
        <v>258990.718942132</v>
      </c>
      <c r="BL137" s="180" t="n">
        <f aca="false">BK137/$D137</f>
        <v>202025.590876901</v>
      </c>
      <c r="BN137" s="180" t="n">
        <f aca="false">BU136</f>
        <v>283814.974880578</v>
      </c>
      <c r="BO137" s="180" t="n">
        <f aca="false">IF($F$9=0,0,IF($A137&gt;IN_PRAZO,0,IF(APORTE_CORRIGIDO="Sim",IN_APORTE*$D137,IN_APORTE))+IF(AND($F$35=1,PGBL_REINVESTE="Sim",$A137&gt;=13,$A137&lt;=IN_PRAZO,MONTH($B137)=5),PGBL_BENEFICIO,0))</f>
        <v>0</v>
      </c>
      <c r="BP137" s="180" t="n">
        <f aca="false">BO137*$F$24</f>
        <v>0</v>
      </c>
      <c r="BQ137" s="180" t="n">
        <f aca="false">BN137*$F$19</f>
        <v>2778.19251568774</v>
      </c>
      <c r="BR137" s="180" t="n">
        <f aca="false">BN137*$F$22</f>
        <v>354.768718600722</v>
      </c>
      <c r="BS137" s="180" t="n">
        <f aca="false">$F$23*MAX(0,BQ137-BN137*$F$18)</f>
        <v>0</v>
      </c>
      <c r="BT137" s="180" t="n">
        <f aca="false">IF(AND($F$27=1,OR(MONTH($B137)=5,MONTH($B137)=11)),MAX(0,$F$28*MAX(0,(BN137+BQ137-BR137-BS137+BO137-BP137)+BW136-BV137)-BW136),0)</f>
        <v>0</v>
      </c>
      <c r="BU137" s="181" t="n">
        <f aca="false">BN137+BQ137-BR137-BS137+BO137-BP137-BT137</f>
        <v>286238.398677665</v>
      </c>
      <c r="BV137" s="180" t="n">
        <f aca="false">BV136+BO137-BP137</f>
        <v>150000</v>
      </c>
      <c r="BW137" s="180" t="n">
        <f aca="false">BW136+BT137</f>
        <v>0</v>
      </c>
      <c r="BX137" s="180" t="n">
        <f aca="false">BU137+BW137-BV137</f>
        <v>136238.398677665</v>
      </c>
      <c r="BY137" s="180" t="n">
        <f aca="false">MAX(0,IFERROR(INDEX(TAB_IR,MATCH($C137,TAB_IR_DIAS,1),MATCH($F$8,TAB_IR_REGIMES,0)),0)*IF($F$26=2,BU137,MAX(0,BX137))-BW137)</f>
        <v>57247.679735533</v>
      </c>
      <c r="BZ137" s="181" t="n">
        <f aca="false">MAX(0,BU137-BY137-BU137*$F$25)</f>
        <v>228990.718942132</v>
      </c>
      <c r="CA137" s="180" t="n">
        <f aca="false">BZ137/$D137</f>
        <v>178624.104711441</v>
      </c>
      <c r="CC137" s="180" t="n">
        <f aca="false">CJ136</f>
        <v>239203.323160359</v>
      </c>
      <c r="CD137" s="180" t="n">
        <f aca="false">IF($G$9=0,0,IF($A137&gt;IN_PRAZO,0,IF(APORTE_CORRIGIDO="Sim",IN_APORTE*$D137,IN_APORTE))+IF(AND($G$35=1,PGBL_REINVESTE="Sim",$A137&gt;=13,$A137&lt;=IN_PRAZO,MONTH($B137)=5),PGBL_BENEFICIO,0))</f>
        <v>0</v>
      </c>
      <c r="CE137" s="180" t="n">
        <f aca="false">CD137*$G$24</f>
        <v>0</v>
      </c>
      <c r="CF137" s="180" t="n">
        <f aca="false">CC137*$G$19</f>
        <v>1951.23543336772</v>
      </c>
      <c r="CG137" s="180" t="n">
        <f aca="false">CC137*$G$22</f>
        <v>199.336102633633</v>
      </c>
      <c r="CH137" s="180" t="n">
        <f aca="false">$G$23*MAX(0,CF137-CC137*$G$18)</f>
        <v>0</v>
      </c>
      <c r="CI137" s="180" t="n">
        <f aca="false">IF(AND($G$27=1,OR(MONTH($B137)=5,MONTH($B137)=11)),MAX(0,$G$28*MAX(0,(CC137+CF137-CG137-CH137+CD137-CE137)+CL136-CK137)-CL136),0)</f>
        <v>0</v>
      </c>
      <c r="CJ137" s="181" t="n">
        <f aca="false">CC137+CF137-CG137-CH137+CD137-CE137-CI137</f>
        <v>240955.222491093</v>
      </c>
      <c r="CK137" s="180" t="n">
        <f aca="false">CK136+CD137-CE137</f>
        <v>150000</v>
      </c>
      <c r="CL137" s="180" t="n">
        <f aca="false">CL136+CI137</f>
        <v>15741.7629106516</v>
      </c>
      <c r="CM137" s="180" t="n">
        <f aca="false">CJ137+CL137-CK137</f>
        <v>106696.985401745</v>
      </c>
      <c r="CN137" s="180" t="n">
        <f aca="false">MAX(0,IFERROR(INDEX(TAB_IR,MATCH($C137,TAB_IR_DIAS,1),MATCH($G$8,TAB_IR_REGIMES,0)),0)*IF($G$26=2,CJ137,MAX(0,CM137))-CL137)</f>
        <v>262.78489961012</v>
      </c>
      <c r="CO137" s="181" t="n">
        <f aca="false">MAX(0,CJ137-CN137-CJ137*$G$25)</f>
        <v>240692.437591483</v>
      </c>
      <c r="CP137" s="180" t="n">
        <f aca="false">CO137/$D137</f>
        <v>187752.024947604</v>
      </c>
    </row>
    <row r="138" customFormat="false" ht="12" hidden="false" customHeight="true" outlineLevel="0" collapsed="false">
      <c r="A138" s="177" t="n">
        <v>77</v>
      </c>
      <c r="B138" s="178" t="n">
        <f aca="false">EDATE(DATA_INICIO,$A138)</f>
        <v>48602</v>
      </c>
      <c r="C138" s="177" t="n">
        <f aca="false">$A138*30</f>
        <v>2310</v>
      </c>
      <c r="D138" s="179" t="n">
        <f aca="false">(1+IPCA_CENARIO)^($A138/12)</f>
        <v>1.28616669815993</v>
      </c>
      <c r="F138" s="180" t="n">
        <f aca="false">M137</f>
        <v>303637.632912414</v>
      </c>
      <c r="G138" s="180" t="n">
        <f aca="false">IF($B$9=0,0,IF($A138&gt;IN_PRAZO,0,IF(APORTE_CORRIGIDO="Sim",IN_APORTE*$D138,IN_APORTE))+IF(AND($B$35=1,PGBL_REINVESTE="Sim",$A138&gt;=13,$A138&lt;=IN_PRAZO,MONTH($B138)=5),PGBL_BENEFICIO,0))</f>
        <v>0</v>
      </c>
      <c r="H138" s="180" t="n">
        <f aca="false">G138*$B$24</f>
        <v>0</v>
      </c>
      <c r="I138" s="180" t="n">
        <f aca="false">F138*$B$19</f>
        <v>2881.15462585283</v>
      </c>
      <c r="J138" s="180" t="n">
        <f aca="false">F138*$B$22</f>
        <v>50.606272152069</v>
      </c>
      <c r="K138" s="180" t="n">
        <f aca="false">$B$23*MAX(0,I138-F138*$B$18)</f>
        <v>0</v>
      </c>
      <c r="L138" s="180" t="n">
        <f aca="false">IF(AND($B$27=1,OR(MONTH($B138)=5,MONTH($B138)=11)),MAX(0,$B$28*MAX(0,(F138+I138-J138-K138+G138-H138)+O137-N138)-O137),0)</f>
        <v>0</v>
      </c>
      <c r="M138" s="181" t="n">
        <f aca="false">F138+I138-J138-K138+G138-H138-L138</f>
        <v>306468.181266115</v>
      </c>
      <c r="N138" s="180" t="n">
        <f aca="false">N137+G138-H138</f>
        <v>150000</v>
      </c>
      <c r="O138" s="180" t="n">
        <f aca="false">O137+L138</f>
        <v>0</v>
      </c>
      <c r="P138" s="180" t="n">
        <f aca="false">M138+O138-N138</f>
        <v>156468.181266115</v>
      </c>
      <c r="Q138" s="180" t="n">
        <f aca="false">MAX(0,IFERROR(INDEX(TAB_IR,MATCH($C138,TAB_IR_DIAS,1),MATCH($B$8,TAB_IR_REGIMES,0)),0)*IF($B$26=2,M138,MAX(0,P138))-O138)</f>
        <v>23470.2271899172</v>
      </c>
      <c r="R138" s="181" t="n">
        <f aca="false">MAX(0,M138-Q138-M138*$B$25)</f>
        <v>282997.954076197</v>
      </c>
      <c r="S138" s="180" t="n">
        <f aca="false">R138/$D138</f>
        <v>220032.095747054</v>
      </c>
      <c r="U138" s="180" t="n">
        <f aca="false">AB137</f>
        <v>274651.863754769</v>
      </c>
      <c r="V138" s="180" t="n">
        <f aca="false">IF($C$9=0,0,IF($A138&gt;IN_PRAZO,0,IF(APORTE_CORRIGIDO="Sim",IN_APORTE*$D138,IN_APORTE))+IF(AND($C$35=1,PGBL_REINVESTE="Sim",$A138&gt;=13,$A138&lt;=IN_PRAZO,MONTH($B138)=5),PGBL_BENEFICIO,0))</f>
        <v>0</v>
      </c>
      <c r="W138" s="180" t="n">
        <f aca="false">V138*$C$24</f>
        <v>0</v>
      </c>
      <c r="X138" s="180" t="n">
        <f aca="false">U138*$C$19</f>
        <v>2240.3971705674</v>
      </c>
      <c r="Y138" s="180" t="n">
        <f aca="false">U138*$C$22</f>
        <v>45.7753106257948</v>
      </c>
      <c r="Z138" s="180" t="n">
        <f aca="false">$C$23*MAX(0,X138-U138*$C$18)</f>
        <v>0</v>
      </c>
      <c r="AA138" s="180" t="n">
        <f aca="false">IF(AND($C$27=1,OR(MONTH($B138)=5,MONTH($B138)=11)),MAX(0,$C$28*MAX(0,(U138+X138-Y138-Z138+V138-W138)+AD137-AC138)-AD137),0)</f>
        <v>0</v>
      </c>
      <c r="AB138" s="181" t="n">
        <f aca="false">U138+X138-Y138-Z138+V138-W138-AA138</f>
        <v>276846.48561471</v>
      </c>
      <c r="AC138" s="180" t="n">
        <f aca="false">AC137+V138-W138</f>
        <v>150000</v>
      </c>
      <c r="AD138" s="180" t="n">
        <f aca="false">AD137+AA138</f>
        <v>0</v>
      </c>
      <c r="AE138" s="180" t="n">
        <f aca="false">AB138+AD138-AC138</f>
        <v>126846.48561471</v>
      </c>
      <c r="AF138" s="180" t="n">
        <f aca="false">MAX(0,IFERROR(INDEX(TAB_IR,MATCH($C138,TAB_IR_DIAS,1),MATCH($C$8,TAB_IR_REGIMES,0)),0)*IF($C$26=2,AB138,MAX(0,AE138))-AD138)</f>
        <v>19026.9728422066</v>
      </c>
      <c r="AG138" s="181" t="n">
        <f aca="false">MAX(0,AB138-AF138-AB138*$C$25)</f>
        <v>257819.512772504</v>
      </c>
      <c r="AH138" s="180" t="n">
        <f aca="false">AG138/$D138</f>
        <v>200455.75207425</v>
      </c>
      <c r="AJ138" s="180" t="n">
        <f aca="false">AQ137</f>
        <v>254267.634180038</v>
      </c>
      <c r="AK138" s="180" t="n">
        <f aca="false">IF($D$9=0,0,IF($A138&gt;IN_PRAZO,0,IF(APORTE_CORRIGIDO="Sim",IN_APORTE*$D138,IN_APORTE))+IF(AND($D$35=1,PGBL_REINVESTE="Sim",$A138&gt;=13,$A138&lt;=IN_PRAZO,MONTH($B138)=5),PGBL_BENEFICIO,0))</f>
        <v>0</v>
      </c>
      <c r="AL138" s="180" t="n">
        <f aca="false">AK138*$D$24</f>
        <v>0</v>
      </c>
      <c r="AM138" s="180" t="n">
        <f aca="false">AJ138*$D$19</f>
        <v>2285.53473314917</v>
      </c>
      <c r="AN138" s="180" t="n">
        <f aca="false">AJ138*$D$22</f>
        <v>211.889695150032</v>
      </c>
      <c r="AO138" s="180" t="n">
        <f aca="false">$D$23*MAX(0,AM138-AJ138*$D$18)</f>
        <v>0</v>
      </c>
      <c r="AP138" s="180" t="n">
        <f aca="false">IF(AND($D$27=1,OR(MONTH($B138)=5,MONTH($B138)=11)),MAX(0,$D$28*MAX(0,(AJ138+AM138-AN138-AO138+AK138-AL138)+AS137-AR138)-AS137),0)</f>
        <v>0</v>
      </c>
      <c r="AQ138" s="181" t="n">
        <f aca="false">AJ138+AM138-AN138-AO138+AK138-AL138-AP138</f>
        <v>256341.279218037</v>
      </c>
      <c r="AR138" s="180" t="n">
        <f aca="false">AR137+AK138-AL138</f>
        <v>150000</v>
      </c>
      <c r="AS138" s="180" t="n">
        <f aca="false">AS137+AP138</f>
        <v>18037.1935886774</v>
      </c>
      <c r="AT138" s="180" t="n">
        <f aca="false">AQ138+AS138-AR138</f>
        <v>124378.472806714</v>
      </c>
      <c r="AU138" s="180" t="n">
        <f aca="false">MAX(0,IFERROR(INDEX(TAB_IR,MATCH($C138,TAB_IR_DIAS,1),MATCH($D$8,TAB_IR_REGIMES,0)),0)*IF($D$26=2,AQ138,MAX(0,AT138))-AS138)</f>
        <v>619.577332329751</v>
      </c>
      <c r="AV138" s="181" t="n">
        <f aca="false">MAX(0,AQ138-AU138-AQ138*$D$25)</f>
        <v>255721.701885707</v>
      </c>
      <c r="AW138" s="180" t="n">
        <f aca="false">AV138/$D138</f>
        <v>198824.695314813</v>
      </c>
      <c r="AY138" s="180" t="n">
        <f aca="false">BF137</f>
        <v>286238.398677665</v>
      </c>
      <c r="AZ138" s="180" t="n">
        <f aca="false">IF($E$9=0,0,IF($A138&gt;IN_PRAZO,0,IF(APORTE_CORRIGIDO="Sim",IN_APORTE*$D138,IN_APORTE))+IF(AND($E$35=1,PGBL_REINVESTE="Sim",$A138&gt;=13,$A138&lt;=IN_PRAZO,MONTH($B138)=5),PGBL_BENEFICIO,0))</f>
        <v>0</v>
      </c>
      <c r="BA138" s="180" t="n">
        <f aca="false">AZ138*$E$24</f>
        <v>0</v>
      </c>
      <c r="BB138" s="180" t="n">
        <f aca="false">AY138*$E$19</f>
        <v>2801.91479411311</v>
      </c>
      <c r="BC138" s="180" t="n">
        <f aca="false">AY138*$E$22</f>
        <v>357.797998347081</v>
      </c>
      <c r="BD138" s="180" t="n">
        <f aca="false">$E$23*MAX(0,BB138-AY138*$E$18)</f>
        <v>0</v>
      </c>
      <c r="BE138" s="180" t="n">
        <f aca="false">IF(AND($E$27=1,OR(MONTH($B138)=5,MONTH($B138)=11)),MAX(0,$E$28*MAX(0,(AY138+BB138-BC138-BD138+AZ138-BA138)+BH137-BG138)-BH137),0)</f>
        <v>0</v>
      </c>
      <c r="BF138" s="181" t="n">
        <f aca="false">AY138+BB138-BC138-BD138+AZ138-BA138-BE138</f>
        <v>288682.515473431</v>
      </c>
      <c r="BG138" s="180" t="n">
        <f aca="false">BG137+AZ138-BA138</f>
        <v>150000</v>
      </c>
      <c r="BH138" s="180" t="n">
        <f aca="false">BH137+BE138</f>
        <v>0</v>
      </c>
      <c r="BI138" s="180" t="n">
        <f aca="false">BF138+BH138-BG138</f>
        <v>138682.515473431</v>
      </c>
      <c r="BJ138" s="180" t="n">
        <f aca="false">MAX(0,IFERROR(INDEX(TAB_IR,MATCH($C138,TAB_IR_DIAS,1),MATCH($E$8,TAB_IR_REGIMES,0)),0)*IF($E$26=2,BF138,MAX(0,BI138))-BH138)</f>
        <v>27736.5030946862</v>
      </c>
      <c r="BK138" s="181" t="n">
        <f aca="false">MAX(0,BF138-BJ138-BF138*$E$25)</f>
        <v>260946.012378745</v>
      </c>
      <c r="BL138" s="180" t="n">
        <f aca="false">BK138/$D138</f>
        <v>202886.618625774</v>
      </c>
      <c r="BN138" s="180" t="n">
        <f aca="false">BU137</f>
        <v>286238.398677665</v>
      </c>
      <c r="BO138" s="180" t="n">
        <f aca="false">IF($F$9=0,0,IF($A138&gt;IN_PRAZO,0,IF(APORTE_CORRIGIDO="Sim",IN_APORTE*$D138,IN_APORTE))+IF(AND($F$35=1,PGBL_REINVESTE="Sim",$A138&gt;=13,$A138&lt;=IN_PRAZO,MONTH($B138)=5),PGBL_BENEFICIO,0))</f>
        <v>0</v>
      </c>
      <c r="BP138" s="180" t="n">
        <f aca="false">BO138*$F$24</f>
        <v>0</v>
      </c>
      <c r="BQ138" s="180" t="n">
        <f aca="false">BN138*$F$19</f>
        <v>2801.91479411311</v>
      </c>
      <c r="BR138" s="180" t="n">
        <f aca="false">BN138*$F$22</f>
        <v>357.797998347081</v>
      </c>
      <c r="BS138" s="180" t="n">
        <f aca="false">$F$23*MAX(0,BQ138-BN138*$F$18)</f>
        <v>0</v>
      </c>
      <c r="BT138" s="180" t="n">
        <f aca="false">IF(AND($F$27=1,OR(MONTH($B138)=5,MONTH($B138)=11)),MAX(0,$F$28*MAX(0,(BN138+BQ138-BR138-BS138+BO138-BP138)+BW137-BV138)-BW137),0)</f>
        <v>0</v>
      </c>
      <c r="BU138" s="181" t="n">
        <f aca="false">BN138+BQ138-BR138-BS138+BO138-BP138-BT138</f>
        <v>288682.515473431</v>
      </c>
      <c r="BV138" s="180" t="n">
        <f aca="false">BV137+BO138-BP138</f>
        <v>150000</v>
      </c>
      <c r="BW138" s="180" t="n">
        <f aca="false">BW137+BT138</f>
        <v>0</v>
      </c>
      <c r="BX138" s="180" t="n">
        <f aca="false">BU138+BW138-BV138</f>
        <v>138682.515473431</v>
      </c>
      <c r="BY138" s="180" t="n">
        <f aca="false">MAX(0,IFERROR(INDEX(TAB_IR,MATCH($C138,TAB_IR_DIAS,1),MATCH($F$8,TAB_IR_REGIMES,0)),0)*IF($F$26=2,BU138,MAX(0,BX138))-BW138)</f>
        <v>57736.5030946862</v>
      </c>
      <c r="BZ138" s="181" t="n">
        <f aca="false">MAX(0,BU138-BY138-BU138*$F$25)</f>
        <v>230946.012378745</v>
      </c>
      <c r="CA138" s="180" t="n">
        <f aca="false">BZ138/$D138</f>
        <v>179561.492852482</v>
      </c>
      <c r="CC138" s="180" t="n">
        <f aca="false">CJ137</f>
        <v>240955.222491093</v>
      </c>
      <c r="CD138" s="180" t="n">
        <f aca="false">IF($G$9=0,0,IF($A138&gt;IN_PRAZO,0,IF(APORTE_CORRIGIDO="Sim",IN_APORTE*$D138,IN_APORTE))+IF(AND($G$35=1,PGBL_REINVESTE="Sim",$A138&gt;=13,$A138&lt;=IN_PRAZO,MONTH($B138)=5),PGBL_BENEFICIO,0))</f>
        <v>0</v>
      </c>
      <c r="CE138" s="180" t="n">
        <f aca="false">CD138*$G$24</f>
        <v>0</v>
      </c>
      <c r="CF138" s="180" t="n">
        <f aca="false">CC138*$G$19</f>
        <v>1965.52607115928</v>
      </c>
      <c r="CG138" s="180" t="n">
        <f aca="false">CC138*$G$22</f>
        <v>200.796018742578</v>
      </c>
      <c r="CH138" s="180" t="n">
        <f aca="false">$G$23*MAX(0,CF138-CC138*$G$18)</f>
        <v>0</v>
      </c>
      <c r="CI138" s="180" t="n">
        <f aca="false">IF(AND($G$27=1,OR(MONTH($B138)=5,MONTH($B138)=11)),MAX(0,$G$28*MAX(0,(CC138+CF138-CG138-CH138+CD138-CE138)+CL137-CK138)-CL137),0)</f>
        <v>0</v>
      </c>
      <c r="CJ138" s="181" t="n">
        <f aca="false">CC138+CF138-CG138-CH138+CD138-CE138-CI138</f>
        <v>242719.95254351</v>
      </c>
      <c r="CK138" s="180" t="n">
        <f aca="false">CK137+CD138-CE138</f>
        <v>150000</v>
      </c>
      <c r="CL138" s="180" t="n">
        <f aca="false">CL137+CI138</f>
        <v>15741.7629106516</v>
      </c>
      <c r="CM138" s="180" t="n">
        <f aca="false">CJ138+CL138-CK138</f>
        <v>108461.715454161</v>
      </c>
      <c r="CN138" s="180" t="n">
        <f aca="false">MAX(0,IFERROR(INDEX(TAB_IR,MATCH($C138,TAB_IR_DIAS,1),MATCH($G$8,TAB_IR_REGIMES,0)),0)*IF($G$26=2,CJ138,MAX(0,CM138))-CL138)</f>
        <v>527.494407472626</v>
      </c>
      <c r="CO138" s="181" t="n">
        <f aca="false">MAX(0,CJ138-CN138-CJ138*$G$25)</f>
        <v>242192.458136037</v>
      </c>
      <c r="CP138" s="180" t="n">
        <f aca="false">CO138/$D138</f>
        <v>188305.651578861</v>
      </c>
    </row>
    <row r="139" customFormat="false" ht="12" hidden="false" customHeight="true" outlineLevel="0" collapsed="false">
      <c r="A139" s="177" t="n">
        <v>78</v>
      </c>
      <c r="B139" s="178" t="n">
        <f aca="false">EDATE(DATA_INICIO,$A139)</f>
        <v>48633</v>
      </c>
      <c r="C139" s="177" t="n">
        <f aca="false">$A139*30</f>
        <v>2340</v>
      </c>
      <c r="D139" s="179" t="n">
        <f aca="false">(1+IPCA_CENARIO)^($A139/12)</f>
        <v>1.29037727324624</v>
      </c>
      <c r="F139" s="180" t="n">
        <f aca="false">M138</f>
        <v>306468.181266115</v>
      </c>
      <c r="G139" s="180" t="n">
        <f aca="false">IF($B$9=0,0,IF($A139&gt;IN_PRAZO,0,IF(APORTE_CORRIGIDO="Sim",IN_APORTE*$D139,IN_APORTE))+IF(AND($B$35=1,PGBL_REINVESTE="Sim",$A139&gt;=13,$A139&lt;=IN_PRAZO,MONTH($B139)=5),PGBL_BENEFICIO,0))</f>
        <v>0</v>
      </c>
      <c r="H139" s="180" t="n">
        <f aca="false">G139*$B$24</f>
        <v>0</v>
      </c>
      <c r="I139" s="180" t="n">
        <f aca="false">F139*$B$19</f>
        <v>2908.01311307242</v>
      </c>
      <c r="J139" s="180" t="n">
        <f aca="false">F139*$B$22</f>
        <v>51.0780302110191</v>
      </c>
      <c r="K139" s="180" t="n">
        <f aca="false">$B$23*MAX(0,I139-F139*$B$18)</f>
        <v>0</v>
      </c>
      <c r="L139" s="180" t="n">
        <f aca="false">IF(AND($B$27=1,OR(MONTH($B139)=5,MONTH($B139)=11)),MAX(0,$B$28*MAX(0,(F139+I139-J139-K139+G139-H139)+O138-N139)-O138),0)</f>
        <v>0</v>
      </c>
      <c r="M139" s="181" t="n">
        <f aca="false">F139+I139-J139-K139+G139-H139-L139</f>
        <v>309325.116348976</v>
      </c>
      <c r="N139" s="180" t="n">
        <f aca="false">N138+G139-H139</f>
        <v>150000</v>
      </c>
      <c r="O139" s="180" t="n">
        <f aca="false">O138+L139</f>
        <v>0</v>
      </c>
      <c r="P139" s="180" t="n">
        <f aca="false">M139+O139-N139</f>
        <v>159325.116348976</v>
      </c>
      <c r="Q139" s="180" t="n">
        <f aca="false">MAX(0,IFERROR(INDEX(TAB_IR,MATCH($C139,TAB_IR_DIAS,1),MATCH($B$8,TAB_IR_REGIMES,0)),0)*IF($B$26=2,M139,MAX(0,P139))-O139)</f>
        <v>23898.7674523464</v>
      </c>
      <c r="R139" s="181" t="n">
        <f aca="false">MAX(0,M139-Q139-M139*$B$25)</f>
        <v>285426.34889663</v>
      </c>
      <c r="S139" s="180" t="n">
        <f aca="false">R139/$D139</f>
        <v>221196.044609942</v>
      </c>
      <c r="U139" s="180" t="n">
        <f aca="false">AB138</f>
        <v>276846.48561471</v>
      </c>
      <c r="V139" s="180" t="n">
        <f aca="false">IF($C$9=0,0,IF($A139&gt;IN_PRAZO,0,IF(APORTE_CORRIGIDO="Sim",IN_APORTE*$D139,IN_APORTE))+IF(AND($C$35=1,PGBL_REINVESTE="Sim",$A139&gt;=13,$A139&lt;=IN_PRAZO,MONTH($B139)=5),PGBL_BENEFICIO,0))</f>
        <v>0</v>
      </c>
      <c r="W139" s="180" t="n">
        <f aca="false">V139*$C$24</f>
        <v>0</v>
      </c>
      <c r="X139" s="180" t="n">
        <f aca="false">U139*$C$19</f>
        <v>2258.29919583773</v>
      </c>
      <c r="Y139" s="180" t="n">
        <f aca="false">U139*$C$22</f>
        <v>46.1410809357851</v>
      </c>
      <c r="Z139" s="180" t="n">
        <f aca="false">$C$23*MAX(0,X139-U139*$C$18)</f>
        <v>0</v>
      </c>
      <c r="AA139" s="180" t="n">
        <f aca="false">IF(AND($C$27=1,OR(MONTH($B139)=5,MONTH($B139)=11)),MAX(0,$C$28*MAX(0,(U139+X139-Y139-Z139+V139-W139)+AD138-AC139)-AD138),0)</f>
        <v>0</v>
      </c>
      <c r="AB139" s="181" t="n">
        <f aca="false">U139+X139-Y139-Z139+V139-W139-AA139</f>
        <v>279058.643729612</v>
      </c>
      <c r="AC139" s="180" t="n">
        <f aca="false">AC138+V139-W139</f>
        <v>150000</v>
      </c>
      <c r="AD139" s="180" t="n">
        <f aca="false">AD138+AA139</f>
        <v>0</v>
      </c>
      <c r="AE139" s="180" t="n">
        <f aca="false">AB139+AD139-AC139</f>
        <v>129058.643729612</v>
      </c>
      <c r="AF139" s="180" t="n">
        <f aca="false">MAX(0,IFERROR(INDEX(TAB_IR,MATCH($C139,TAB_IR_DIAS,1),MATCH($C$8,TAB_IR_REGIMES,0)),0)*IF($C$26=2,AB139,MAX(0,AE139))-AD139)</f>
        <v>19358.7965594419</v>
      </c>
      <c r="AG139" s="181" t="n">
        <f aca="false">MAX(0,AB139-AF139-AB139*$C$25)</f>
        <v>259699.847170171</v>
      </c>
      <c r="AH139" s="180" t="n">
        <f aca="false">AG139/$D139</f>
        <v>201258.8508451</v>
      </c>
      <c r="AJ139" s="180" t="n">
        <f aca="false">AQ138</f>
        <v>256341.279218037</v>
      </c>
      <c r="AK139" s="180" t="n">
        <f aca="false">IF($D$9=0,0,IF($A139&gt;IN_PRAZO,0,IF(APORTE_CORRIGIDO="Sim",IN_APORTE*$D139,IN_APORTE))+IF(AND($D$35=1,PGBL_REINVESTE="Sim",$A139&gt;=13,$A139&lt;=IN_PRAZO,MONTH($B139)=5),PGBL_BENEFICIO,0))</f>
        <v>0</v>
      </c>
      <c r="AL139" s="180" t="n">
        <f aca="false">AK139*$D$24</f>
        <v>0</v>
      </c>
      <c r="AM139" s="180" t="n">
        <f aca="false">AJ139*$D$19</f>
        <v>2304.17410018404</v>
      </c>
      <c r="AN139" s="180" t="n">
        <f aca="false">AJ139*$D$22</f>
        <v>213.617732681698</v>
      </c>
      <c r="AO139" s="180" t="n">
        <f aca="false">$D$23*MAX(0,AM139-AJ139*$D$18)</f>
        <v>0</v>
      </c>
      <c r="AP139" s="180" t="n">
        <f aca="false">IF(AND($D$27=1,OR(MONTH($B139)=5,MONTH($B139)=11)),MAX(0,$D$28*MAX(0,(AJ139+AM139-AN139-AO139+AK139-AL139)+AS138-AR139)-AS138),0)</f>
        <v>0</v>
      </c>
      <c r="AQ139" s="181" t="n">
        <f aca="false">AJ139+AM139-AN139-AO139+AK139-AL139-AP139</f>
        <v>258431.835585539</v>
      </c>
      <c r="AR139" s="180" t="n">
        <f aca="false">AR138+AK139-AL139</f>
        <v>150000</v>
      </c>
      <c r="AS139" s="180" t="n">
        <f aca="false">AS138+AP139</f>
        <v>18037.1935886774</v>
      </c>
      <c r="AT139" s="180" t="n">
        <f aca="false">AQ139+AS139-AR139</f>
        <v>126469.029174217</v>
      </c>
      <c r="AU139" s="180" t="n">
        <f aca="false">MAX(0,IFERROR(INDEX(TAB_IR,MATCH($C139,TAB_IR_DIAS,1),MATCH($D$8,TAB_IR_REGIMES,0)),0)*IF($D$26=2,AQ139,MAX(0,AT139))-AS139)</f>
        <v>933.160787455108</v>
      </c>
      <c r="AV139" s="181" t="n">
        <f aca="false">MAX(0,AQ139-AU139-AQ139*$D$25)</f>
        <v>257498.674798084</v>
      </c>
      <c r="AW139" s="180" t="n">
        <f aca="false">AV139/$D139</f>
        <v>199553.014561616</v>
      </c>
      <c r="AY139" s="180" t="n">
        <f aca="false">BF138</f>
        <v>288682.515473431</v>
      </c>
      <c r="AZ139" s="180" t="n">
        <f aca="false">IF($E$9=0,0,IF($A139&gt;IN_PRAZO,0,IF(APORTE_CORRIGIDO="Sim",IN_APORTE*$D139,IN_APORTE))+IF(AND($E$35=1,PGBL_REINVESTE="Sim",$A139&gt;=13,$A139&lt;=IN_PRAZO,MONTH($B139)=5),PGBL_BENEFICIO,0))</f>
        <v>0</v>
      </c>
      <c r="BA139" s="180" t="n">
        <f aca="false">AZ139*$E$24</f>
        <v>0</v>
      </c>
      <c r="BB139" s="180" t="n">
        <f aca="false">AY139*$E$19</f>
        <v>2825.83963103309</v>
      </c>
      <c r="BC139" s="180" t="n">
        <f aca="false">AY139*$E$22</f>
        <v>360.853144341789</v>
      </c>
      <c r="BD139" s="180" t="n">
        <f aca="false">$E$23*MAX(0,BB139-AY139*$E$18)</f>
        <v>0</v>
      </c>
      <c r="BE139" s="180" t="n">
        <f aca="false">IF(AND($E$27=1,OR(MONTH($B139)=5,MONTH($B139)=11)),MAX(0,$E$28*MAX(0,(AY139+BB139-BC139-BD139+AZ139-BA139)+BH138-BG139)-BH138),0)</f>
        <v>0</v>
      </c>
      <c r="BF139" s="181" t="n">
        <f aca="false">AY139+BB139-BC139-BD139+AZ139-BA139-BE139</f>
        <v>291147.501960122</v>
      </c>
      <c r="BG139" s="180" t="n">
        <f aca="false">BG138+AZ139-BA139</f>
        <v>150000</v>
      </c>
      <c r="BH139" s="180" t="n">
        <f aca="false">BH138+BE139</f>
        <v>0</v>
      </c>
      <c r="BI139" s="180" t="n">
        <f aca="false">BF139+BH139-BG139</f>
        <v>141147.501960122</v>
      </c>
      <c r="BJ139" s="180" t="n">
        <f aca="false">MAX(0,IFERROR(INDEX(TAB_IR,MATCH($C139,TAB_IR_DIAS,1),MATCH($E$8,TAB_IR_REGIMES,0)),0)*IF($E$26=2,BF139,MAX(0,BI139))-BH139)</f>
        <v>28229.5003920245</v>
      </c>
      <c r="BK139" s="181" t="n">
        <f aca="false">MAX(0,BF139-BJ139-BF139*$E$25)</f>
        <v>262918.001568098</v>
      </c>
      <c r="BL139" s="180" t="n">
        <f aca="false">BK139/$D139</f>
        <v>203752.814792428</v>
      </c>
      <c r="BN139" s="180" t="n">
        <f aca="false">BU138</f>
        <v>288682.515473431</v>
      </c>
      <c r="BO139" s="180" t="n">
        <f aca="false">IF($F$9=0,0,IF($A139&gt;IN_PRAZO,0,IF(APORTE_CORRIGIDO="Sim",IN_APORTE*$D139,IN_APORTE))+IF(AND($F$35=1,PGBL_REINVESTE="Sim",$A139&gt;=13,$A139&lt;=IN_PRAZO,MONTH($B139)=5),PGBL_BENEFICIO,0))</f>
        <v>0</v>
      </c>
      <c r="BP139" s="180" t="n">
        <f aca="false">BO139*$F$24</f>
        <v>0</v>
      </c>
      <c r="BQ139" s="180" t="n">
        <f aca="false">BN139*$F$19</f>
        <v>2825.83963103309</v>
      </c>
      <c r="BR139" s="180" t="n">
        <f aca="false">BN139*$F$22</f>
        <v>360.853144341789</v>
      </c>
      <c r="BS139" s="180" t="n">
        <f aca="false">$F$23*MAX(0,BQ139-BN139*$F$18)</f>
        <v>0</v>
      </c>
      <c r="BT139" s="180" t="n">
        <f aca="false">IF(AND($F$27=1,OR(MONTH($B139)=5,MONTH($B139)=11)),MAX(0,$F$28*MAX(0,(BN139+BQ139-BR139-BS139+BO139-BP139)+BW138-BV139)-BW138),0)</f>
        <v>0</v>
      </c>
      <c r="BU139" s="181" t="n">
        <f aca="false">BN139+BQ139-BR139-BS139+BO139-BP139-BT139</f>
        <v>291147.501960122</v>
      </c>
      <c r="BV139" s="180" t="n">
        <f aca="false">BV138+BO139-BP139</f>
        <v>150000</v>
      </c>
      <c r="BW139" s="180" t="n">
        <f aca="false">BW138+BT139</f>
        <v>0</v>
      </c>
      <c r="BX139" s="180" t="n">
        <f aca="false">BU139+BW139-BV139</f>
        <v>141147.501960122</v>
      </c>
      <c r="BY139" s="180" t="n">
        <f aca="false">MAX(0,IFERROR(INDEX(TAB_IR,MATCH($C139,TAB_IR_DIAS,1),MATCH($F$8,TAB_IR_REGIMES,0)),0)*IF($F$26=2,BU139,MAX(0,BX139))-BW139)</f>
        <v>58229.5003920245</v>
      </c>
      <c r="BZ139" s="181" t="n">
        <f aca="false">MAX(0,BU139-BY139-BU139*$F$25)</f>
        <v>232918.001568098</v>
      </c>
      <c r="CA139" s="180" t="n">
        <f aca="false">BZ139/$D139</f>
        <v>180503.800242963</v>
      </c>
      <c r="CC139" s="180" t="n">
        <f aca="false">CJ138</f>
        <v>242719.95254351</v>
      </c>
      <c r="CD139" s="180" t="n">
        <f aca="false">IF($G$9=0,0,IF($A139&gt;IN_PRAZO,0,IF(APORTE_CORRIGIDO="Sim",IN_APORTE*$D139,IN_APORTE))+IF(AND($G$35=1,PGBL_REINVESTE="Sim",$A139&gt;=13,$A139&lt;=IN_PRAZO,MONTH($B139)=5),PGBL_BENEFICIO,0))</f>
        <v>0</v>
      </c>
      <c r="CE139" s="180" t="n">
        <f aca="false">CD139*$G$24</f>
        <v>0</v>
      </c>
      <c r="CF139" s="180" t="n">
        <f aca="false">CC139*$G$19</f>
        <v>1979.92137204018</v>
      </c>
      <c r="CG139" s="180" t="n">
        <f aca="false">CC139*$G$22</f>
        <v>202.266627119592</v>
      </c>
      <c r="CH139" s="180" t="n">
        <f aca="false">$G$23*MAX(0,CF139-CC139*$G$18)</f>
        <v>0</v>
      </c>
      <c r="CI139" s="180" t="n">
        <f aca="false">IF(AND($G$27=1,OR(MONTH($B139)=5,MONTH($B139)=11)),MAX(0,$G$28*MAX(0,(CC139+CF139-CG139-CH139+CD139-CE139)+CL138-CK139)-CL138),0)</f>
        <v>0</v>
      </c>
      <c r="CJ139" s="181" t="n">
        <f aca="false">CC139+CF139-CG139-CH139+CD139-CE139-CI139</f>
        <v>244497.60728843</v>
      </c>
      <c r="CK139" s="180" t="n">
        <f aca="false">CK138+CD139-CE139</f>
        <v>150000</v>
      </c>
      <c r="CL139" s="180" t="n">
        <f aca="false">CL138+CI139</f>
        <v>15741.7629106516</v>
      </c>
      <c r="CM139" s="180" t="n">
        <f aca="false">CJ139+CL139-CK139</f>
        <v>110239.370199082</v>
      </c>
      <c r="CN139" s="180" t="n">
        <f aca="false">MAX(0,IFERROR(INDEX(TAB_IR,MATCH($C139,TAB_IR_DIAS,1),MATCH($G$8,TAB_IR_REGIMES,0)),0)*IF($G$26=2,CJ139,MAX(0,CM139))-CL139)</f>
        <v>794.142619210712</v>
      </c>
      <c r="CO139" s="181" t="n">
        <f aca="false">MAX(0,CJ139-CN139-CJ139*$G$25)</f>
        <v>243703.46466922</v>
      </c>
      <c r="CP139" s="180" t="n">
        <f aca="false">CO139/$D139</f>
        <v>188862.179861653</v>
      </c>
    </row>
    <row r="140" customFormat="false" ht="12" hidden="false" customHeight="true" outlineLevel="0" collapsed="false">
      <c r="A140" s="177" t="n">
        <v>79</v>
      </c>
      <c r="B140" s="178" t="n">
        <f aca="false">EDATE(DATA_INICIO,$A140)</f>
        <v>48661</v>
      </c>
      <c r="C140" s="177" t="n">
        <f aca="false">$A140*30</f>
        <v>2370</v>
      </c>
      <c r="D140" s="179" t="n">
        <f aca="false">(1+IPCA_CENARIO)^($A140/12)</f>
        <v>1.29460163265971</v>
      </c>
      <c r="F140" s="180" t="n">
        <f aca="false">M139</f>
        <v>309325.116348976</v>
      </c>
      <c r="G140" s="180" t="n">
        <f aca="false">IF($B$9=0,0,IF($A140&gt;IN_PRAZO,0,IF(APORTE_CORRIGIDO="Sim",IN_APORTE*$D140,IN_APORTE))+IF(AND($B$35=1,PGBL_REINVESTE="Sim",$A140&gt;=13,$A140&lt;=IN_PRAZO,MONTH($B140)=5),PGBL_BENEFICIO,0))</f>
        <v>0</v>
      </c>
      <c r="H140" s="180" t="n">
        <f aca="false">G140*$B$24</f>
        <v>0</v>
      </c>
      <c r="I140" s="180" t="n">
        <f aca="false">F140*$B$19</f>
        <v>2935.12197850124</v>
      </c>
      <c r="J140" s="180" t="n">
        <f aca="false">F140*$B$22</f>
        <v>51.5541860581627</v>
      </c>
      <c r="K140" s="180" t="n">
        <f aca="false">$B$23*MAX(0,I140-F140*$B$18)</f>
        <v>0</v>
      </c>
      <c r="L140" s="180" t="n">
        <f aca="false">IF(AND($B$27=1,OR(MONTH($B140)=5,MONTH($B140)=11)),MAX(0,$B$28*MAX(0,(F140+I140-J140-K140+G140-H140)+O139-N140)-O139),0)</f>
        <v>0</v>
      </c>
      <c r="M140" s="181" t="n">
        <f aca="false">F140+I140-J140-K140+G140-H140-L140</f>
        <v>312208.684141419</v>
      </c>
      <c r="N140" s="180" t="n">
        <f aca="false">N139+G140-H140</f>
        <v>150000</v>
      </c>
      <c r="O140" s="180" t="n">
        <f aca="false">O139+L140</f>
        <v>0</v>
      </c>
      <c r="P140" s="180" t="n">
        <f aca="false">M140+O140-N140</f>
        <v>162208.684141419</v>
      </c>
      <c r="Q140" s="180" t="n">
        <f aca="false">MAX(0,IFERROR(INDEX(TAB_IR,MATCH($C140,TAB_IR_DIAS,1),MATCH($B$8,TAB_IR_REGIMES,0)),0)*IF($B$26=2,M140,MAX(0,P140))-O140)</f>
        <v>24331.3026212129</v>
      </c>
      <c r="R140" s="181" t="n">
        <f aca="false">MAX(0,M140-Q140-M140*$B$25)</f>
        <v>287877.381520206</v>
      </c>
      <c r="S140" s="180" t="n">
        <f aca="false">R140/$D140</f>
        <v>222367.540915868</v>
      </c>
      <c r="U140" s="180" t="n">
        <f aca="false">AB139</f>
        <v>279058.643729612</v>
      </c>
      <c r="V140" s="180" t="n">
        <f aca="false">IF($C$9=0,0,IF($A140&gt;IN_PRAZO,0,IF(APORTE_CORRIGIDO="Sim",IN_APORTE*$D140,IN_APORTE))+IF(AND($C$35=1,PGBL_REINVESTE="Sim",$A140&gt;=13,$A140&lt;=IN_PRAZO,MONTH($B140)=5),PGBL_BENEFICIO,0))</f>
        <v>0</v>
      </c>
      <c r="W140" s="180" t="n">
        <f aca="false">V140*$C$24</f>
        <v>0</v>
      </c>
      <c r="X140" s="180" t="n">
        <f aca="false">U140*$C$19</f>
        <v>2276.34426829316</v>
      </c>
      <c r="Y140" s="180" t="n">
        <f aca="false">U140*$C$22</f>
        <v>46.5097739549354</v>
      </c>
      <c r="Z140" s="180" t="n">
        <f aca="false">$C$23*MAX(0,X140-U140*$C$18)</f>
        <v>0</v>
      </c>
      <c r="AA140" s="180" t="n">
        <f aca="false">IF(AND($C$27=1,OR(MONTH($B140)=5,MONTH($B140)=11)),MAX(0,$C$28*MAX(0,(U140+X140-Y140-Z140+V140-W140)+AD139-AC140)-AD139),0)</f>
        <v>0</v>
      </c>
      <c r="AB140" s="181" t="n">
        <f aca="false">U140+X140-Y140-Z140+V140-W140-AA140</f>
        <v>281288.478223951</v>
      </c>
      <c r="AC140" s="180" t="n">
        <f aca="false">AC139+V140-W140</f>
        <v>150000</v>
      </c>
      <c r="AD140" s="180" t="n">
        <f aca="false">AD139+AA140</f>
        <v>0</v>
      </c>
      <c r="AE140" s="180" t="n">
        <f aca="false">AB140+AD140-AC140</f>
        <v>131288.478223951</v>
      </c>
      <c r="AF140" s="180" t="n">
        <f aca="false">MAX(0,IFERROR(INDEX(TAB_IR,MATCH($C140,TAB_IR_DIAS,1),MATCH($C$8,TAB_IR_REGIMES,0)),0)*IF($C$26=2,AB140,MAX(0,AE140))-AD140)</f>
        <v>19693.2717335926</v>
      </c>
      <c r="AG140" s="181" t="n">
        <f aca="false">MAX(0,AB140-AF140-AB140*$C$25)</f>
        <v>261595.206490358</v>
      </c>
      <c r="AH140" s="180" t="n">
        <f aca="false">AG140/$D140</f>
        <v>202066.179966822</v>
      </c>
      <c r="AJ140" s="180" t="n">
        <f aca="false">AQ139</f>
        <v>258431.835585539</v>
      </c>
      <c r="AK140" s="180" t="n">
        <f aca="false">IF($D$9=0,0,IF($A140&gt;IN_PRAZO,0,IF(APORTE_CORRIGIDO="Sim",IN_APORTE*$D140,IN_APORTE))+IF(AND($D$35=1,PGBL_REINVESTE="Sim",$A140&gt;=13,$A140&lt;=IN_PRAZO,MONTH($B140)=5),PGBL_BENEFICIO,0))</f>
        <v>0</v>
      </c>
      <c r="AL140" s="180" t="n">
        <f aca="false">AK140*$D$24</f>
        <v>0</v>
      </c>
      <c r="AM140" s="180" t="n">
        <f aca="false">AJ140*$D$19</f>
        <v>2322.96547803652</v>
      </c>
      <c r="AN140" s="180" t="n">
        <f aca="false">AJ140*$D$22</f>
        <v>215.35986298795</v>
      </c>
      <c r="AO140" s="180" t="n">
        <f aca="false">$D$23*MAX(0,AM140-AJ140*$D$18)</f>
        <v>0</v>
      </c>
      <c r="AP140" s="180" t="n">
        <f aca="false">IF(AND($D$27=1,OR(MONTH($B140)=5,MONTH($B140)=11)),MAX(0,$D$28*MAX(0,(AJ140+AM140-AN140-AO140+AK140-AL140)+AS139-AR140)-AS139),0)</f>
        <v>0</v>
      </c>
      <c r="AQ140" s="181" t="n">
        <f aca="false">AJ140+AM140-AN140-AO140+AK140-AL140-AP140</f>
        <v>260539.441200588</v>
      </c>
      <c r="AR140" s="180" t="n">
        <f aca="false">AR139+AK140-AL140</f>
        <v>150000</v>
      </c>
      <c r="AS140" s="180" t="n">
        <f aca="false">AS139+AP140</f>
        <v>18037.1935886774</v>
      </c>
      <c r="AT140" s="180" t="n">
        <f aca="false">AQ140+AS140-AR140</f>
        <v>128576.634789265</v>
      </c>
      <c r="AU140" s="180" t="n">
        <f aca="false">MAX(0,IFERROR(INDEX(TAB_IR,MATCH($C140,TAB_IR_DIAS,1),MATCH($D$8,TAB_IR_REGIMES,0)),0)*IF($D$26=2,AQ140,MAX(0,AT140))-AS140)</f>
        <v>1249.30162971239</v>
      </c>
      <c r="AV140" s="181" t="n">
        <f aca="false">MAX(0,AQ140-AU140-AQ140*$D$25)</f>
        <v>259290.139570876</v>
      </c>
      <c r="AW140" s="180" t="n">
        <f aca="false">AV140/$D140</f>
        <v>200285.65778816</v>
      </c>
      <c r="AY140" s="180" t="n">
        <f aca="false">BF139</f>
        <v>291147.501960122</v>
      </c>
      <c r="AZ140" s="180" t="n">
        <f aca="false">IF($E$9=0,0,IF($A140&gt;IN_PRAZO,0,IF(APORTE_CORRIGIDO="Sim",IN_APORTE*$D140,IN_APORTE))+IF(AND($E$35=1,PGBL_REINVESTE="Sim",$A140&gt;=13,$A140&lt;=IN_PRAZO,MONTH($B140)=5),PGBL_BENEFICIO,0))</f>
        <v>0</v>
      </c>
      <c r="BA140" s="180" t="n">
        <f aca="false">AZ140*$E$24</f>
        <v>0</v>
      </c>
      <c r="BB140" s="180" t="n">
        <f aca="false">AY140*$E$19</f>
        <v>2849.96875604307</v>
      </c>
      <c r="BC140" s="180" t="n">
        <f aca="false">AY140*$E$22</f>
        <v>363.934377450153</v>
      </c>
      <c r="BD140" s="180" t="n">
        <f aca="false">$E$23*MAX(0,BB140-AY140*$E$18)</f>
        <v>0</v>
      </c>
      <c r="BE140" s="180" t="n">
        <f aca="false">IF(AND($E$27=1,OR(MONTH($B140)=5,MONTH($B140)=11)),MAX(0,$E$28*MAX(0,(AY140+BB140-BC140-BD140+AZ140-BA140)+BH139-BG140)-BH139),0)</f>
        <v>0</v>
      </c>
      <c r="BF140" s="181" t="n">
        <f aca="false">AY140+BB140-BC140-BD140+AZ140-BA140-BE140</f>
        <v>293633.536338715</v>
      </c>
      <c r="BG140" s="180" t="n">
        <f aca="false">BG139+AZ140-BA140</f>
        <v>150000</v>
      </c>
      <c r="BH140" s="180" t="n">
        <f aca="false">BH139+BE140</f>
        <v>0</v>
      </c>
      <c r="BI140" s="180" t="n">
        <f aca="false">BF140+BH140-BG140</f>
        <v>143633.536338715</v>
      </c>
      <c r="BJ140" s="180" t="n">
        <f aca="false">MAX(0,IFERROR(INDEX(TAB_IR,MATCH($C140,TAB_IR_DIAS,1),MATCH($E$8,TAB_IR_REGIMES,0)),0)*IF($E$26=2,BF140,MAX(0,BI140))-BH140)</f>
        <v>28726.707267743</v>
      </c>
      <c r="BK140" s="181" t="n">
        <f aca="false">MAX(0,BF140-BJ140-BF140*$E$25)</f>
        <v>264906.829070972</v>
      </c>
      <c r="BL140" s="180" t="n">
        <f aca="false">BK140/$D140</f>
        <v>204624.204379174</v>
      </c>
      <c r="BN140" s="180" t="n">
        <f aca="false">BU139</f>
        <v>291147.501960122</v>
      </c>
      <c r="BO140" s="180" t="n">
        <f aca="false">IF($F$9=0,0,IF($A140&gt;IN_PRAZO,0,IF(APORTE_CORRIGIDO="Sim",IN_APORTE*$D140,IN_APORTE))+IF(AND($F$35=1,PGBL_REINVESTE="Sim",$A140&gt;=13,$A140&lt;=IN_PRAZO,MONTH($B140)=5),PGBL_BENEFICIO,0))</f>
        <v>0</v>
      </c>
      <c r="BP140" s="180" t="n">
        <f aca="false">BO140*$F$24</f>
        <v>0</v>
      </c>
      <c r="BQ140" s="180" t="n">
        <f aca="false">BN140*$F$19</f>
        <v>2849.96875604307</v>
      </c>
      <c r="BR140" s="180" t="n">
        <f aca="false">BN140*$F$22</f>
        <v>363.934377450153</v>
      </c>
      <c r="BS140" s="180" t="n">
        <f aca="false">$F$23*MAX(0,BQ140-BN140*$F$18)</f>
        <v>0</v>
      </c>
      <c r="BT140" s="180" t="n">
        <f aca="false">IF(AND($F$27=1,OR(MONTH($B140)=5,MONTH($B140)=11)),MAX(0,$F$28*MAX(0,(BN140+BQ140-BR140-BS140+BO140-BP140)+BW139-BV140)-BW139),0)</f>
        <v>0</v>
      </c>
      <c r="BU140" s="181" t="n">
        <f aca="false">BN140+BQ140-BR140-BS140+BO140-BP140-BT140</f>
        <v>293633.536338715</v>
      </c>
      <c r="BV140" s="180" t="n">
        <f aca="false">BV139+BO140-BP140</f>
        <v>150000</v>
      </c>
      <c r="BW140" s="180" t="n">
        <f aca="false">BW139+BT140</f>
        <v>0</v>
      </c>
      <c r="BX140" s="180" t="n">
        <f aca="false">BU140+BW140-BV140</f>
        <v>143633.536338715</v>
      </c>
      <c r="BY140" s="180" t="n">
        <f aca="false">MAX(0,IFERROR(INDEX(TAB_IR,MATCH($C140,TAB_IR_DIAS,1),MATCH($F$8,TAB_IR_REGIMES,0)),0)*IF($F$26=2,BU140,MAX(0,BX140))-BW140)</f>
        <v>58726.707267743</v>
      </c>
      <c r="BZ140" s="181" t="n">
        <f aca="false">MAX(0,BU140-BY140-BU140*$F$25)</f>
        <v>234906.829070972</v>
      </c>
      <c r="CA140" s="180" t="n">
        <f aca="false">BZ140/$D140</f>
        <v>181451.052698246</v>
      </c>
      <c r="CC140" s="180" t="n">
        <f aca="false">CJ139</f>
        <v>244497.60728843</v>
      </c>
      <c r="CD140" s="180" t="n">
        <f aca="false">IF($G$9=0,0,IF($A140&gt;IN_PRAZO,0,IF(APORTE_CORRIGIDO="Sim",IN_APORTE*$D140,IN_APORTE))+IF(AND($G$35=1,PGBL_REINVESTE="Sim",$A140&gt;=13,$A140&lt;=IN_PRAZO,MONTH($B140)=5),PGBL_BENEFICIO,0))</f>
        <v>0</v>
      </c>
      <c r="CE140" s="180" t="n">
        <f aca="false">CD140*$G$24</f>
        <v>0</v>
      </c>
      <c r="CF140" s="180" t="n">
        <f aca="false">CC140*$G$19</f>
        <v>1994.42210255159</v>
      </c>
      <c r="CG140" s="180" t="n">
        <f aca="false">CC140*$G$22</f>
        <v>203.748006073692</v>
      </c>
      <c r="CH140" s="180" t="n">
        <f aca="false">$G$23*MAX(0,CF140-CC140*$G$18)</f>
        <v>0</v>
      </c>
      <c r="CI140" s="180" t="n">
        <f aca="false">IF(AND($G$27=1,OR(MONTH($B140)=5,MONTH($B140)=11)),MAX(0,$G$28*MAX(0,(CC140+CF140-CG140-CH140+CD140-CE140)+CL139-CK140)-CL139),0)</f>
        <v>0</v>
      </c>
      <c r="CJ140" s="181" t="n">
        <f aca="false">CC140+CF140-CG140-CH140+CD140-CE140-CI140</f>
        <v>246288.281384908</v>
      </c>
      <c r="CK140" s="180" t="n">
        <f aca="false">CK139+CD140-CE140</f>
        <v>150000</v>
      </c>
      <c r="CL140" s="180" t="n">
        <f aca="false">CL139+CI140</f>
        <v>15741.7629106516</v>
      </c>
      <c r="CM140" s="180" t="n">
        <f aca="false">CJ140+CL140-CK140</f>
        <v>112030.04429556</v>
      </c>
      <c r="CN140" s="180" t="n">
        <f aca="false">MAX(0,IFERROR(INDEX(TAB_IR,MATCH($C140,TAB_IR_DIAS,1),MATCH($G$8,TAB_IR_REGIMES,0)),0)*IF($G$26=2,CJ140,MAX(0,CM140))-CL140)</f>
        <v>1062.7437336824</v>
      </c>
      <c r="CO140" s="181" t="n">
        <f aca="false">MAX(0,CJ140-CN140-CJ140*$G$25)</f>
        <v>245225.537651226</v>
      </c>
      <c r="CP140" s="180" t="n">
        <f aca="false">CO140/$D140</f>
        <v>189421.619334297</v>
      </c>
    </row>
    <row r="141" customFormat="false" ht="12" hidden="false" customHeight="true" outlineLevel="0" collapsed="false">
      <c r="A141" s="177" t="n">
        <v>80</v>
      </c>
      <c r="B141" s="178" t="n">
        <f aca="false">EDATE(DATA_INICIO,$A141)</f>
        <v>48692</v>
      </c>
      <c r="C141" s="177" t="n">
        <f aca="false">$A141*30</f>
        <v>2400</v>
      </c>
      <c r="D141" s="179" t="n">
        <f aca="false">(1+IPCA_CENARIO)^($A141/12)</f>
        <v>1.29883982152664</v>
      </c>
      <c r="F141" s="180" t="n">
        <f aca="false">M140</f>
        <v>312208.684141419</v>
      </c>
      <c r="G141" s="180" t="n">
        <f aca="false">IF($B$9=0,0,IF($A141&gt;IN_PRAZO,0,IF(APORTE_CORRIGIDO="Sim",IN_APORTE*$D141,IN_APORTE))+IF(AND($B$35=1,PGBL_REINVESTE="Sim",$A141&gt;=13,$A141&lt;=IN_PRAZO,MONTH($B141)=5),PGBL_BENEFICIO,0))</f>
        <v>0</v>
      </c>
      <c r="H141" s="180" t="n">
        <f aca="false">G141*$B$24</f>
        <v>0</v>
      </c>
      <c r="I141" s="180" t="n">
        <f aca="false">F141*$B$19</f>
        <v>2962.48355619657</v>
      </c>
      <c r="J141" s="180" t="n">
        <f aca="false">F141*$B$22</f>
        <v>52.0347806902365</v>
      </c>
      <c r="K141" s="180" t="n">
        <f aca="false">$B$23*MAX(0,I141-F141*$B$18)</f>
        <v>0</v>
      </c>
      <c r="L141" s="180" t="n">
        <f aca="false">IF(AND($B$27=1,OR(MONTH($B141)=5,MONTH($B141)=11)),MAX(0,$B$28*MAX(0,(F141+I141-J141-K141+G141-H141)+O140-N141)-O140),0)</f>
        <v>0</v>
      </c>
      <c r="M141" s="181" t="n">
        <f aca="false">F141+I141-J141-K141+G141-H141-L141</f>
        <v>315119.132916925</v>
      </c>
      <c r="N141" s="180" t="n">
        <f aca="false">N140+G141-H141</f>
        <v>150000</v>
      </c>
      <c r="O141" s="180" t="n">
        <f aca="false">O140+L141</f>
        <v>0</v>
      </c>
      <c r="P141" s="180" t="n">
        <f aca="false">M141+O141-N141</f>
        <v>165119.132916925</v>
      </c>
      <c r="Q141" s="180" t="n">
        <f aca="false">MAX(0,IFERROR(INDEX(TAB_IR,MATCH($C141,TAB_IR_DIAS,1),MATCH($B$8,TAB_IR_REGIMES,0)),0)*IF($B$26=2,M141,MAX(0,P141))-O141)</f>
        <v>24767.8699375388</v>
      </c>
      <c r="R141" s="181" t="n">
        <f aca="false">MAX(0,M141-Q141-M141*$B$25)</f>
        <v>290351.262979387</v>
      </c>
      <c r="S141" s="180" t="n">
        <f aca="false">R141/$D141</f>
        <v>223546.628434991</v>
      </c>
      <c r="U141" s="180" t="n">
        <f aca="false">AB140</f>
        <v>281288.478223951</v>
      </c>
      <c r="V141" s="180" t="n">
        <f aca="false">IF($C$9=0,0,IF($A141&gt;IN_PRAZO,0,IF(APORTE_CORRIGIDO="Sim",IN_APORTE*$D141,IN_APORTE))+IF(AND($C$35=1,PGBL_REINVESTE="Sim",$A141&gt;=13,$A141&lt;=IN_PRAZO,MONTH($B141)=5),PGBL_BENEFICIO,0))</f>
        <v>0</v>
      </c>
      <c r="W141" s="180" t="n">
        <f aca="false">V141*$C$24</f>
        <v>0</v>
      </c>
      <c r="X141" s="180" t="n">
        <f aca="false">U141*$C$19</f>
        <v>2294.53353096064</v>
      </c>
      <c r="Y141" s="180" t="n">
        <f aca="false">U141*$C$22</f>
        <v>46.8814130373251</v>
      </c>
      <c r="Z141" s="180" t="n">
        <f aca="false">$C$23*MAX(0,X141-U141*$C$18)</f>
        <v>0</v>
      </c>
      <c r="AA141" s="180" t="n">
        <f aca="false">IF(AND($C$27=1,OR(MONTH($B141)=5,MONTH($B141)=11)),MAX(0,$C$28*MAX(0,(U141+X141-Y141-Z141+V141-W141)+AD140-AC141)-AD140),0)</f>
        <v>0</v>
      </c>
      <c r="AB141" s="181" t="n">
        <f aca="false">U141+X141-Y141-Z141+V141-W141-AA141</f>
        <v>283536.130341874</v>
      </c>
      <c r="AC141" s="180" t="n">
        <f aca="false">AC140+V141-W141</f>
        <v>150000</v>
      </c>
      <c r="AD141" s="180" t="n">
        <f aca="false">AD140+AA141</f>
        <v>0</v>
      </c>
      <c r="AE141" s="180" t="n">
        <f aca="false">AB141+AD141-AC141</f>
        <v>133536.130341874</v>
      </c>
      <c r="AF141" s="180" t="n">
        <f aca="false">MAX(0,IFERROR(INDEX(TAB_IR,MATCH($C141,TAB_IR_DIAS,1),MATCH($C$8,TAB_IR_REGIMES,0)),0)*IF($C$26=2,AB141,MAX(0,AE141))-AD141)</f>
        <v>20030.4195512811</v>
      </c>
      <c r="AG141" s="181" t="n">
        <f aca="false">MAX(0,AB141-AF141-AB141*$C$25)</f>
        <v>263505.710790593</v>
      </c>
      <c r="AH141" s="180" t="n">
        <f aca="false">AG141/$D141</f>
        <v>202877.75784459</v>
      </c>
      <c r="AJ141" s="180" t="n">
        <f aca="false">AQ140</f>
        <v>260539.441200588</v>
      </c>
      <c r="AK141" s="180" t="n">
        <f aca="false">IF($D$9=0,0,IF($A141&gt;IN_PRAZO,0,IF(APORTE_CORRIGIDO="Sim",IN_APORTE*$D141,IN_APORTE))+IF(AND($D$35=1,PGBL_REINVESTE="Sim",$A141&gt;=13,$A141&lt;=IN_PRAZO,MONTH($B141)=5),PGBL_BENEFICIO,0))</f>
        <v>0</v>
      </c>
      <c r="AL141" s="180" t="n">
        <f aca="false">AK141*$D$24</f>
        <v>0</v>
      </c>
      <c r="AM141" s="180" t="n">
        <f aca="false">AJ141*$D$19</f>
        <v>2341.91010641011</v>
      </c>
      <c r="AN141" s="180" t="n">
        <f aca="false">AJ141*$D$22</f>
        <v>217.11620100049</v>
      </c>
      <c r="AO141" s="180" t="n">
        <f aca="false">$D$23*MAX(0,AM141-AJ141*$D$18)</f>
        <v>0</v>
      </c>
      <c r="AP141" s="180" t="n">
        <f aca="false">IF(AND($D$27=1,OR(MONTH($B141)=5,MONTH($B141)=11)),MAX(0,$D$28*MAX(0,(AJ141+AM141-AN141-AO141+AK141-AL141)+AS140-AR141)-AS140),0)</f>
        <v>0</v>
      </c>
      <c r="AQ141" s="181" t="n">
        <f aca="false">AJ141+AM141-AN141-AO141+AK141-AL141-AP141</f>
        <v>262664.235105998</v>
      </c>
      <c r="AR141" s="180" t="n">
        <f aca="false">AR140+AK141-AL141</f>
        <v>150000</v>
      </c>
      <c r="AS141" s="180" t="n">
        <f aca="false">AS140+AP141</f>
        <v>18037.1935886774</v>
      </c>
      <c r="AT141" s="180" t="n">
        <f aca="false">AQ141+AS141-AR141</f>
        <v>130701.428694675</v>
      </c>
      <c r="AU141" s="180" t="n">
        <f aca="false">MAX(0,IFERROR(INDEX(TAB_IR,MATCH($C141,TAB_IR_DIAS,1),MATCH($D$8,TAB_IR_REGIMES,0)),0)*IF($D$26=2,AQ141,MAX(0,AT141))-AS141)</f>
        <v>1568.02071552385</v>
      </c>
      <c r="AV141" s="181" t="n">
        <f aca="false">MAX(0,AQ141-AU141-AQ141*$D$25)</f>
        <v>261096.214390474</v>
      </c>
      <c r="AW141" s="180" t="n">
        <f aca="false">AV141/$D141</f>
        <v>201022.643487773</v>
      </c>
      <c r="AY141" s="180" t="n">
        <f aca="false">BF140</f>
        <v>293633.536338715</v>
      </c>
      <c r="AZ141" s="180" t="n">
        <f aca="false">IF($E$9=0,0,IF($A141&gt;IN_PRAZO,0,IF(APORTE_CORRIGIDO="Sim",IN_APORTE*$D141,IN_APORTE))+IF(AND($E$35=1,PGBL_REINVESTE="Sim",$A141&gt;=13,$A141&lt;=IN_PRAZO,MONTH($B141)=5),PGBL_BENEFICIO,0))</f>
        <v>0</v>
      </c>
      <c r="BA141" s="180" t="n">
        <f aca="false">AZ141*$E$24</f>
        <v>0</v>
      </c>
      <c r="BB141" s="180" t="n">
        <f aca="false">AY141*$E$19</f>
        <v>2874.30391350703</v>
      </c>
      <c r="BC141" s="180" t="n">
        <f aca="false">AY141*$E$22</f>
        <v>367.041920423394</v>
      </c>
      <c r="BD141" s="180" t="n">
        <f aca="false">$E$23*MAX(0,BB141-AY141*$E$18)</f>
        <v>0</v>
      </c>
      <c r="BE141" s="180" t="n">
        <f aca="false">IF(AND($E$27=1,OR(MONTH($B141)=5,MONTH($B141)=11)),MAX(0,$E$28*MAX(0,(AY141+BB141-BC141-BD141+AZ141-BA141)+BH140-BG141)-BH140),0)</f>
        <v>0</v>
      </c>
      <c r="BF141" s="181" t="n">
        <f aca="false">AY141+BB141-BC141-BD141+AZ141-BA141-BE141</f>
        <v>296140.798331799</v>
      </c>
      <c r="BG141" s="180" t="n">
        <f aca="false">BG140+AZ141-BA141</f>
        <v>150000</v>
      </c>
      <c r="BH141" s="180" t="n">
        <f aca="false">BH140+BE141</f>
        <v>0</v>
      </c>
      <c r="BI141" s="180" t="n">
        <f aca="false">BF141+BH141-BG141</f>
        <v>146140.798331799</v>
      </c>
      <c r="BJ141" s="180" t="n">
        <f aca="false">MAX(0,IFERROR(INDEX(TAB_IR,MATCH($C141,TAB_IR_DIAS,1),MATCH($E$8,TAB_IR_REGIMES,0)),0)*IF($E$26=2,BF141,MAX(0,BI141))-BH141)</f>
        <v>29228.1596663598</v>
      </c>
      <c r="BK141" s="181" t="n">
        <f aca="false">MAX(0,BF141-BJ141-BF141*$E$25)</f>
        <v>266912.638665439</v>
      </c>
      <c r="BL141" s="180" t="n">
        <f aca="false">BK141/$D141</f>
        <v>205500.812526453</v>
      </c>
      <c r="BN141" s="180" t="n">
        <f aca="false">BU140</f>
        <v>293633.536338715</v>
      </c>
      <c r="BO141" s="180" t="n">
        <f aca="false">IF($F$9=0,0,IF($A141&gt;IN_PRAZO,0,IF(APORTE_CORRIGIDO="Sim",IN_APORTE*$D141,IN_APORTE))+IF(AND($F$35=1,PGBL_REINVESTE="Sim",$A141&gt;=13,$A141&lt;=IN_PRAZO,MONTH($B141)=5),PGBL_BENEFICIO,0))</f>
        <v>0</v>
      </c>
      <c r="BP141" s="180" t="n">
        <f aca="false">BO141*$F$24</f>
        <v>0</v>
      </c>
      <c r="BQ141" s="180" t="n">
        <f aca="false">BN141*$F$19</f>
        <v>2874.30391350703</v>
      </c>
      <c r="BR141" s="180" t="n">
        <f aca="false">BN141*$F$22</f>
        <v>367.041920423394</v>
      </c>
      <c r="BS141" s="180" t="n">
        <f aca="false">$F$23*MAX(0,BQ141-BN141*$F$18)</f>
        <v>0</v>
      </c>
      <c r="BT141" s="180" t="n">
        <f aca="false">IF(AND($F$27=1,OR(MONTH($B141)=5,MONTH($B141)=11)),MAX(0,$F$28*MAX(0,(BN141+BQ141-BR141-BS141+BO141-BP141)+BW140-BV141)-BW140),0)</f>
        <v>0</v>
      </c>
      <c r="BU141" s="181" t="n">
        <f aca="false">BN141+BQ141-BR141-BS141+BO141-BP141-BT141</f>
        <v>296140.798331799</v>
      </c>
      <c r="BV141" s="180" t="n">
        <f aca="false">BV140+BO141-BP141</f>
        <v>150000</v>
      </c>
      <c r="BW141" s="180" t="n">
        <f aca="false">BW140+BT141</f>
        <v>0</v>
      </c>
      <c r="BX141" s="180" t="n">
        <f aca="false">BU141+BW141-BV141</f>
        <v>146140.798331799</v>
      </c>
      <c r="BY141" s="180" t="n">
        <f aca="false">MAX(0,IFERROR(INDEX(TAB_IR,MATCH($C141,TAB_IR_DIAS,1),MATCH($F$8,TAB_IR_REGIMES,0)),0)*IF($F$26=2,BU141,MAX(0,BX141))-BW141)</f>
        <v>59228.1596663598</v>
      </c>
      <c r="BZ141" s="181" t="n">
        <f aca="false">MAX(0,BU141-BY141-BU141*$F$25)</f>
        <v>236912.638665439</v>
      </c>
      <c r="CA141" s="180" t="n">
        <f aca="false">BZ141/$D141</f>
        <v>182403.276169169</v>
      </c>
      <c r="CC141" s="180" t="n">
        <f aca="false">CJ140</f>
        <v>246288.281384908</v>
      </c>
      <c r="CD141" s="180" t="n">
        <f aca="false">IF($G$9=0,0,IF($A141&gt;IN_PRAZO,0,IF(APORTE_CORRIGIDO="Sim",IN_APORTE*$D141,IN_APORTE))+IF(AND($G$35=1,PGBL_REINVESTE="Sim",$A141&gt;=13,$A141&lt;=IN_PRAZO,MONTH($B141)=5),PGBL_BENEFICIO,0))</f>
        <v>0</v>
      </c>
      <c r="CE141" s="180" t="n">
        <f aca="false">CD141*$G$24</f>
        <v>0</v>
      </c>
      <c r="CF141" s="180" t="n">
        <f aca="false">CC141*$G$19</f>
        <v>2009.02903484876</v>
      </c>
      <c r="CG141" s="180" t="n">
        <f aca="false">CC141*$G$22</f>
        <v>205.240234487424</v>
      </c>
      <c r="CH141" s="180" t="n">
        <f aca="false">$G$23*MAX(0,CF141-CC141*$G$18)</f>
        <v>0</v>
      </c>
      <c r="CI141" s="180" t="n">
        <f aca="false">IF(AND($G$27=1,OR(MONTH($B141)=5,MONTH($B141)=11)),MAX(0,$G$28*MAX(0,(CC141+CF141-CG141-CH141+CD141-CE141)+CL140-CK141)-CL140),0)</f>
        <v>0</v>
      </c>
      <c r="CJ141" s="181" t="n">
        <f aca="false">CC141+CF141-CG141-CH141+CD141-CE141-CI141</f>
        <v>248092.07018527</v>
      </c>
      <c r="CK141" s="180" t="n">
        <f aca="false">CK140+CD141-CE141</f>
        <v>150000</v>
      </c>
      <c r="CL141" s="180" t="n">
        <f aca="false">CL140+CI141</f>
        <v>15741.7629106516</v>
      </c>
      <c r="CM141" s="180" t="n">
        <f aca="false">CJ141+CL141-CK141</f>
        <v>113833.833095921</v>
      </c>
      <c r="CN141" s="180" t="n">
        <f aca="false">MAX(0,IFERROR(INDEX(TAB_IR,MATCH($C141,TAB_IR_DIAS,1),MATCH($G$8,TAB_IR_REGIMES,0)),0)*IF($G$26=2,CJ141,MAX(0,CM141))-CL141)</f>
        <v>1333.3120537366</v>
      </c>
      <c r="CO141" s="181" t="n">
        <f aca="false">MAX(0,CJ141-CN141-CJ141*$G$25)</f>
        <v>246758.758131533</v>
      </c>
      <c r="CP141" s="180" t="n">
        <f aca="false">CO141/$D141</f>
        <v>189983.979580712</v>
      </c>
    </row>
    <row r="142" customFormat="false" ht="12" hidden="false" customHeight="true" outlineLevel="0" collapsed="false">
      <c r="A142" s="177" t="n">
        <v>81</v>
      </c>
      <c r="B142" s="178" t="n">
        <f aca="false">EDATE(DATA_INICIO,$A142)</f>
        <v>48722</v>
      </c>
      <c r="C142" s="177" t="n">
        <f aca="false">$A142*30</f>
        <v>2430</v>
      </c>
      <c r="D142" s="179" t="n">
        <f aca="false">(1+IPCA_CENARIO)^($A142/12)</f>
        <v>1.30309188512108</v>
      </c>
      <c r="F142" s="180" t="n">
        <f aca="false">M141</f>
        <v>315119.132916925</v>
      </c>
      <c r="G142" s="180" t="n">
        <f aca="false">IF($B$9=0,0,IF($A142&gt;IN_PRAZO,0,IF(APORTE_CORRIGIDO="Sim",IN_APORTE*$D142,IN_APORTE))+IF(AND($B$35=1,PGBL_REINVESTE="Sim",$A142&gt;=13,$A142&lt;=IN_PRAZO,MONTH($B142)=5),PGBL_BENEFICIO,0))</f>
        <v>0</v>
      </c>
      <c r="H142" s="180" t="n">
        <f aca="false">G142*$B$24</f>
        <v>0</v>
      </c>
      <c r="I142" s="180" t="n">
        <f aca="false">F142*$B$19</f>
        <v>2990.10020197406</v>
      </c>
      <c r="J142" s="180" t="n">
        <f aca="false">F142*$B$22</f>
        <v>52.5198554861542</v>
      </c>
      <c r="K142" s="180" t="n">
        <f aca="false">$B$23*MAX(0,I142-F142*$B$18)</f>
        <v>0</v>
      </c>
      <c r="L142" s="180" t="n">
        <f aca="false">IF(AND($B$27=1,OR(MONTH($B142)=5,MONTH($B142)=11)),MAX(0,$B$28*MAX(0,(F142+I142-J142-K142+G142-H142)+O141-N142)-O141),0)</f>
        <v>0</v>
      </c>
      <c r="M142" s="181" t="n">
        <f aca="false">F142+I142-J142-K142+G142-H142-L142</f>
        <v>318056.713263413</v>
      </c>
      <c r="N142" s="180" t="n">
        <f aca="false">N141+G142-H142</f>
        <v>150000</v>
      </c>
      <c r="O142" s="180" t="n">
        <f aca="false">O141+L142</f>
        <v>0</v>
      </c>
      <c r="P142" s="180" t="n">
        <f aca="false">M142+O142-N142</f>
        <v>168056.713263413</v>
      </c>
      <c r="Q142" s="180" t="n">
        <f aca="false">MAX(0,IFERROR(INDEX(TAB_IR,MATCH($C142,TAB_IR_DIAS,1),MATCH($B$8,TAB_IR_REGIMES,0)),0)*IF($B$26=2,M142,MAX(0,P142))-O142)</f>
        <v>25208.506989512</v>
      </c>
      <c r="R142" s="181" t="n">
        <f aca="false">MAX(0,M142-Q142-M142*$B$25)</f>
        <v>292848.206273901</v>
      </c>
      <c r="S142" s="180" t="n">
        <f aca="false">R142/$D142</f>
        <v>224733.351206995</v>
      </c>
      <c r="U142" s="180" t="n">
        <f aca="false">AB141</f>
        <v>283536.130341874</v>
      </c>
      <c r="V142" s="180" t="n">
        <f aca="false">IF($C$9=0,0,IF($A142&gt;IN_PRAZO,0,IF(APORTE_CORRIGIDO="Sim",IN_APORTE*$D142,IN_APORTE))+IF(AND($C$35=1,PGBL_REINVESTE="Sim",$A142&gt;=13,$A142&lt;=IN_PRAZO,MONTH($B142)=5),PGBL_BENEFICIO,0))</f>
        <v>0</v>
      </c>
      <c r="W142" s="180" t="n">
        <f aca="false">V142*$C$24</f>
        <v>0</v>
      </c>
      <c r="X142" s="180" t="n">
        <f aca="false">U142*$C$19</f>
        <v>2312.86813600054</v>
      </c>
      <c r="Y142" s="180" t="n">
        <f aca="false">U142*$C$22</f>
        <v>47.2560217236457</v>
      </c>
      <c r="Z142" s="180" t="n">
        <f aca="false">$C$23*MAX(0,X142-U142*$C$18)</f>
        <v>0</v>
      </c>
      <c r="AA142" s="180" t="n">
        <f aca="false">IF(AND($C$27=1,OR(MONTH($B142)=5,MONTH($B142)=11)),MAX(0,$C$28*MAX(0,(U142+X142-Y142-Z142+V142-W142)+AD141-AC142)-AD141),0)</f>
        <v>0</v>
      </c>
      <c r="AB142" s="181" t="n">
        <f aca="false">U142+X142-Y142-Z142+V142-W142-AA142</f>
        <v>285801.742456151</v>
      </c>
      <c r="AC142" s="180" t="n">
        <f aca="false">AC141+V142-W142</f>
        <v>150000</v>
      </c>
      <c r="AD142" s="180" t="n">
        <f aca="false">AD141+AA142</f>
        <v>0</v>
      </c>
      <c r="AE142" s="180" t="n">
        <f aca="false">AB142+AD142-AC142</f>
        <v>135801.742456151</v>
      </c>
      <c r="AF142" s="180" t="n">
        <f aca="false">MAX(0,IFERROR(INDEX(TAB_IR,MATCH($C142,TAB_IR_DIAS,1),MATCH($C$8,TAB_IR_REGIMES,0)),0)*IF($C$26=2,AB142,MAX(0,AE142))-AD142)</f>
        <v>20370.2613684226</v>
      </c>
      <c r="AG142" s="181" t="n">
        <f aca="false">MAX(0,AB142-AF142-AB142*$C$25)</f>
        <v>265431.481087728</v>
      </c>
      <c r="AH142" s="180" t="n">
        <f aca="false">AG142/$D142</f>
        <v>203693.602974947</v>
      </c>
      <c r="AJ142" s="180" t="n">
        <f aca="false">AQ141</f>
        <v>262664.235105998</v>
      </c>
      <c r="AK142" s="180" t="n">
        <f aca="false">IF($D$9=0,0,IF($A142&gt;IN_PRAZO,0,IF(APORTE_CORRIGIDO="Sim",IN_APORTE*$D142,IN_APORTE))+IF(AND($D$35=1,PGBL_REINVESTE="Sim",$A142&gt;=13,$A142&lt;=IN_PRAZO,MONTH($B142)=5),PGBL_BENEFICIO,0))</f>
        <v>0</v>
      </c>
      <c r="AL142" s="180" t="n">
        <f aca="false">AK142*$D$24</f>
        <v>0</v>
      </c>
      <c r="AM142" s="180" t="n">
        <f aca="false">AJ142*$D$19</f>
        <v>2361.00923511856</v>
      </c>
      <c r="AN142" s="180" t="n">
        <f aca="false">AJ142*$D$22</f>
        <v>218.886862588331</v>
      </c>
      <c r="AO142" s="180" t="n">
        <f aca="false">$D$23*MAX(0,AM142-AJ142*$D$18)</f>
        <v>0</v>
      </c>
      <c r="AP142" s="180" t="n">
        <f aca="false">IF(AND($D$27=1,OR(MONTH($B142)=5,MONTH($B142)=11)),MAX(0,$D$28*MAX(0,(AJ142+AM142-AN142-AO142+AK142-AL142)+AS141-AR142)-AS141),0)</f>
        <v>1889.33907140338</v>
      </c>
      <c r="AQ142" s="181" t="n">
        <f aca="false">AJ142+AM142-AN142-AO142+AK142-AL142-AP142</f>
        <v>262917.018407125</v>
      </c>
      <c r="AR142" s="180" t="n">
        <f aca="false">AR141+AK142-AL142</f>
        <v>150000</v>
      </c>
      <c r="AS142" s="180" t="n">
        <f aca="false">AS141+AP142</f>
        <v>19926.5326600808</v>
      </c>
      <c r="AT142" s="180" t="n">
        <f aca="false">AQ142+AS142-AR142</f>
        <v>132843.551067205</v>
      </c>
      <c r="AU142" s="180" t="n">
        <f aca="false">MAX(0,IFERROR(INDEX(TAB_IR,MATCH($C142,TAB_IR_DIAS,1),MATCH($D$8,TAB_IR_REGIMES,0)),0)*IF($D$26=2,AQ142,MAX(0,AT142))-AS142)</f>
        <v>0</v>
      </c>
      <c r="AV142" s="181" t="n">
        <f aca="false">MAX(0,AQ142-AU142-AQ142*$D$25)</f>
        <v>262917.018407125</v>
      </c>
      <c r="AW142" s="180" t="n">
        <f aca="false">AV142/$D142</f>
        <v>201763.990252073</v>
      </c>
      <c r="AY142" s="180" t="n">
        <f aca="false">BF141</f>
        <v>296140.798331799</v>
      </c>
      <c r="AZ142" s="180" t="n">
        <f aca="false">IF($E$9=0,0,IF($A142&gt;IN_PRAZO,0,IF(APORTE_CORRIGIDO="Sim",IN_APORTE*$D142,IN_APORTE))+IF(AND($E$35=1,PGBL_REINVESTE="Sim",$A142&gt;=13,$A142&lt;=IN_PRAZO,MONTH($B142)=5),PGBL_BENEFICIO,0))</f>
        <v>0</v>
      </c>
      <c r="BA142" s="180" t="n">
        <f aca="false">AZ142*$E$24</f>
        <v>0</v>
      </c>
      <c r="BB142" s="180" t="n">
        <f aca="false">AY142*$E$19</f>
        <v>2898.84686268363</v>
      </c>
      <c r="BC142" s="180" t="n">
        <f aca="false">AY142*$E$22</f>
        <v>370.175997914749</v>
      </c>
      <c r="BD142" s="180" t="n">
        <f aca="false">$E$23*MAX(0,BB142-AY142*$E$18)</f>
        <v>0</v>
      </c>
      <c r="BE142" s="180" t="n">
        <f aca="false">IF(AND($E$27=1,OR(MONTH($B142)=5,MONTH($B142)=11)),MAX(0,$E$28*MAX(0,(AY142+BB142-BC142-BD142+AZ142-BA142)+BH141-BG142)-BH141),0)</f>
        <v>0</v>
      </c>
      <c r="BF142" s="181" t="n">
        <f aca="false">AY142+BB142-BC142-BD142+AZ142-BA142-BE142</f>
        <v>298669.469196568</v>
      </c>
      <c r="BG142" s="180" t="n">
        <f aca="false">BG141+AZ142-BA142</f>
        <v>150000</v>
      </c>
      <c r="BH142" s="180" t="n">
        <f aca="false">BH141+BE142</f>
        <v>0</v>
      </c>
      <c r="BI142" s="180" t="n">
        <f aca="false">BF142+BH142-BG142</f>
        <v>148669.469196568</v>
      </c>
      <c r="BJ142" s="180" t="n">
        <f aca="false">MAX(0,IFERROR(INDEX(TAB_IR,MATCH($C142,TAB_IR_DIAS,1),MATCH($E$8,TAB_IR_REGIMES,0)),0)*IF($E$26=2,BF142,MAX(0,BI142))-BH142)</f>
        <v>29733.8938393135</v>
      </c>
      <c r="BK142" s="181" t="n">
        <f aca="false">MAX(0,BF142-BJ142-BF142*$E$25)</f>
        <v>268935.575357254</v>
      </c>
      <c r="BL142" s="180" t="n">
        <f aca="false">BK142/$D142</f>
        <v>206382.664513535</v>
      </c>
      <c r="BN142" s="180" t="n">
        <f aca="false">BU141</f>
        <v>296140.798331799</v>
      </c>
      <c r="BO142" s="180" t="n">
        <f aca="false">IF($F$9=0,0,IF($A142&gt;IN_PRAZO,0,IF(APORTE_CORRIGIDO="Sim",IN_APORTE*$D142,IN_APORTE))+IF(AND($F$35=1,PGBL_REINVESTE="Sim",$A142&gt;=13,$A142&lt;=IN_PRAZO,MONTH($B142)=5),PGBL_BENEFICIO,0))</f>
        <v>0</v>
      </c>
      <c r="BP142" s="180" t="n">
        <f aca="false">BO142*$F$24</f>
        <v>0</v>
      </c>
      <c r="BQ142" s="180" t="n">
        <f aca="false">BN142*$F$19</f>
        <v>2898.84686268363</v>
      </c>
      <c r="BR142" s="180" t="n">
        <f aca="false">BN142*$F$22</f>
        <v>370.175997914749</v>
      </c>
      <c r="BS142" s="180" t="n">
        <f aca="false">$F$23*MAX(0,BQ142-BN142*$F$18)</f>
        <v>0</v>
      </c>
      <c r="BT142" s="180" t="n">
        <f aca="false">IF(AND($F$27=1,OR(MONTH($B142)=5,MONTH($B142)=11)),MAX(0,$F$28*MAX(0,(BN142+BQ142-BR142-BS142+BO142-BP142)+BW141-BV142)-BW141),0)</f>
        <v>0</v>
      </c>
      <c r="BU142" s="181" t="n">
        <f aca="false">BN142+BQ142-BR142-BS142+BO142-BP142-BT142</f>
        <v>298669.469196568</v>
      </c>
      <c r="BV142" s="180" t="n">
        <f aca="false">BV141+BO142-BP142</f>
        <v>150000</v>
      </c>
      <c r="BW142" s="180" t="n">
        <f aca="false">BW141+BT142</f>
        <v>0</v>
      </c>
      <c r="BX142" s="180" t="n">
        <f aca="false">BU142+BW142-BV142</f>
        <v>148669.469196568</v>
      </c>
      <c r="BY142" s="180" t="n">
        <f aca="false">MAX(0,IFERROR(INDEX(TAB_IR,MATCH($C142,TAB_IR_DIAS,1),MATCH($F$8,TAB_IR_REGIMES,0)),0)*IF($F$26=2,BU142,MAX(0,BX142))-BW142)</f>
        <v>59733.8938393136</v>
      </c>
      <c r="BZ142" s="181" t="n">
        <f aca="false">MAX(0,BU142-BY142-BU142*$F$25)</f>
        <v>238935.575357254</v>
      </c>
      <c r="CA142" s="180" t="n">
        <f aca="false">BZ142/$D142</f>
        <v>183360.496742755</v>
      </c>
      <c r="CC142" s="180" t="n">
        <f aca="false">CJ141</f>
        <v>248092.07018527</v>
      </c>
      <c r="CD142" s="180" t="n">
        <f aca="false">IF($G$9=0,0,IF($A142&gt;IN_PRAZO,0,IF(APORTE_CORRIGIDO="Sim",IN_APORTE*$D142,IN_APORTE))+IF(AND($G$35=1,PGBL_REINVESTE="Sim",$A142&gt;=13,$A142&lt;=IN_PRAZO,MONTH($B142)=5),PGBL_BENEFICIO,0))</f>
        <v>0</v>
      </c>
      <c r="CE142" s="180" t="n">
        <f aca="false">CD142*$G$24</f>
        <v>0</v>
      </c>
      <c r="CF142" s="180" t="n">
        <f aca="false">CC142*$G$19</f>
        <v>2023.74294674211</v>
      </c>
      <c r="CG142" s="180" t="n">
        <f aca="false">CC142*$G$22</f>
        <v>206.743391821058</v>
      </c>
      <c r="CH142" s="180" t="n">
        <f aca="false">$G$23*MAX(0,CF142-CC142*$G$18)</f>
        <v>0</v>
      </c>
      <c r="CI142" s="180" t="n">
        <f aca="false">IF(AND($G$27=1,OR(MONTH($B142)=5,MONTH($B142)=11)),MAX(0,$G$28*MAX(0,(CC142+CF142-CG142-CH142+CD142-CE142)+CL141-CK142)-CL141),0)</f>
        <v>1605.86198697475</v>
      </c>
      <c r="CJ142" s="181" t="n">
        <f aca="false">CC142+CF142-CG142-CH142+CD142-CE142-CI142</f>
        <v>248303.207753216</v>
      </c>
      <c r="CK142" s="180" t="n">
        <f aca="false">CK141+CD142-CE142</f>
        <v>150000</v>
      </c>
      <c r="CL142" s="180" t="n">
        <f aca="false">CL141+CI142</f>
        <v>17347.6248976263</v>
      </c>
      <c r="CM142" s="180" t="n">
        <f aca="false">CJ142+CL142-CK142</f>
        <v>115650.832650842</v>
      </c>
      <c r="CN142" s="180" t="n">
        <f aca="false">MAX(0,IFERROR(INDEX(TAB_IR,MATCH($C142,TAB_IR_DIAS,1),MATCH($G$8,TAB_IR_REGIMES,0)),0)*IF($G$26=2,CJ142,MAX(0,CM142))-CL142)</f>
        <v>0</v>
      </c>
      <c r="CO142" s="181" t="n">
        <f aca="false">MAX(0,CJ142-CN142-CJ142*$G$25)</f>
        <v>248303.207753216</v>
      </c>
      <c r="CP142" s="180" t="n">
        <f aca="false">CO142/$D142</f>
        <v>190549.270230583</v>
      </c>
    </row>
    <row r="143" customFormat="false" ht="12" hidden="false" customHeight="true" outlineLevel="0" collapsed="false">
      <c r="A143" s="177" t="n">
        <v>82</v>
      </c>
      <c r="B143" s="178" t="n">
        <f aca="false">EDATE(DATA_INICIO,$A143)</f>
        <v>48753</v>
      </c>
      <c r="C143" s="177" t="n">
        <f aca="false">$A143*30</f>
        <v>2460</v>
      </c>
      <c r="D143" s="179" t="n">
        <f aca="false">(1+IPCA_CENARIO)^($A143/12)</f>
        <v>1.30735786886526</v>
      </c>
      <c r="F143" s="180" t="n">
        <f aca="false">M142</f>
        <v>318056.713263413</v>
      </c>
      <c r="G143" s="180" t="n">
        <f aca="false">IF($B$9=0,0,IF($A143&gt;IN_PRAZO,0,IF(APORTE_CORRIGIDO="Sim",IN_APORTE*$D143,IN_APORTE))+IF(AND($B$35=1,PGBL_REINVESTE="Sim",$A143&gt;=13,$A143&lt;=IN_PRAZO,MONTH($B143)=5),PGBL_BENEFICIO,0))</f>
        <v>0</v>
      </c>
      <c r="H143" s="180" t="n">
        <f aca="false">G143*$B$24</f>
        <v>0</v>
      </c>
      <c r="I143" s="180" t="n">
        <f aca="false">F143*$B$19</f>
        <v>3017.97429361058</v>
      </c>
      <c r="J143" s="180" t="n">
        <f aca="false">F143*$B$22</f>
        <v>53.0094522105689</v>
      </c>
      <c r="K143" s="180" t="n">
        <f aca="false">$B$23*MAX(0,I143-F143*$B$18)</f>
        <v>0</v>
      </c>
      <c r="L143" s="180" t="n">
        <f aca="false">IF(AND($B$27=1,OR(MONTH($B143)=5,MONTH($B143)=11)),MAX(0,$B$28*MAX(0,(F143+I143-J143-K143+G143-H143)+O142-N143)-O142),0)</f>
        <v>0</v>
      </c>
      <c r="M143" s="181" t="n">
        <f aca="false">F143+I143-J143-K143+G143-H143-L143</f>
        <v>321021.678104813</v>
      </c>
      <c r="N143" s="180" t="n">
        <f aca="false">N142+G143-H143</f>
        <v>150000</v>
      </c>
      <c r="O143" s="180" t="n">
        <f aca="false">O142+L143</f>
        <v>0</v>
      </c>
      <c r="P143" s="180" t="n">
        <f aca="false">M143+O143-N143</f>
        <v>171021.678104813</v>
      </c>
      <c r="Q143" s="180" t="n">
        <f aca="false">MAX(0,IFERROR(INDEX(TAB_IR,MATCH($C143,TAB_IR_DIAS,1),MATCH($B$8,TAB_IR_REGIMES,0)),0)*IF($B$26=2,M143,MAX(0,P143))-O143)</f>
        <v>25653.251715722</v>
      </c>
      <c r="R143" s="181" t="n">
        <f aca="false">MAX(0,M143-Q143-M143*$B$25)</f>
        <v>295368.426389091</v>
      </c>
      <c r="S143" s="180" t="n">
        <f aca="false">R143/$D143</f>
        <v>225927.753542693</v>
      </c>
      <c r="U143" s="180" t="n">
        <f aca="false">AB142</f>
        <v>285801.742456151</v>
      </c>
      <c r="V143" s="180" t="n">
        <f aca="false">IF($C$9=0,0,IF($A143&gt;IN_PRAZO,0,IF(APORTE_CORRIGIDO="Sim",IN_APORTE*$D143,IN_APORTE))+IF(AND($C$35=1,PGBL_REINVESTE="Sim",$A143&gt;=13,$A143&lt;=IN_PRAZO,MONTH($B143)=5),PGBL_BENEFICIO,0))</f>
        <v>0</v>
      </c>
      <c r="W143" s="180" t="n">
        <f aca="false">V143*$C$24</f>
        <v>0</v>
      </c>
      <c r="X143" s="180" t="n">
        <f aca="false">U143*$C$19</f>
        <v>2331.34924477962</v>
      </c>
      <c r="Y143" s="180" t="n">
        <f aca="false">U143*$C$22</f>
        <v>47.6336237426918</v>
      </c>
      <c r="Z143" s="180" t="n">
        <f aca="false">$C$23*MAX(0,X143-U143*$C$18)</f>
        <v>0</v>
      </c>
      <c r="AA143" s="180" t="n">
        <f aca="false">IF(AND($C$27=1,OR(MONTH($B143)=5,MONTH($B143)=11)),MAX(0,$C$28*MAX(0,(U143+X143-Y143-Z143+V143-W143)+AD142-AC143)-AD142),0)</f>
        <v>0</v>
      </c>
      <c r="AB143" s="181" t="n">
        <f aca="false">U143+X143-Y143-Z143+V143-W143-AA143</f>
        <v>288085.458077188</v>
      </c>
      <c r="AC143" s="180" t="n">
        <f aca="false">AC142+V143-W143</f>
        <v>150000</v>
      </c>
      <c r="AD143" s="180" t="n">
        <f aca="false">AD142+AA143</f>
        <v>0</v>
      </c>
      <c r="AE143" s="180" t="n">
        <f aca="false">AB143+AD143-AC143</f>
        <v>138085.458077188</v>
      </c>
      <c r="AF143" s="180" t="n">
        <f aca="false">MAX(0,IFERROR(INDEX(TAB_IR,MATCH($C143,TAB_IR_DIAS,1),MATCH($C$8,TAB_IR_REGIMES,0)),0)*IF($C$26=2,AB143,MAX(0,AE143))-AD143)</f>
        <v>20712.8187115782</v>
      </c>
      <c r="AG143" s="181" t="n">
        <f aca="false">MAX(0,AB143-AF143-AB143*$C$25)</f>
        <v>267372.63936561</v>
      </c>
      <c r="AH143" s="180" t="n">
        <f aca="false">AG143/$D143</f>
        <v>204513.733946222</v>
      </c>
      <c r="AJ143" s="180" t="n">
        <f aca="false">AQ142</f>
        <v>262917.018407125</v>
      </c>
      <c r="AK143" s="180" t="n">
        <f aca="false">IF($D$9=0,0,IF($A143&gt;IN_PRAZO,0,IF(APORTE_CORRIGIDO="Sim",IN_APORTE*$D143,IN_APORTE))+IF(AND($D$35=1,PGBL_REINVESTE="Sim",$A143&gt;=13,$A143&lt;=IN_PRAZO,MONTH($B143)=5),PGBL_BENEFICIO,0))</f>
        <v>0</v>
      </c>
      <c r="AL143" s="180" t="n">
        <f aca="false">AK143*$D$24</f>
        <v>0</v>
      </c>
      <c r="AM143" s="180" t="n">
        <f aca="false">AJ143*$D$19</f>
        <v>2363.28142763157</v>
      </c>
      <c r="AN143" s="180" t="n">
        <f aca="false">AJ143*$D$22</f>
        <v>219.09751533927</v>
      </c>
      <c r="AO143" s="180" t="n">
        <f aca="false">$D$23*MAX(0,AM143-AJ143*$D$18)</f>
        <v>0</v>
      </c>
      <c r="AP143" s="180" t="n">
        <f aca="false">IF(AND($D$27=1,OR(MONTH($B143)=5,MONTH($B143)=11)),MAX(0,$D$28*MAX(0,(AJ143+AM143-AN143-AO143+AK143-AL143)+AS142-AR143)-AS142),0)</f>
        <v>0</v>
      </c>
      <c r="AQ143" s="181" t="n">
        <f aca="false">AJ143+AM143-AN143-AO143+AK143-AL143-AP143</f>
        <v>265061.202319417</v>
      </c>
      <c r="AR143" s="180" t="n">
        <f aca="false">AR142+AK143-AL143</f>
        <v>150000</v>
      </c>
      <c r="AS143" s="180" t="n">
        <f aca="false">AS142+AP143</f>
        <v>19926.5326600808</v>
      </c>
      <c r="AT143" s="180" t="n">
        <f aca="false">AQ143+AS143-AR143</f>
        <v>134987.734979498</v>
      </c>
      <c r="AU143" s="180" t="n">
        <f aca="false">MAX(0,IFERROR(INDEX(TAB_IR,MATCH($C143,TAB_IR_DIAS,1),MATCH($D$8,TAB_IR_REGIMES,0)),0)*IF($D$26=2,AQ143,MAX(0,AT143))-AS143)</f>
        <v>321.627586843846</v>
      </c>
      <c r="AV143" s="181" t="n">
        <f aca="false">MAX(0,AQ143-AU143-AQ143*$D$25)</f>
        <v>264739.574732573</v>
      </c>
      <c r="AW143" s="180" t="n">
        <f aca="false">AV143/$D143</f>
        <v>202499.698848608</v>
      </c>
      <c r="AY143" s="180" t="n">
        <f aca="false">BF142</f>
        <v>298669.469196568</v>
      </c>
      <c r="AZ143" s="180" t="n">
        <f aca="false">IF($E$9=0,0,IF($A143&gt;IN_PRAZO,0,IF(APORTE_CORRIGIDO="Sim",IN_APORTE*$D143,IN_APORTE))+IF(AND($E$35=1,PGBL_REINVESTE="Sim",$A143&gt;=13,$A143&lt;=IN_PRAZO,MONTH($B143)=5),PGBL_BENEFICIO,0))</f>
        <v>0</v>
      </c>
      <c r="BA143" s="180" t="n">
        <f aca="false">AZ143*$E$24</f>
        <v>0</v>
      </c>
      <c r="BB143" s="180" t="n">
        <f aca="false">AY143*$E$19</f>
        <v>2923.5993778534</v>
      </c>
      <c r="BC143" s="180" t="n">
        <f aca="false">AY143*$E$22</f>
        <v>373.33683649571</v>
      </c>
      <c r="BD143" s="180" t="n">
        <f aca="false">$E$23*MAX(0,BB143-AY143*$E$18)</f>
        <v>0</v>
      </c>
      <c r="BE143" s="180" t="n">
        <f aca="false">IF(AND($E$27=1,OR(MONTH($B143)=5,MONTH($B143)=11)),MAX(0,$E$28*MAX(0,(AY143+BB143-BC143-BD143+AZ143-BA143)+BH142-BG143)-BH142),0)</f>
        <v>0</v>
      </c>
      <c r="BF143" s="181" t="n">
        <f aca="false">AY143+BB143-BC143-BD143+AZ143-BA143-BE143</f>
        <v>301219.731737925</v>
      </c>
      <c r="BG143" s="180" t="n">
        <f aca="false">BG142+AZ143-BA143</f>
        <v>150000</v>
      </c>
      <c r="BH143" s="180" t="n">
        <f aca="false">BH142+BE143</f>
        <v>0</v>
      </c>
      <c r="BI143" s="180" t="n">
        <f aca="false">BF143+BH143-BG143</f>
        <v>151219.731737925</v>
      </c>
      <c r="BJ143" s="180" t="n">
        <f aca="false">MAX(0,IFERROR(INDEX(TAB_IR,MATCH($C143,TAB_IR_DIAS,1),MATCH($E$8,TAB_IR_REGIMES,0)),0)*IF($E$26=2,BF143,MAX(0,BI143))-BH143)</f>
        <v>30243.9463475851</v>
      </c>
      <c r="BK143" s="181" t="n">
        <f aca="false">MAX(0,BF143-BJ143-BF143*$E$25)</f>
        <v>270975.78539034</v>
      </c>
      <c r="BL143" s="180" t="n">
        <f aca="false">BK143/$D143</f>
        <v>207269.785759225</v>
      </c>
      <c r="BN143" s="180" t="n">
        <f aca="false">BU142</f>
        <v>298669.469196568</v>
      </c>
      <c r="BO143" s="180" t="n">
        <f aca="false">IF($F$9=0,0,IF($A143&gt;IN_PRAZO,0,IF(APORTE_CORRIGIDO="Sim",IN_APORTE*$D143,IN_APORTE))+IF(AND($F$35=1,PGBL_REINVESTE="Sim",$A143&gt;=13,$A143&lt;=IN_PRAZO,MONTH($B143)=5),PGBL_BENEFICIO,0))</f>
        <v>0</v>
      </c>
      <c r="BP143" s="180" t="n">
        <f aca="false">BO143*$F$24</f>
        <v>0</v>
      </c>
      <c r="BQ143" s="180" t="n">
        <f aca="false">BN143*$F$19</f>
        <v>2923.5993778534</v>
      </c>
      <c r="BR143" s="180" t="n">
        <f aca="false">BN143*$F$22</f>
        <v>373.33683649571</v>
      </c>
      <c r="BS143" s="180" t="n">
        <f aca="false">$F$23*MAX(0,BQ143-BN143*$F$18)</f>
        <v>0</v>
      </c>
      <c r="BT143" s="180" t="n">
        <f aca="false">IF(AND($F$27=1,OR(MONTH($B143)=5,MONTH($B143)=11)),MAX(0,$F$28*MAX(0,(BN143+BQ143-BR143-BS143+BO143-BP143)+BW142-BV143)-BW142),0)</f>
        <v>0</v>
      </c>
      <c r="BU143" s="181" t="n">
        <f aca="false">BN143+BQ143-BR143-BS143+BO143-BP143-BT143</f>
        <v>301219.731737925</v>
      </c>
      <c r="BV143" s="180" t="n">
        <f aca="false">BV142+BO143-BP143</f>
        <v>150000</v>
      </c>
      <c r="BW143" s="180" t="n">
        <f aca="false">BW142+BT143</f>
        <v>0</v>
      </c>
      <c r="BX143" s="180" t="n">
        <f aca="false">BU143+BW143-BV143</f>
        <v>151219.731737925</v>
      </c>
      <c r="BY143" s="180" t="n">
        <f aca="false">MAX(0,IFERROR(INDEX(TAB_IR,MATCH($C143,TAB_IR_DIAS,1),MATCH($F$8,TAB_IR_REGIMES,0)),0)*IF($F$26=2,BU143,MAX(0,BX143))-BW143)</f>
        <v>60243.9463475851</v>
      </c>
      <c r="BZ143" s="181" t="n">
        <f aca="false">MAX(0,BU143-BY143-BU143*$F$25)</f>
        <v>240975.78539034</v>
      </c>
      <c r="CA143" s="180" t="n">
        <f aca="false">BZ143/$D143</f>
        <v>184322.740642926</v>
      </c>
      <c r="CC143" s="180" t="n">
        <f aca="false">CJ142</f>
        <v>248303.207753216</v>
      </c>
      <c r="CD143" s="180" t="n">
        <f aca="false">IF($G$9=0,0,IF($A143&gt;IN_PRAZO,0,IF(APORTE_CORRIGIDO="Sim",IN_APORTE*$D143,IN_APORTE))+IF(AND($G$35=1,PGBL_REINVESTE="Sim",$A143&gt;=13,$A143&lt;=IN_PRAZO,MONTH($B143)=5),PGBL_BENEFICIO,0))</f>
        <v>0</v>
      </c>
      <c r="CE143" s="180" t="n">
        <f aca="false">CD143*$G$24</f>
        <v>0</v>
      </c>
      <c r="CF143" s="180" t="n">
        <f aca="false">CC143*$G$19</f>
        <v>2025.46524348301</v>
      </c>
      <c r="CG143" s="180" t="n">
        <f aca="false">CC143*$G$22</f>
        <v>206.919339794347</v>
      </c>
      <c r="CH143" s="180" t="n">
        <f aca="false">$G$23*MAX(0,CF143-CC143*$G$18)</f>
        <v>0</v>
      </c>
      <c r="CI143" s="180" t="n">
        <f aca="false">IF(AND($G$27=1,OR(MONTH($B143)=5,MONTH($B143)=11)),MAX(0,$G$28*MAX(0,(CC143+CF143-CG143-CH143+CD143-CE143)+CL142-CK143)-CL142),0)</f>
        <v>0</v>
      </c>
      <c r="CJ143" s="181" t="n">
        <f aca="false">CC143+CF143-CG143-CH143+CD143-CE143-CI143</f>
        <v>250121.753656905</v>
      </c>
      <c r="CK143" s="180" t="n">
        <f aca="false">CK142+CD143-CE143</f>
        <v>150000</v>
      </c>
      <c r="CL143" s="180" t="n">
        <f aca="false">CL142+CI143</f>
        <v>17347.6248976263</v>
      </c>
      <c r="CM143" s="180" t="n">
        <f aca="false">CJ143+CL143-CK143</f>
        <v>117469.378554531</v>
      </c>
      <c r="CN143" s="180" t="n">
        <f aca="false">MAX(0,IFERROR(INDEX(TAB_IR,MATCH($C143,TAB_IR_DIAS,1),MATCH($G$8,TAB_IR_REGIMES,0)),0)*IF($G$26=2,CJ143,MAX(0,CM143))-CL143)</f>
        <v>272.781885553297</v>
      </c>
      <c r="CO143" s="181" t="n">
        <f aca="false">MAX(0,CJ143-CN143-CJ143*$G$25)</f>
        <v>249848.971771351</v>
      </c>
      <c r="CP143" s="180" t="n">
        <f aca="false">CO143/$D143</f>
        <v>191109.854249939</v>
      </c>
    </row>
    <row r="144" customFormat="false" ht="12" hidden="false" customHeight="true" outlineLevel="0" collapsed="false">
      <c r="A144" s="177" t="n">
        <v>83</v>
      </c>
      <c r="B144" s="178" t="n">
        <f aca="false">EDATE(DATA_INICIO,$A144)</f>
        <v>48783</v>
      </c>
      <c r="C144" s="177" t="n">
        <f aca="false">$A144*30</f>
        <v>2490</v>
      </c>
      <c r="D144" s="179" t="n">
        <f aca="false">(1+IPCA_CENARIO)^($A144/12)</f>
        <v>1.31163781833014</v>
      </c>
      <c r="F144" s="180" t="n">
        <f aca="false">M143</f>
        <v>321021.678104813</v>
      </c>
      <c r="G144" s="180" t="n">
        <f aca="false">IF($B$9=0,0,IF($A144&gt;IN_PRAZO,0,IF(APORTE_CORRIGIDO="Sim",IN_APORTE*$D144,IN_APORTE))+IF(AND($B$35=1,PGBL_REINVESTE="Sim",$A144&gt;=13,$A144&lt;=IN_PRAZO,MONTH($B144)=5),PGBL_BENEFICIO,0))</f>
        <v>0</v>
      </c>
      <c r="H144" s="180" t="n">
        <f aca="false">G144*$B$24</f>
        <v>0</v>
      </c>
      <c r="I144" s="180" t="n">
        <f aca="false">F144*$B$19</f>
        <v>3046.10823104895</v>
      </c>
      <c r="J144" s="180" t="n">
        <f aca="false">F144*$B$22</f>
        <v>53.5036130174689</v>
      </c>
      <c r="K144" s="180" t="n">
        <f aca="false">$B$23*MAX(0,I144-F144*$B$18)</f>
        <v>0</v>
      </c>
      <c r="L144" s="180" t="n">
        <f aca="false">IF(AND($B$27=1,OR(MONTH($B144)=5,MONTH($B144)=11)),MAX(0,$B$28*MAX(0,(F144+I144-J144-K144+G144-H144)+O143-N144)-O143),0)</f>
        <v>0</v>
      </c>
      <c r="M144" s="181" t="n">
        <f aca="false">F144+I144-J144-K144+G144-H144-L144</f>
        <v>324014.282722845</v>
      </c>
      <c r="N144" s="180" t="n">
        <f aca="false">N143+G144-H144</f>
        <v>150000</v>
      </c>
      <c r="O144" s="180" t="n">
        <f aca="false">O143+L144</f>
        <v>0</v>
      </c>
      <c r="P144" s="180" t="n">
        <f aca="false">M144+O144-N144</f>
        <v>174014.282722845</v>
      </c>
      <c r="Q144" s="180" t="n">
        <f aca="false">MAX(0,IFERROR(INDEX(TAB_IR,MATCH($C144,TAB_IR_DIAS,1),MATCH($B$8,TAB_IR_REGIMES,0)),0)*IF($B$26=2,M144,MAX(0,P144))-O144)</f>
        <v>26102.1424084267</v>
      </c>
      <c r="R144" s="181" t="n">
        <f aca="false">MAX(0,M144-Q144-M144*$B$25)</f>
        <v>297912.140314418</v>
      </c>
      <c r="S144" s="180" t="n">
        <f aca="false">R144/$D144</f>
        <v>227129.880025642</v>
      </c>
      <c r="U144" s="180" t="n">
        <f aca="false">AB143</f>
        <v>288085.458077188</v>
      </c>
      <c r="V144" s="180" t="n">
        <f aca="false">IF($C$9=0,0,IF($A144&gt;IN_PRAZO,0,IF(APORTE_CORRIGIDO="Sim",IN_APORTE*$D144,IN_APORTE))+IF(AND($C$35=1,PGBL_REINVESTE="Sim",$A144&gt;=13,$A144&lt;=IN_PRAZO,MONTH($B144)=5),PGBL_BENEFICIO,0))</f>
        <v>0</v>
      </c>
      <c r="W144" s="180" t="n">
        <f aca="false">V144*$C$24</f>
        <v>0</v>
      </c>
      <c r="X144" s="180" t="n">
        <f aca="false">U144*$C$19</f>
        <v>2349.97802794462</v>
      </c>
      <c r="Y144" s="180" t="n">
        <f aca="false">U144*$C$22</f>
        <v>48.0142430128646</v>
      </c>
      <c r="Z144" s="180" t="n">
        <f aca="false">$C$23*MAX(0,X144-U144*$C$18)</f>
        <v>0</v>
      </c>
      <c r="AA144" s="180" t="n">
        <f aca="false">IF(AND($C$27=1,OR(MONTH($B144)=5,MONTH($B144)=11)),MAX(0,$C$28*MAX(0,(U144+X144-Y144-Z144+V144-W144)+AD143-AC144)-AD143),0)</f>
        <v>0</v>
      </c>
      <c r="AB144" s="181" t="n">
        <f aca="false">U144+X144-Y144-Z144+V144-W144-AA144</f>
        <v>290387.42186212</v>
      </c>
      <c r="AC144" s="180" t="n">
        <f aca="false">AC143+V144-W144</f>
        <v>150000</v>
      </c>
      <c r="AD144" s="180" t="n">
        <f aca="false">AD143+AA144</f>
        <v>0</v>
      </c>
      <c r="AE144" s="180" t="n">
        <f aca="false">AB144+AD144-AC144</f>
        <v>140387.42186212</v>
      </c>
      <c r="AF144" s="180" t="n">
        <f aca="false">MAX(0,IFERROR(INDEX(TAB_IR,MATCH($C144,TAB_IR_DIAS,1),MATCH($C$8,TAB_IR_REGIMES,0)),0)*IF($C$26=2,AB144,MAX(0,AE144))-AD144)</f>
        <v>21058.1132793179</v>
      </c>
      <c r="AG144" s="181" t="n">
        <f aca="false">MAX(0,AB144-AF144-AB144*$C$25)</f>
        <v>269329.308582802</v>
      </c>
      <c r="AH144" s="180" t="n">
        <f aca="false">AG144/$D144</f>
        <v>205338.169438945</v>
      </c>
      <c r="AJ144" s="180" t="n">
        <f aca="false">AQ143</f>
        <v>265061.202319417</v>
      </c>
      <c r="AK144" s="180" t="n">
        <f aca="false">IF($D$9=0,0,IF($A144&gt;IN_PRAZO,0,IF(APORTE_CORRIGIDO="Sim",IN_APORTE*$D144,IN_APORTE))+IF(AND($D$35=1,PGBL_REINVESTE="Sim",$A144&gt;=13,$A144&lt;=IN_PRAZO,MONTH($B144)=5),PGBL_BENEFICIO,0))</f>
        <v>0</v>
      </c>
      <c r="AL144" s="180" t="n">
        <f aca="false">AK144*$D$24</f>
        <v>0</v>
      </c>
      <c r="AM144" s="180" t="n">
        <f aca="false">AJ144*$D$19</f>
        <v>2382.55484723768</v>
      </c>
      <c r="AN144" s="180" t="n">
        <f aca="false">AJ144*$D$22</f>
        <v>220.884335266181</v>
      </c>
      <c r="AO144" s="180" t="n">
        <f aca="false">$D$23*MAX(0,AM144-AJ144*$D$18)</f>
        <v>0</v>
      </c>
      <c r="AP144" s="180" t="n">
        <f aca="false">IF(AND($D$27=1,OR(MONTH($B144)=5,MONTH($B144)=11)),MAX(0,$D$28*MAX(0,(AJ144+AM144-AN144-AO144+AK144-AL144)+AS143-AR144)-AS143),0)</f>
        <v>0</v>
      </c>
      <c r="AQ144" s="181" t="n">
        <f aca="false">AJ144+AM144-AN144-AO144+AK144-AL144-AP144</f>
        <v>267222.872831388</v>
      </c>
      <c r="AR144" s="180" t="n">
        <f aca="false">AR143+AK144-AL144</f>
        <v>150000</v>
      </c>
      <c r="AS144" s="180" t="n">
        <f aca="false">AS143+AP144</f>
        <v>19926.5326600808</v>
      </c>
      <c r="AT144" s="180" t="n">
        <f aca="false">AQ144+AS144-AR144</f>
        <v>137149.405491469</v>
      </c>
      <c r="AU144" s="180" t="n">
        <f aca="false">MAX(0,IFERROR(INDEX(TAB_IR,MATCH($C144,TAB_IR_DIAS,1),MATCH($D$8,TAB_IR_REGIMES,0)),0)*IF($D$26=2,AQ144,MAX(0,AT144))-AS144)</f>
        <v>645.878163639565</v>
      </c>
      <c r="AV144" s="181" t="n">
        <f aca="false">MAX(0,AQ144-AU144-AQ144*$D$25)</f>
        <v>266576.994667749</v>
      </c>
      <c r="AW144" s="180" t="n">
        <f aca="false">AV144/$D144</f>
        <v>203239.789934642</v>
      </c>
      <c r="AY144" s="180" t="n">
        <f aca="false">BF143</f>
        <v>301219.731737925</v>
      </c>
      <c r="AZ144" s="180" t="n">
        <f aca="false">IF($E$9=0,0,IF($A144&gt;IN_PRAZO,0,IF(APORTE_CORRIGIDO="Sim",IN_APORTE*$D144,IN_APORTE))+IF(AND($E$35=1,PGBL_REINVESTE="Sim",$A144&gt;=13,$A144&lt;=IN_PRAZO,MONTH($B144)=5),PGBL_BENEFICIO,0))</f>
        <v>0</v>
      </c>
      <c r="BA144" s="180" t="n">
        <f aca="false">AZ144*$E$24</f>
        <v>0</v>
      </c>
      <c r="BB144" s="180" t="n">
        <f aca="false">AY144*$E$19</f>
        <v>2948.56324844698</v>
      </c>
      <c r="BC144" s="180" t="n">
        <f aca="false">AY144*$E$22</f>
        <v>376.524664672407</v>
      </c>
      <c r="BD144" s="180" t="n">
        <f aca="false">$E$23*MAX(0,BB144-AY144*$E$18)</f>
        <v>0</v>
      </c>
      <c r="BE144" s="180" t="n">
        <f aca="false">IF(AND($E$27=1,OR(MONTH($B144)=5,MONTH($B144)=11)),MAX(0,$E$28*MAX(0,(AY144+BB144-BC144-BD144+AZ144-BA144)+BH143-BG144)-BH143),0)</f>
        <v>0</v>
      </c>
      <c r="BF144" s="181" t="n">
        <f aca="false">AY144+BB144-BC144-BD144+AZ144-BA144-BE144</f>
        <v>303791.7703217</v>
      </c>
      <c r="BG144" s="180" t="n">
        <f aca="false">BG143+AZ144-BA144</f>
        <v>150000</v>
      </c>
      <c r="BH144" s="180" t="n">
        <f aca="false">BH143+BE144</f>
        <v>0</v>
      </c>
      <c r="BI144" s="180" t="n">
        <f aca="false">BF144+BH144-BG144</f>
        <v>153791.7703217</v>
      </c>
      <c r="BJ144" s="180" t="n">
        <f aca="false">MAX(0,IFERROR(INDEX(TAB_IR,MATCH($C144,TAB_IR_DIAS,1),MATCH($E$8,TAB_IR_REGIMES,0)),0)*IF($E$26=2,BF144,MAX(0,BI144))-BH144)</f>
        <v>30758.35406434</v>
      </c>
      <c r="BK144" s="181" t="n">
        <f aca="false">MAX(0,BF144-BJ144-BF144*$E$25)</f>
        <v>273033.41625736</v>
      </c>
      <c r="BL144" s="180" t="n">
        <f aca="false">BK144/$D144</f>
        <v>208162.201822575</v>
      </c>
      <c r="BN144" s="180" t="n">
        <f aca="false">BU143</f>
        <v>301219.731737925</v>
      </c>
      <c r="BO144" s="180" t="n">
        <f aca="false">IF($F$9=0,0,IF($A144&gt;IN_PRAZO,0,IF(APORTE_CORRIGIDO="Sim",IN_APORTE*$D144,IN_APORTE))+IF(AND($F$35=1,PGBL_REINVESTE="Sim",$A144&gt;=13,$A144&lt;=IN_PRAZO,MONTH($B144)=5),PGBL_BENEFICIO,0))</f>
        <v>0</v>
      </c>
      <c r="BP144" s="180" t="n">
        <f aca="false">BO144*$F$24</f>
        <v>0</v>
      </c>
      <c r="BQ144" s="180" t="n">
        <f aca="false">BN144*$F$19</f>
        <v>2948.56324844698</v>
      </c>
      <c r="BR144" s="180" t="n">
        <f aca="false">BN144*$F$22</f>
        <v>376.524664672407</v>
      </c>
      <c r="BS144" s="180" t="n">
        <f aca="false">$F$23*MAX(0,BQ144-BN144*$F$18)</f>
        <v>0</v>
      </c>
      <c r="BT144" s="180" t="n">
        <f aca="false">IF(AND($F$27=1,OR(MONTH($B144)=5,MONTH($B144)=11)),MAX(0,$F$28*MAX(0,(BN144+BQ144-BR144-BS144+BO144-BP144)+BW143-BV144)-BW143),0)</f>
        <v>0</v>
      </c>
      <c r="BU144" s="181" t="n">
        <f aca="false">BN144+BQ144-BR144-BS144+BO144-BP144-BT144</f>
        <v>303791.7703217</v>
      </c>
      <c r="BV144" s="180" t="n">
        <f aca="false">BV143+BO144-BP144</f>
        <v>150000</v>
      </c>
      <c r="BW144" s="180" t="n">
        <f aca="false">BW143+BT144</f>
        <v>0</v>
      </c>
      <c r="BX144" s="180" t="n">
        <f aca="false">BU144+BW144-BV144</f>
        <v>153791.7703217</v>
      </c>
      <c r="BY144" s="180" t="n">
        <f aca="false">MAX(0,IFERROR(INDEX(TAB_IR,MATCH($C144,TAB_IR_DIAS,1),MATCH($F$8,TAB_IR_REGIMES,0)),0)*IF($F$26=2,BU144,MAX(0,BX144))-BW144)</f>
        <v>60758.35406434</v>
      </c>
      <c r="BZ144" s="181" t="n">
        <f aca="false">MAX(0,BU144-BY144-BU144*$F$25)</f>
        <v>243033.41625736</v>
      </c>
      <c r="CA144" s="180" t="n">
        <f aca="false">BZ144/$D144</f>
        <v>185290.034231225</v>
      </c>
      <c r="CC144" s="180" t="n">
        <f aca="false">CJ143</f>
        <v>250121.753656905</v>
      </c>
      <c r="CD144" s="180" t="n">
        <f aca="false">IF($G$9=0,0,IF($A144&gt;IN_PRAZO,0,IF(APORTE_CORRIGIDO="Sim",IN_APORTE*$D144,IN_APORTE))+IF(AND($G$35=1,PGBL_REINVESTE="Sim",$A144&gt;=13,$A144&lt;=IN_PRAZO,MONTH($B144)=5),PGBL_BENEFICIO,0))</f>
        <v>0</v>
      </c>
      <c r="CE144" s="180" t="n">
        <f aca="false">CD144*$G$24</f>
        <v>0</v>
      </c>
      <c r="CF144" s="180" t="n">
        <f aca="false">CC144*$G$19</f>
        <v>2040.29953239506</v>
      </c>
      <c r="CG144" s="180" t="n">
        <f aca="false">CC144*$G$22</f>
        <v>208.434794714087</v>
      </c>
      <c r="CH144" s="180" t="n">
        <f aca="false">$G$23*MAX(0,CF144-CC144*$G$18)</f>
        <v>0</v>
      </c>
      <c r="CI144" s="180" t="n">
        <f aca="false">IF(AND($G$27=1,OR(MONTH($B144)=5,MONTH($B144)=11)),MAX(0,$G$28*MAX(0,(CC144+CF144-CG144-CH144+CD144-CE144)+CL143-CK144)-CL143),0)</f>
        <v>0</v>
      </c>
      <c r="CJ144" s="181" t="n">
        <f aca="false">CC144+CF144-CG144-CH144+CD144-CE144-CI144</f>
        <v>251953.618394586</v>
      </c>
      <c r="CK144" s="180" t="n">
        <f aca="false">CK143+CD144-CE144</f>
        <v>150000</v>
      </c>
      <c r="CL144" s="180" t="n">
        <f aca="false">CL143+CI144</f>
        <v>17347.6248976263</v>
      </c>
      <c r="CM144" s="180" t="n">
        <f aca="false">CJ144+CL144-CK144</f>
        <v>119301.243292212</v>
      </c>
      <c r="CN144" s="180" t="n">
        <f aca="false">MAX(0,IFERROR(INDEX(TAB_IR,MATCH($C144,TAB_IR_DIAS,1),MATCH($G$8,TAB_IR_REGIMES,0)),0)*IF($G$26=2,CJ144,MAX(0,CM144))-CL144)</f>
        <v>547.561596205447</v>
      </c>
      <c r="CO144" s="181" t="n">
        <f aca="false">MAX(0,CJ144-CN144-CJ144*$G$25)</f>
        <v>251406.05679838</v>
      </c>
      <c r="CP144" s="180" t="n">
        <f aca="false">CO144/$D144</f>
        <v>191673.382152436</v>
      </c>
    </row>
    <row r="145" customFormat="false" ht="12" hidden="false" customHeight="true" outlineLevel="0" collapsed="false">
      <c r="A145" s="177" t="n">
        <v>84</v>
      </c>
      <c r="B145" s="178" t="n">
        <f aca="false">EDATE(DATA_INICIO,$A145)</f>
        <v>48814</v>
      </c>
      <c r="C145" s="177" t="n">
        <f aca="false">$A145*30</f>
        <v>2520</v>
      </c>
      <c r="D145" s="179" t="n">
        <f aca="false">(1+IPCA_CENARIO)^($A145/12)</f>
        <v>1.31593177923584</v>
      </c>
      <c r="F145" s="180" t="n">
        <f aca="false">M144</f>
        <v>324014.282722845</v>
      </c>
      <c r="G145" s="180" t="n">
        <f aca="false">IF($B$9=0,0,IF($A145&gt;IN_PRAZO,0,IF(APORTE_CORRIGIDO="Sim",IN_APORTE*$D145,IN_APORTE))+IF(AND($B$35=1,PGBL_REINVESTE="Sim",$A145&gt;=13,$A145&lt;=IN_PRAZO,MONTH($B145)=5),PGBL_BENEFICIO,0))</f>
        <v>0</v>
      </c>
      <c r="H145" s="180" t="n">
        <f aca="false">G145*$B$24</f>
        <v>0</v>
      </c>
      <c r="I145" s="180" t="n">
        <f aca="false">F145*$B$19</f>
        <v>3074.50443660452</v>
      </c>
      <c r="J145" s="180" t="n">
        <f aca="false">F145*$B$22</f>
        <v>54.0023804538075</v>
      </c>
      <c r="K145" s="180" t="n">
        <f aca="false">$B$23*MAX(0,I145-F145*$B$18)</f>
        <v>0</v>
      </c>
      <c r="L145" s="180" t="n">
        <f aca="false">IF(AND($B$27=1,OR(MONTH($B145)=5,MONTH($B145)=11)),MAX(0,$B$28*MAX(0,(F145+I145-J145-K145+G145-H145)+O144-N145)-O144),0)</f>
        <v>0</v>
      </c>
      <c r="M145" s="181" t="n">
        <f aca="false">F145+I145-J145-K145+G145-H145-L145</f>
        <v>327034.784778996</v>
      </c>
      <c r="N145" s="180" t="n">
        <f aca="false">N144+G145-H145</f>
        <v>150000</v>
      </c>
      <c r="O145" s="180" t="n">
        <f aca="false">O144+L145</f>
        <v>0</v>
      </c>
      <c r="P145" s="180" t="n">
        <f aca="false">M145+O145-N145</f>
        <v>177034.784778996</v>
      </c>
      <c r="Q145" s="180" t="n">
        <f aca="false">MAX(0,IFERROR(INDEX(TAB_IR,MATCH($C145,TAB_IR_DIAS,1),MATCH($B$8,TAB_IR_REGIMES,0)),0)*IF($B$26=2,M145,MAX(0,P145))-O145)</f>
        <v>26555.2177168493</v>
      </c>
      <c r="R145" s="181" t="n">
        <f aca="false">MAX(0,M145-Q145-M145*$B$25)</f>
        <v>300479.567062146</v>
      </c>
      <c r="S145" s="180" t="n">
        <f aca="false">R145/$D145</f>
        <v>228339.775513769</v>
      </c>
      <c r="U145" s="180" t="n">
        <f aca="false">AB144</f>
        <v>290387.42186212</v>
      </c>
      <c r="V145" s="180" t="n">
        <f aca="false">IF($C$9=0,0,IF($A145&gt;IN_PRAZO,0,IF(APORTE_CORRIGIDO="Sim",IN_APORTE*$D145,IN_APORTE))+IF(AND($C$35=1,PGBL_REINVESTE="Sim",$A145&gt;=13,$A145&lt;=IN_PRAZO,MONTH($B145)=5),PGBL_BENEFICIO,0))</f>
        <v>0</v>
      </c>
      <c r="W145" s="180" t="n">
        <f aca="false">V145*$C$24</f>
        <v>0</v>
      </c>
      <c r="X145" s="180" t="n">
        <f aca="false">U145*$C$19</f>
        <v>2368.75566549641</v>
      </c>
      <c r="Y145" s="180" t="n">
        <f aca="false">U145*$C$22</f>
        <v>48.3979036436866</v>
      </c>
      <c r="Z145" s="180" t="n">
        <f aca="false">$C$23*MAX(0,X145-U145*$C$18)</f>
        <v>0</v>
      </c>
      <c r="AA145" s="180" t="n">
        <f aca="false">IF(AND($C$27=1,OR(MONTH($B145)=5,MONTH($B145)=11)),MAX(0,$C$28*MAX(0,(U145+X145-Y145-Z145+V145-W145)+AD144-AC145)-AD144),0)</f>
        <v>0</v>
      </c>
      <c r="AB145" s="181" t="n">
        <f aca="false">U145+X145-Y145-Z145+V145-W145-AA145</f>
        <v>292707.779623972</v>
      </c>
      <c r="AC145" s="180" t="n">
        <f aca="false">AC144+V145-W145</f>
        <v>150000</v>
      </c>
      <c r="AD145" s="180" t="n">
        <f aca="false">AD144+AA145</f>
        <v>0</v>
      </c>
      <c r="AE145" s="180" t="n">
        <f aca="false">AB145+AD145-AC145</f>
        <v>142707.779623972</v>
      </c>
      <c r="AF145" s="180" t="n">
        <f aca="false">MAX(0,IFERROR(INDEX(TAB_IR,MATCH($C145,TAB_IR_DIAS,1),MATCH($C$8,TAB_IR_REGIMES,0)),0)*IF($C$26=2,AB145,MAX(0,AE145))-AD145)</f>
        <v>21406.1669435958</v>
      </c>
      <c r="AG145" s="181" t="n">
        <f aca="false">MAX(0,AB145-AF145-AB145*$C$25)</f>
        <v>271301.612680376</v>
      </c>
      <c r="AH145" s="180" t="n">
        <f aca="false">AG145/$D145</f>
        <v>206166.928226265</v>
      </c>
      <c r="AJ145" s="180" t="n">
        <f aca="false">AQ144</f>
        <v>267222.872831388</v>
      </c>
      <c r="AK145" s="180" t="n">
        <f aca="false">IF($D$9=0,0,IF($A145&gt;IN_PRAZO,0,IF(APORTE_CORRIGIDO="Sim",IN_APORTE*$D145,IN_APORTE))+IF(AND($D$35=1,PGBL_REINVESTE="Sim",$A145&gt;=13,$A145&lt;=IN_PRAZO,MONTH($B145)=5),PGBL_BENEFICIO,0))</f>
        <v>0</v>
      </c>
      <c r="AL145" s="180" t="n">
        <f aca="false">AK145*$D$24</f>
        <v>0</v>
      </c>
      <c r="AM145" s="180" t="n">
        <f aca="false">AJ145*$D$19</f>
        <v>2401.98544859073</v>
      </c>
      <c r="AN145" s="180" t="n">
        <f aca="false">AJ145*$D$22</f>
        <v>222.68572735949</v>
      </c>
      <c r="AO145" s="180" t="n">
        <f aca="false">$D$23*MAX(0,AM145-AJ145*$D$18)</f>
        <v>0</v>
      </c>
      <c r="AP145" s="180" t="n">
        <f aca="false">IF(AND($D$27=1,OR(MONTH($B145)=5,MONTH($B145)=11)),MAX(0,$D$28*MAX(0,(AJ145+AM145-AN145-AO145+AK145-AL145)+AS144-AR145)-AS144),0)</f>
        <v>0</v>
      </c>
      <c r="AQ145" s="181" t="n">
        <f aca="false">AJ145+AM145-AN145-AO145+AK145-AL145-AP145</f>
        <v>269402.17255262</v>
      </c>
      <c r="AR145" s="180" t="n">
        <f aca="false">AR144+AK145-AL145</f>
        <v>150000</v>
      </c>
      <c r="AS145" s="180" t="n">
        <f aca="false">AS144+AP145</f>
        <v>19926.5326600808</v>
      </c>
      <c r="AT145" s="180" t="n">
        <f aca="false">AQ145+AS145-AR145</f>
        <v>139328.7052127</v>
      </c>
      <c r="AU145" s="180" t="n">
        <f aca="false">MAX(0,IFERROR(INDEX(TAB_IR,MATCH($C145,TAB_IR_DIAS,1),MATCH($D$8,TAB_IR_REGIMES,0)),0)*IF($D$26=2,AQ145,MAX(0,AT145))-AS145)</f>
        <v>972.773121824248</v>
      </c>
      <c r="AV145" s="181" t="n">
        <f aca="false">MAX(0,AQ145-AU145-AQ145*$D$25)</f>
        <v>268429.399430795</v>
      </c>
      <c r="AW145" s="180" t="n">
        <f aca="false">AV145/$D145</f>
        <v>203984.282214593</v>
      </c>
      <c r="AY145" s="180" t="n">
        <f aca="false">BF144</f>
        <v>303791.7703217</v>
      </c>
      <c r="AZ145" s="180" t="n">
        <f aca="false">IF($E$9=0,0,IF($A145&gt;IN_PRAZO,0,IF(APORTE_CORRIGIDO="Sim",IN_APORTE*$D145,IN_APORTE))+IF(AND($E$35=1,PGBL_REINVESTE="Sim",$A145&gt;=13,$A145&lt;=IN_PRAZO,MONTH($B145)=5),PGBL_BENEFICIO,0))</f>
        <v>0</v>
      </c>
      <c r="BA145" s="180" t="n">
        <f aca="false">AZ145*$E$24</f>
        <v>0</v>
      </c>
      <c r="BB145" s="180" t="n">
        <f aca="false">AY145*$E$19</f>
        <v>2973.74027917451</v>
      </c>
      <c r="BC145" s="180" t="n">
        <f aca="false">AY145*$E$22</f>
        <v>379.739712902125</v>
      </c>
      <c r="BD145" s="180" t="n">
        <f aca="false">$E$23*MAX(0,BB145-AY145*$E$18)</f>
        <v>0</v>
      </c>
      <c r="BE145" s="180" t="n">
        <f aca="false">IF(AND($E$27=1,OR(MONTH($B145)=5,MONTH($B145)=11)),MAX(0,$E$28*MAX(0,(AY145+BB145-BC145-BD145+AZ145-BA145)+BH144-BG145)-BH144),0)</f>
        <v>0</v>
      </c>
      <c r="BF145" s="181" t="n">
        <f aca="false">AY145+BB145-BC145-BD145+AZ145-BA145-BE145</f>
        <v>306385.770887972</v>
      </c>
      <c r="BG145" s="180" t="n">
        <f aca="false">BG144+AZ145-BA145</f>
        <v>150000</v>
      </c>
      <c r="BH145" s="180" t="n">
        <f aca="false">BH144+BE145</f>
        <v>0</v>
      </c>
      <c r="BI145" s="180" t="n">
        <f aca="false">BF145+BH145-BG145</f>
        <v>156385.770887972</v>
      </c>
      <c r="BJ145" s="180" t="n">
        <f aca="false">MAX(0,IFERROR(INDEX(TAB_IR,MATCH($C145,TAB_IR_DIAS,1),MATCH($E$8,TAB_IR_REGIMES,0)),0)*IF($E$26=2,BF145,MAX(0,BI145))-BH145)</f>
        <v>31277.1541775945</v>
      </c>
      <c r="BK145" s="181" t="n">
        <f aca="false">MAX(0,BF145-BJ145-BF145*$E$25)</f>
        <v>275108.616710378</v>
      </c>
      <c r="BL145" s="180" t="n">
        <f aca="false">BK145/$D145</f>
        <v>209059.938403595</v>
      </c>
      <c r="BN145" s="180" t="n">
        <f aca="false">BU144</f>
        <v>303791.7703217</v>
      </c>
      <c r="BO145" s="180" t="n">
        <f aca="false">IF($F$9=0,0,IF($A145&gt;IN_PRAZO,0,IF(APORTE_CORRIGIDO="Sim",IN_APORTE*$D145,IN_APORTE))+IF(AND($F$35=1,PGBL_REINVESTE="Sim",$A145&gt;=13,$A145&lt;=IN_PRAZO,MONTH($B145)=5),PGBL_BENEFICIO,0))</f>
        <v>0</v>
      </c>
      <c r="BP145" s="180" t="n">
        <f aca="false">BO145*$F$24</f>
        <v>0</v>
      </c>
      <c r="BQ145" s="180" t="n">
        <f aca="false">BN145*$F$19</f>
        <v>2973.74027917451</v>
      </c>
      <c r="BR145" s="180" t="n">
        <f aca="false">BN145*$F$22</f>
        <v>379.739712902125</v>
      </c>
      <c r="BS145" s="180" t="n">
        <f aca="false">$F$23*MAX(0,BQ145-BN145*$F$18)</f>
        <v>0</v>
      </c>
      <c r="BT145" s="180" t="n">
        <f aca="false">IF(AND($F$27=1,OR(MONTH($B145)=5,MONTH($B145)=11)),MAX(0,$F$28*MAX(0,(BN145+BQ145-BR145-BS145+BO145-BP145)+BW144-BV145)-BW144),0)</f>
        <v>0</v>
      </c>
      <c r="BU145" s="181" t="n">
        <f aca="false">BN145+BQ145-BR145-BS145+BO145-BP145-BT145</f>
        <v>306385.770887972</v>
      </c>
      <c r="BV145" s="180" t="n">
        <f aca="false">BV144+BO145-BP145</f>
        <v>150000</v>
      </c>
      <c r="BW145" s="180" t="n">
        <f aca="false">BW144+BT145</f>
        <v>0</v>
      </c>
      <c r="BX145" s="180" t="n">
        <f aca="false">BU145+BW145-BV145</f>
        <v>156385.770887972</v>
      </c>
      <c r="BY145" s="180" t="n">
        <f aca="false">MAX(0,IFERROR(INDEX(TAB_IR,MATCH($C145,TAB_IR_DIAS,1),MATCH($F$8,TAB_IR_REGIMES,0)),0)*IF($F$26=2,BU145,MAX(0,BX145))-BW145)</f>
        <v>61277.1541775945</v>
      </c>
      <c r="BZ145" s="181" t="n">
        <f aca="false">MAX(0,BU145-BY145-BU145*$F$25)</f>
        <v>245108.616710378</v>
      </c>
      <c r="CA145" s="180" t="n">
        <f aca="false">BZ145/$D145</f>
        <v>186262.404007533</v>
      </c>
      <c r="CC145" s="180" t="n">
        <f aca="false">CJ144</f>
        <v>251953.618394586</v>
      </c>
      <c r="CD145" s="180" t="n">
        <f aca="false">IF($G$9=0,0,IF($A145&gt;IN_PRAZO,0,IF(APORTE_CORRIGIDO="Sim",IN_APORTE*$D145,IN_APORTE))+IF(AND($G$35=1,PGBL_REINVESTE="Sim",$A145&gt;=13,$A145&lt;=IN_PRAZO,MONTH($B145)=5),PGBL_BENEFICIO,0))</f>
        <v>0</v>
      </c>
      <c r="CE145" s="180" t="n">
        <f aca="false">CD145*$G$24</f>
        <v>0</v>
      </c>
      <c r="CF145" s="180" t="n">
        <f aca="false">CC145*$G$19</f>
        <v>2055.2424660386</v>
      </c>
      <c r="CG145" s="180" t="n">
        <f aca="false">CC145*$G$22</f>
        <v>209.961348662155</v>
      </c>
      <c r="CH145" s="180" t="n">
        <f aca="false">$G$23*MAX(0,CF145-CC145*$G$18)</f>
        <v>0</v>
      </c>
      <c r="CI145" s="180" t="n">
        <f aca="false">IF(AND($G$27=1,OR(MONTH($B145)=5,MONTH($B145)=11)),MAX(0,$G$28*MAX(0,(CC145+CF145-CG145-CH145+CD145-CE145)+CL144-CK145)-CL144),0)</f>
        <v>0</v>
      </c>
      <c r="CJ145" s="181" t="n">
        <f aca="false">CC145+CF145-CG145-CH145+CD145-CE145-CI145</f>
        <v>253798.899511962</v>
      </c>
      <c r="CK145" s="180" t="n">
        <f aca="false">CK144+CD145-CE145</f>
        <v>150000</v>
      </c>
      <c r="CL145" s="180" t="n">
        <f aca="false">CL144+CI145</f>
        <v>17347.6248976263</v>
      </c>
      <c r="CM145" s="180" t="n">
        <f aca="false">CJ145+CL145-CK145</f>
        <v>121146.524409588</v>
      </c>
      <c r="CN145" s="180" t="n">
        <f aca="false">MAX(0,IFERROR(INDEX(TAB_IR,MATCH($C145,TAB_IR_DIAS,1),MATCH($G$8,TAB_IR_REGIMES,0)),0)*IF($G$26=2,CJ145,MAX(0,CM145))-CL145)</f>
        <v>824.353763811909</v>
      </c>
      <c r="CO145" s="181" t="n">
        <f aca="false">MAX(0,CJ145-CN145-CJ145*$G$25)</f>
        <v>252974.54574815</v>
      </c>
      <c r="CP145" s="180" t="n">
        <f aca="false">CO145/$D145</f>
        <v>192239.86360072</v>
      </c>
    </row>
    <row r="146" customFormat="false" ht="12" hidden="false" customHeight="true" outlineLevel="0" collapsed="false">
      <c r="A146" s="177" t="n">
        <v>85</v>
      </c>
      <c r="B146" s="178" t="n">
        <f aca="false">EDATE(DATA_INICIO,$A146)</f>
        <v>48845</v>
      </c>
      <c r="C146" s="177" t="n">
        <f aca="false">$A146*30</f>
        <v>2550</v>
      </c>
      <c r="D146" s="179" t="n">
        <f aca="false">(1+IPCA_CENARIO)^($A146/12)</f>
        <v>1.32023979745218</v>
      </c>
      <c r="F146" s="180" t="n">
        <f aca="false">M145</f>
        <v>327034.784778996</v>
      </c>
      <c r="G146" s="180" t="n">
        <f aca="false">IF($B$9=0,0,IF($A146&gt;IN_PRAZO,0,IF(APORTE_CORRIGIDO="Sim",IN_APORTE*$D146,IN_APORTE))+IF(AND($B$35=1,PGBL_REINVESTE="Sim",$A146&gt;=13,$A146&lt;=IN_PRAZO,MONTH($B146)=5),PGBL_BENEFICIO,0))</f>
        <v>0</v>
      </c>
      <c r="H146" s="180" t="n">
        <f aca="false">G146*$B$24</f>
        <v>0</v>
      </c>
      <c r="I146" s="180" t="n">
        <f aca="false">F146*$B$19</f>
        <v>3103.16535517382</v>
      </c>
      <c r="J146" s="180" t="n">
        <f aca="false">F146*$B$22</f>
        <v>54.5057974631659</v>
      </c>
      <c r="K146" s="180" t="n">
        <f aca="false">$B$23*MAX(0,I146-F146*$B$18)</f>
        <v>0</v>
      </c>
      <c r="L146" s="180" t="n">
        <f aca="false">IF(AND($B$27=1,OR(MONTH($B146)=5,MONTH($B146)=11)),MAX(0,$B$28*MAX(0,(F146+I146-J146-K146+G146-H146)+O145-N146)-O145),0)</f>
        <v>0</v>
      </c>
      <c r="M146" s="181" t="n">
        <f aca="false">F146+I146-J146-K146+G146-H146-L146</f>
        <v>330083.444336706</v>
      </c>
      <c r="N146" s="180" t="n">
        <f aca="false">N145+G146-H146</f>
        <v>150000</v>
      </c>
      <c r="O146" s="180" t="n">
        <f aca="false">O145+L146</f>
        <v>0</v>
      </c>
      <c r="P146" s="180" t="n">
        <f aca="false">M146+O146-N146</f>
        <v>180083.444336706</v>
      </c>
      <c r="Q146" s="180" t="n">
        <f aca="false">MAX(0,IFERROR(INDEX(TAB_IR,MATCH($C146,TAB_IR_DIAS,1),MATCH($B$8,TAB_IR_REGIMES,0)),0)*IF($B$26=2,M146,MAX(0,P146))-O146)</f>
        <v>27012.5166505059</v>
      </c>
      <c r="R146" s="181" t="n">
        <f aca="false">MAX(0,M146-Q146-M146*$B$25)</f>
        <v>303070.9276862</v>
      </c>
      <c r="S146" s="180" t="n">
        <f aca="false">R146/$D146</f>
        <v>229557.48514101</v>
      </c>
      <c r="U146" s="180" t="n">
        <f aca="false">AB145</f>
        <v>292707.779623972</v>
      </c>
      <c r="V146" s="180" t="n">
        <f aca="false">IF($C$9=0,0,IF($A146&gt;IN_PRAZO,0,IF(APORTE_CORRIGIDO="Sim",IN_APORTE*$D146,IN_APORTE))+IF(AND($C$35=1,PGBL_REINVESTE="Sim",$A146&gt;=13,$A146&lt;=IN_PRAZO,MONTH($B146)=5),PGBL_BENEFICIO,0))</f>
        <v>0</v>
      </c>
      <c r="W146" s="180" t="n">
        <f aca="false">V146*$C$24</f>
        <v>0</v>
      </c>
      <c r="X146" s="180" t="n">
        <f aca="false">U146*$C$19</f>
        <v>2387.6833468647</v>
      </c>
      <c r="Y146" s="180" t="n">
        <f aca="false">U146*$C$22</f>
        <v>48.7846299373287</v>
      </c>
      <c r="Z146" s="180" t="n">
        <f aca="false">$C$23*MAX(0,X146-U146*$C$18)</f>
        <v>0</v>
      </c>
      <c r="AA146" s="180" t="n">
        <f aca="false">IF(AND($C$27=1,OR(MONTH($B146)=5,MONTH($B146)=11)),MAX(0,$C$28*MAX(0,(U146+X146-Y146-Z146+V146-W146)+AD145-AC146)-AD145),0)</f>
        <v>0</v>
      </c>
      <c r="AB146" s="181" t="n">
        <f aca="false">U146+X146-Y146-Z146+V146-W146-AA146</f>
        <v>295046.6783409</v>
      </c>
      <c r="AC146" s="180" t="n">
        <f aca="false">AC145+V146-W146</f>
        <v>150000</v>
      </c>
      <c r="AD146" s="180" t="n">
        <f aca="false">AD145+AA146</f>
        <v>0</v>
      </c>
      <c r="AE146" s="180" t="n">
        <f aca="false">AB146+AD146-AC146</f>
        <v>145046.6783409</v>
      </c>
      <c r="AF146" s="180" t="n">
        <f aca="false">MAX(0,IFERROR(INDEX(TAB_IR,MATCH($C146,TAB_IR_DIAS,1),MATCH($C$8,TAB_IR_REGIMES,0)),0)*IF($C$26=2,AB146,MAX(0,AE146))-AD146)</f>
        <v>21757.001751135</v>
      </c>
      <c r="AG146" s="181" t="n">
        <f aca="false">MAX(0,AB146-AF146-AB146*$C$25)</f>
        <v>273289.676589765</v>
      </c>
      <c r="AH146" s="180" t="n">
        <f aca="false">AG146/$D146</f>
        <v>207000.029174369</v>
      </c>
      <c r="AJ146" s="180" t="n">
        <f aca="false">AQ145</f>
        <v>269402.17255262</v>
      </c>
      <c r="AK146" s="180" t="n">
        <f aca="false">IF($D$9=0,0,IF($A146&gt;IN_PRAZO,0,IF(APORTE_CORRIGIDO="Sim",IN_APORTE*$D146,IN_APORTE))+IF(AND($D$35=1,PGBL_REINVESTE="Sim",$A146&gt;=13,$A146&lt;=IN_PRAZO,MONTH($B146)=5),PGBL_BENEFICIO,0))</f>
        <v>0</v>
      </c>
      <c r="AL146" s="180" t="n">
        <f aca="false">AK146*$D$24</f>
        <v>0</v>
      </c>
      <c r="AM146" s="180" t="n">
        <f aca="false">AJ146*$D$19</f>
        <v>2421.57451356503</v>
      </c>
      <c r="AN146" s="180" t="n">
        <f aca="false">AJ146*$D$22</f>
        <v>224.501810460516</v>
      </c>
      <c r="AO146" s="180" t="n">
        <f aca="false">$D$23*MAX(0,AM146-AJ146*$D$18)</f>
        <v>0</v>
      </c>
      <c r="AP146" s="180" t="n">
        <f aca="false">IF(AND($D$27=1,OR(MONTH($B146)=5,MONTH($B146)=11)),MAX(0,$D$28*MAX(0,(AJ146+AM146-AN146-AO146+AK146-AL146)+AS145-AR146)-AS145),0)</f>
        <v>0</v>
      </c>
      <c r="AQ146" s="181" t="n">
        <f aca="false">AJ146+AM146-AN146-AO146+AK146-AL146-AP146</f>
        <v>271599.245255724</v>
      </c>
      <c r="AR146" s="180" t="n">
        <f aca="false">AR145+AK146-AL146</f>
        <v>150000</v>
      </c>
      <c r="AS146" s="180" t="n">
        <f aca="false">AS145+AP146</f>
        <v>19926.5326600808</v>
      </c>
      <c r="AT146" s="180" t="n">
        <f aca="false">AQ146+AS146-AR146</f>
        <v>141525.777915805</v>
      </c>
      <c r="AU146" s="180" t="n">
        <f aca="false">MAX(0,IFERROR(INDEX(TAB_IR,MATCH($C146,TAB_IR_DIAS,1),MATCH($D$8,TAB_IR_REGIMES,0)),0)*IF($D$26=2,AQ146,MAX(0,AT146))-AS146)</f>
        <v>1302.33402728993</v>
      </c>
      <c r="AV146" s="181" t="n">
        <f aca="false">MAX(0,AQ146-AU146-AQ146*$D$25)</f>
        <v>270296.911228434</v>
      </c>
      <c r="AW146" s="180" t="n">
        <f aca="false">AV146/$D146</f>
        <v>204733.194492437</v>
      </c>
      <c r="AY146" s="180" t="n">
        <f aca="false">BF145</f>
        <v>306385.770887972</v>
      </c>
      <c r="AZ146" s="180" t="n">
        <f aca="false">IF($E$9=0,0,IF($A146&gt;IN_PRAZO,0,IF(APORTE_CORRIGIDO="Sim",IN_APORTE*$D146,IN_APORTE))+IF(AND($E$35=1,PGBL_REINVESTE="Sim",$A146&gt;=13,$A146&lt;=IN_PRAZO,MONTH($B146)=5),PGBL_BENEFICIO,0))</f>
        <v>0</v>
      </c>
      <c r="BA146" s="180" t="n">
        <f aca="false">AZ146*$E$24</f>
        <v>0</v>
      </c>
      <c r="BB146" s="180" t="n">
        <f aca="false">AY146*$E$19</f>
        <v>2999.1322901561</v>
      </c>
      <c r="BC146" s="180" t="n">
        <f aca="false">AY146*$E$22</f>
        <v>382.982213609965</v>
      </c>
      <c r="BD146" s="180" t="n">
        <f aca="false">$E$23*MAX(0,BB146-AY146*$E$18)</f>
        <v>0</v>
      </c>
      <c r="BE146" s="180" t="n">
        <f aca="false">IF(AND($E$27=1,OR(MONTH($B146)=5,MONTH($B146)=11)),MAX(0,$E$28*MAX(0,(AY146+BB146-BC146-BD146+AZ146-BA146)+BH145-BG146)-BH145),0)</f>
        <v>0</v>
      </c>
      <c r="BF146" s="181" t="n">
        <f aca="false">AY146+BB146-BC146-BD146+AZ146-BA146-BE146</f>
        <v>309001.920964519</v>
      </c>
      <c r="BG146" s="180" t="n">
        <f aca="false">BG145+AZ146-BA146</f>
        <v>150000</v>
      </c>
      <c r="BH146" s="180" t="n">
        <f aca="false">BH145+BE146</f>
        <v>0</v>
      </c>
      <c r="BI146" s="180" t="n">
        <f aca="false">BF146+BH146-BG146</f>
        <v>159001.920964519</v>
      </c>
      <c r="BJ146" s="180" t="n">
        <f aca="false">MAX(0,IFERROR(INDEX(TAB_IR,MATCH($C146,TAB_IR_DIAS,1),MATCH($E$8,TAB_IR_REGIMES,0)),0)*IF($E$26=2,BF146,MAX(0,BI146))-BH146)</f>
        <v>31800.3841929037</v>
      </c>
      <c r="BK146" s="181" t="n">
        <f aca="false">MAX(0,BF146-BJ146-BF146*$E$25)</f>
        <v>277201.536771615</v>
      </c>
      <c r="BL146" s="180" t="n">
        <f aca="false">BK146/$D146</f>
        <v>209963.021343972</v>
      </c>
      <c r="BN146" s="180" t="n">
        <f aca="false">BU145</f>
        <v>306385.770887972</v>
      </c>
      <c r="BO146" s="180" t="n">
        <f aca="false">IF($F$9=0,0,IF($A146&gt;IN_PRAZO,0,IF(APORTE_CORRIGIDO="Sim",IN_APORTE*$D146,IN_APORTE))+IF(AND($F$35=1,PGBL_REINVESTE="Sim",$A146&gt;=13,$A146&lt;=IN_PRAZO,MONTH($B146)=5),PGBL_BENEFICIO,0))</f>
        <v>0</v>
      </c>
      <c r="BP146" s="180" t="n">
        <f aca="false">BO146*$F$24</f>
        <v>0</v>
      </c>
      <c r="BQ146" s="180" t="n">
        <f aca="false">BN146*$F$19</f>
        <v>2999.1322901561</v>
      </c>
      <c r="BR146" s="180" t="n">
        <f aca="false">BN146*$F$22</f>
        <v>382.982213609965</v>
      </c>
      <c r="BS146" s="180" t="n">
        <f aca="false">$F$23*MAX(0,BQ146-BN146*$F$18)</f>
        <v>0</v>
      </c>
      <c r="BT146" s="180" t="n">
        <f aca="false">IF(AND($F$27=1,OR(MONTH($B146)=5,MONTH($B146)=11)),MAX(0,$F$28*MAX(0,(BN146+BQ146-BR146-BS146+BO146-BP146)+BW145-BV146)-BW145),0)</f>
        <v>0</v>
      </c>
      <c r="BU146" s="181" t="n">
        <f aca="false">BN146+BQ146-BR146-BS146+BO146-BP146-BT146</f>
        <v>309001.920964519</v>
      </c>
      <c r="BV146" s="180" t="n">
        <f aca="false">BV145+BO146-BP146</f>
        <v>150000</v>
      </c>
      <c r="BW146" s="180" t="n">
        <f aca="false">BW145+BT146</f>
        <v>0</v>
      </c>
      <c r="BX146" s="180" t="n">
        <f aca="false">BU146+BW146-BV146</f>
        <v>159001.920964519</v>
      </c>
      <c r="BY146" s="180" t="n">
        <f aca="false">MAX(0,IFERROR(INDEX(TAB_IR,MATCH($C146,TAB_IR_DIAS,1),MATCH($F$8,TAB_IR_REGIMES,0)),0)*IF($F$26=2,BU146,MAX(0,BX146))-BW146)</f>
        <v>61800.3841929037</v>
      </c>
      <c r="BZ146" s="181" t="n">
        <f aca="false">MAX(0,BU146-BY146-BU146*$F$25)</f>
        <v>247201.536771615</v>
      </c>
      <c r="CA146" s="180" t="n">
        <f aca="false">BZ146/$D146</f>
        <v>187239.8766108</v>
      </c>
      <c r="CC146" s="180" t="n">
        <f aca="false">CJ145</f>
        <v>253798.899511962</v>
      </c>
      <c r="CD146" s="180" t="n">
        <f aca="false">IF($G$9=0,0,IF($A146&gt;IN_PRAZO,0,IF(APORTE_CORRIGIDO="Sim",IN_APORTE*$D146,IN_APORTE))+IF(AND($G$35=1,PGBL_REINVESTE="Sim",$A146&gt;=13,$A146&lt;=IN_PRAZO,MONTH($B146)=5),PGBL_BENEFICIO,0))</f>
        <v>0</v>
      </c>
      <c r="CE146" s="180" t="n">
        <f aca="false">CD146*$G$24</f>
        <v>0</v>
      </c>
      <c r="CF146" s="180" t="n">
        <f aca="false">CC146*$G$19</f>
        <v>2070.29484011593</v>
      </c>
      <c r="CG146" s="180" t="n">
        <f aca="false">CC146*$G$22</f>
        <v>211.499082926635</v>
      </c>
      <c r="CH146" s="180" t="n">
        <f aca="false">$G$23*MAX(0,CF146-CC146*$G$18)</f>
        <v>0</v>
      </c>
      <c r="CI146" s="180" t="n">
        <f aca="false">IF(AND($G$27=1,OR(MONTH($B146)=5,MONTH($B146)=11)),MAX(0,$G$28*MAX(0,(CC146+CF146-CG146-CH146+CD146-CE146)+CL145-CK146)-CL145),0)</f>
        <v>0</v>
      </c>
      <c r="CJ146" s="181" t="n">
        <f aca="false">CC146+CF146-CG146-CH146+CD146-CE146-CI146</f>
        <v>255657.695269151</v>
      </c>
      <c r="CK146" s="180" t="n">
        <f aca="false">CK145+CD146-CE146</f>
        <v>150000</v>
      </c>
      <c r="CL146" s="180" t="n">
        <f aca="false">CL145+CI146</f>
        <v>17347.6248976263</v>
      </c>
      <c r="CM146" s="180" t="n">
        <f aca="false">CJ146+CL146-CK146</f>
        <v>123005.320166778</v>
      </c>
      <c r="CN146" s="180" t="n">
        <f aca="false">MAX(0,IFERROR(INDEX(TAB_IR,MATCH($C146,TAB_IR_DIAS,1),MATCH($G$8,TAB_IR_REGIMES,0)),0)*IF($G$26=2,CJ146,MAX(0,CM146))-CL146)</f>
        <v>1103.17312739031</v>
      </c>
      <c r="CO146" s="181" t="n">
        <f aca="false">MAX(0,CJ146-CN146-CJ146*$G$25)</f>
        <v>254554.522141761</v>
      </c>
      <c r="CP146" s="180" t="n">
        <f aca="false">CO146/$D146</f>
        <v>192809.308303691</v>
      </c>
    </row>
    <row r="147" customFormat="false" ht="12" hidden="false" customHeight="true" outlineLevel="0" collapsed="false">
      <c r="A147" s="177" t="n">
        <v>86</v>
      </c>
      <c r="B147" s="178" t="n">
        <f aca="false">EDATE(DATA_INICIO,$A147)</f>
        <v>48875</v>
      </c>
      <c r="C147" s="177" t="n">
        <f aca="false">$A147*30</f>
        <v>2580</v>
      </c>
      <c r="D147" s="179" t="n">
        <f aca="false">(1+IPCA_CENARIO)^($A147/12)</f>
        <v>1.32456191899915</v>
      </c>
      <c r="F147" s="180" t="n">
        <f aca="false">M146</f>
        <v>330083.444336706</v>
      </c>
      <c r="G147" s="180" t="n">
        <f aca="false">IF($B$9=0,0,IF($A147&gt;IN_PRAZO,0,IF(APORTE_CORRIGIDO="Sim",IN_APORTE*$D147,IN_APORTE))+IF(AND($B$35=1,PGBL_REINVESTE="Sim",$A147&gt;=13,$A147&lt;=IN_PRAZO,MONTH($B147)=5),PGBL_BENEFICIO,0))</f>
        <v>0</v>
      </c>
      <c r="H147" s="180" t="n">
        <f aca="false">G147*$B$24</f>
        <v>0</v>
      </c>
      <c r="I147" s="180" t="n">
        <f aca="false">F147*$B$19</f>
        <v>3132.09345444497</v>
      </c>
      <c r="J147" s="180" t="n">
        <f aca="false">F147*$B$22</f>
        <v>55.013907389451</v>
      </c>
      <c r="K147" s="180" t="n">
        <f aca="false">$B$23*MAX(0,I147-F147*$B$18)</f>
        <v>0</v>
      </c>
      <c r="L147" s="180" t="n">
        <f aca="false">IF(AND($B$27=1,OR(MONTH($B147)=5,MONTH($B147)=11)),MAX(0,$B$28*MAX(0,(F147+I147-J147-K147+G147-H147)+O146-N147)-O146),0)</f>
        <v>0</v>
      </c>
      <c r="M147" s="181" t="n">
        <f aca="false">F147+I147-J147-K147+G147-H147-L147</f>
        <v>333160.523883762</v>
      </c>
      <c r="N147" s="180" t="n">
        <f aca="false">N146+G147-H147</f>
        <v>150000</v>
      </c>
      <c r="O147" s="180" t="n">
        <f aca="false">O146+L147</f>
        <v>0</v>
      </c>
      <c r="P147" s="180" t="n">
        <f aca="false">M147+O147-N147</f>
        <v>183160.523883762</v>
      </c>
      <c r="Q147" s="180" t="n">
        <f aca="false">MAX(0,IFERROR(INDEX(TAB_IR,MATCH($C147,TAB_IR_DIAS,1),MATCH($B$8,TAB_IR_REGIMES,0)),0)*IF($B$26=2,M147,MAX(0,P147))-O147)</f>
        <v>27474.0785825643</v>
      </c>
      <c r="R147" s="181" t="n">
        <f aca="false">MAX(0,M147-Q147-M147*$B$25)</f>
        <v>305686.445301197</v>
      </c>
      <c r="S147" s="180" t="n">
        <f aca="false">R147/$D147</f>
        <v>230783.054318954</v>
      </c>
      <c r="U147" s="180" t="n">
        <f aca="false">AB146</f>
        <v>295046.6783409</v>
      </c>
      <c r="V147" s="180" t="n">
        <f aca="false">IF($C$9=0,0,IF($A147&gt;IN_PRAZO,0,IF(APORTE_CORRIGIDO="Sim",IN_APORTE*$D147,IN_APORTE))+IF(AND($C$35=1,PGBL_REINVESTE="Sim",$A147&gt;=13,$A147&lt;=IN_PRAZO,MONTH($B147)=5),PGBL_BENEFICIO,0))</f>
        <v>0</v>
      </c>
      <c r="W147" s="180" t="n">
        <f aca="false">V147*$C$24</f>
        <v>0</v>
      </c>
      <c r="X147" s="180" t="n">
        <f aca="false">U147*$C$19</f>
        <v>2406.76227098344</v>
      </c>
      <c r="Y147" s="180" t="n">
        <f aca="false">U147*$C$22</f>
        <v>49.1744463901499</v>
      </c>
      <c r="Z147" s="180" t="n">
        <f aca="false">$C$23*MAX(0,X147-U147*$C$18)</f>
        <v>0</v>
      </c>
      <c r="AA147" s="180" t="n">
        <f aca="false">IF(AND($C$27=1,OR(MONTH($B147)=5,MONTH($B147)=11)),MAX(0,$C$28*MAX(0,(U147+X147-Y147-Z147+V147-W147)+AD146-AC147)-AD146),0)</f>
        <v>0</v>
      </c>
      <c r="AB147" s="181" t="n">
        <f aca="false">U147+X147-Y147-Z147+V147-W147-AA147</f>
        <v>297404.266165493</v>
      </c>
      <c r="AC147" s="180" t="n">
        <f aca="false">AC146+V147-W147</f>
        <v>150000</v>
      </c>
      <c r="AD147" s="180" t="n">
        <f aca="false">AD146+AA147</f>
        <v>0</v>
      </c>
      <c r="AE147" s="180" t="n">
        <f aca="false">AB147+AD147-AC147</f>
        <v>147404.266165493</v>
      </c>
      <c r="AF147" s="180" t="n">
        <f aca="false">MAX(0,IFERROR(INDEX(TAB_IR,MATCH($C147,TAB_IR_DIAS,1),MATCH($C$8,TAB_IR_REGIMES,0)),0)*IF($C$26=2,AB147,MAX(0,AE147))-AD147)</f>
        <v>22110.639924824</v>
      </c>
      <c r="AG147" s="181" t="n">
        <f aca="false">MAX(0,AB147-AF147-AB147*$C$25)</f>
        <v>275293.626240669</v>
      </c>
      <c r="AH147" s="180" t="n">
        <f aca="false">AG147/$D147</f>
        <v>207837.491242904</v>
      </c>
      <c r="AJ147" s="180" t="n">
        <f aca="false">AQ146</f>
        <v>271599.245255724</v>
      </c>
      <c r="AK147" s="180" t="n">
        <f aca="false">IF($D$9=0,0,IF($A147&gt;IN_PRAZO,0,IF(APORTE_CORRIGIDO="Sim",IN_APORTE*$D147,IN_APORTE))+IF(AND($D$35=1,PGBL_REINVESTE="Sim",$A147&gt;=13,$A147&lt;=IN_PRAZO,MONTH($B147)=5),PGBL_BENEFICIO,0))</f>
        <v>0</v>
      </c>
      <c r="AL147" s="180" t="n">
        <f aca="false">AK147*$D$24</f>
        <v>0</v>
      </c>
      <c r="AM147" s="180" t="n">
        <f aca="false">AJ147*$D$19</f>
        <v>2441.32333448907</v>
      </c>
      <c r="AN147" s="180" t="n">
        <f aca="false">AJ147*$D$22</f>
        <v>226.33270437977</v>
      </c>
      <c r="AO147" s="180" t="n">
        <f aca="false">$D$23*MAX(0,AM147-AJ147*$D$18)</f>
        <v>0</v>
      </c>
      <c r="AP147" s="180" t="n">
        <f aca="false">IF(AND($D$27=1,OR(MONTH($B147)=5,MONTH($B147)=11)),MAX(0,$D$28*MAX(0,(AJ147+AM147-AN147-AO147+AK147-AL147)+AS146-AR147)-AS146),0)</f>
        <v>0</v>
      </c>
      <c r="AQ147" s="181" t="n">
        <f aca="false">AJ147+AM147-AN147-AO147+AK147-AL147-AP147</f>
        <v>273814.235885833</v>
      </c>
      <c r="AR147" s="180" t="n">
        <f aca="false">AR146+AK147-AL147</f>
        <v>150000</v>
      </c>
      <c r="AS147" s="180" t="n">
        <f aca="false">AS146+AP147</f>
        <v>19926.5326600808</v>
      </c>
      <c r="AT147" s="180" t="n">
        <f aca="false">AQ147+AS147-AR147</f>
        <v>143740.768545914</v>
      </c>
      <c r="AU147" s="180" t="n">
        <f aca="false">MAX(0,IFERROR(INDEX(TAB_IR,MATCH($C147,TAB_IR_DIAS,1),MATCH($D$8,TAB_IR_REGIMES,0)),0)*IF($D$26=2,AQ147,MAX(0,AT147))-AS147)</f>
        <v>1634.58262180633</v>
      </c>
      <c r="AV147" s="181" t="n">
        <f aca="false">MAX(0,AQ147-AU147-AQ147*$D$25)</f>
        <v>272179.653264027</v>
      </c>
      <c r="AW147" s="180" t="n">
        <f aca="false">AV147/$D147</f>
        <v>205486.545672164</v>
      </c>
      <c r="AY147" s="180" t="n">
        <f aca="false">BF146</f>
        <v>309001.920964519</v>
      </c>
      <c r="AZ147" s="180" t="n">
        <f aca="false">IF($E$9=0,0,IF($A147&gt;IN_PRAZO,0,IF(APORTE_CORRIGIDO="Sim",IN_APORTE*$D147,IN_APORTE))+IF(AND($E$35=1,PGBL_REINVESTE="Sim",$A147&gt;=13,$A147&lt;=IN_PRAZO,MONTH($B147)=5),PGBL_BENEFICIO,0))</f>
        <v>0</v>
      </c>
      <c r="BA147" s="180" t="n">
        <f aca="false">AZ147*$E$24</f>
        <v>0</v>
      </c>
      <c r="BB147" s="180" t="n">
        <f aca="false">AY147*$E$19</f>
        <v>3024.7411170534</v>
      </c>
      <c r="BC147" s="180" t="n">
        <f aca="false">AY147*$E$22</f>
        <v>386.252401205648</v>
      </c>
      <c r="BD147" s="180" t="n">
        <f aca="false">$E$23*MAX(0,BB147-AY147*$E$18)</f>
        <v>0</v>
      </c>
      <c r="BE147" s="180" t="n">
        <f aca="false">IF(AND($E$27=1,OR(MONTH($B147)=5,MONTH($B147)=11)),MAX(0,$E$28*MAX(0,(AY147+BB147-BC147-BD147+AZ147-BA147)+BH146-BG147)-BH146),0)</f>
        <v>0</v>
      </c>
      <c r="BF147" s="181" t="n">
        <f aca="false">AY147+BB147-BC147-BD147+AZ147-BA147-BE147</f>
        <v>311640.409680366</v>
      </c>
      <c r="BG147" s="180" t="n">
        <f aca="false">BG146+AZ147-BA147</f>
        <v>150000</v>
      </c>
      <c r="BH147" s="180" t="n">
        <f aca="false">BH146+BE147</f>
        <v>0</v>
      </c>
      <c r="BI147" s="180" t="n">
        <f aca="false">BF147+BH147-BG147</f>
        <v>161640.409680366</v>
      </c>
      <c r="BJ147" s="180" t="n">
        <f aca="false">MAX(0,IFERROR(INDEX(TAB_IR,MATCH($C147,TAB_IR_DIAS,1),MATCH($E$8,TAB_IR_REGIMES,0)),0)*IF($E$26=2,BF147,MAX(0,BI147))-BH147)</f>
        <v>32328.0819360732</v>
      </c>
      <c r="BK147" s="181" t="n">
        <f aca="false">MAX(0,BF147-BJ147-BF147*$E$25)</f>
        <v>279312.327744293</v>
      </c>
      <c r="BL147" s="180" t="n">
        <f aca="false">BK147/$D147</f>
        <v>210871.476627793</v>
      </c>
      <c r="BN147" s="180" t="n">
        <f aca="false">BU146</f>
        <v>309001.920964519</v>
      </c>
      <c r="BO147" s="180" t="n">
        <f aca="false">IF($F$9=0,0,IF($A147&gt;IN_PRAZO,0,IF(APORTE_CORRIGIDO="Sim",IN_APORTE*$D147,IN_APORTE))+IF(AND($F$35=1,PGBL_REINVESTE="Sim",$A147&gt;=13,$A147&lt;=IN_PRAZO,MONTH($B147)=5),PGBL_BENEFICIO,0))</f>
        <v>0</v>
      </c>
      <c r="BP147" s="180" t="n">
        <f aca="false">BO147*$F$24</f>
        <v>0</v>
      </c>
      <c r="BQ147" s="180" t="n">
        <f aca="false">BN147*$F$19</f>
        <v>3024.7411170534</v>
      </c>
      <c r="BR147" s="180" t="n">
        <f aca="false">BN147*$F$22</f>
        <v>386.252401205648</v>
      </c>
      <c r="BS147" s="180" t="n">
        <f aca="false">$F$23*MAX(0,BQ147-BN147*$F$18)</f>
        <v>0</v>
      </c>
      <c r="BT147" s="180" t="n">
        <f aca="false">IF(AND($F$27=1,OR(MONTH($B147)=5,MONTH($B147)=11)),MAX(0,$F$28*MAX(0,(BN147+BQ147-BR147-BS147+BO147-BP147)+BW146-BV147)-BW146),0)</f>
        <v>0</v>
      </c>
      <c r="BU147" s="181" t="n">
        <f aca="false">BN147+BQ147-BR147-BS147+BO147-BP147-BT147</f>
        <v>311640.409680366</v>
      </c>
      <c r="BV147" s="180" t="n">
        <f aca="false">BV146+BO147-BP147</f>
        <v>150000</v>
      </c>
      <c r="BW147" s="180" t="n">
        <f aca="false">BW146+BT147</f>
        <v>0</v>
      </c>
      <c r="BX147" s="180" t="n">
        <f aca="false">BU147+BW147-BV147</f>
        <v>161640.409680366</v>
      </c>
      <c r="BY147" s="180" t="n">
        <f aca="false">MAX(0,IFERROR(INDEX(TAB_IR,MATCH($C147,TAB_IR_DIAS,1),MATCH($F$8,TAB_IR_REGIMES,0)),0)*IF($F$26=2,BU147,MAX(0,BX147))-BW147)</f>
        <v>62328.0819360733</v>
      </c>
      <c r="BZ147" s="181" t="n">
        <f aca="false">MAX(0,BU147-BY147-BU147*$F$25)</f>
        <v>249312.327744293</v>
      </c>
      <c r="CA147" s="180" t="n">
        <f aca="false">BZ147/$D147</f>
        <v>188222.478819772</v>
      </c>
      <c r="CC147" s="180" t="n">
        <f aca="false">CJ146</f>
        <v>255657.695269151</v>
      </c>
      <c r="CD147" s="180" t="n">
        <f aca="false">IF($G$9=0,0,IF($A147&gt;IN_PRAZO,0,IF(APORTE_CORRIGIDO="Sim",IN_APORTE*$D147,IN_APORTE))+IF(AND($G$35=1,PGBL_REINVESTE="Sim",$A147&gt;=13,$A147&lt;=IN_PRAZO,MONTH($B147)=5),PGBL_BENEFICIO,0))</f>
        <v>0</v>
      </c>
      <c r="CE147" s="180" t="n">
        <f aca="false">CD147*$G$24</f>
        <v>0</v>
      </c>
      <c r="CF147" s="180" t="n">
        <f aca="false">CC147*$G$19</f>
        <v>2085.45745615697</v>
      </c>
      <c r="CG147" s="180" t="n">
        <f aca="false">CC147*$G$22</f>
        <v>213.048079390959</v>
      </c>
      <c r="CH147" s="180" t="n">
        <f aca="false">$G$23*MAX(0,CF147-CC147*$G$18)</f>
        <v>0</v>
      </c>
      <c r="CI147" s="180" t="n">
        <f aca="false">IF(AND($G$27=1,OR(MONTH($B147)=5,MONTH($B147)=11)),MAX(0,$G$28*MAX(0,(CC147+CF147-CG147-CH147+CD147-CE147)+CL146-CK147)-CL146),0)</f>
        <v>0</v>
      </c>
      <c r="CJ147" s="181" t="n">
        <f aca="false">CC147+CF147-CG147-CH147+CD147-CE147-CI147</f>
        <v>257530.104645917</v>
      </c>
      <c r="CK147" s="180" t="n">
        <f aca="false">CK146+CD147-CE147</f>
        <v>150000</v>
      </c>
      <c r="CL147" s="180" t="n">
        <f aca="false">CL146+CI147</f>
        <v>17347.6248976263</v>
      </c>
      <c r="CM147" s="180" t="n">
        <f aca="false">CJ147+CL147-CK147</f>
        <v>124877.729543544</v>
      </c>
      <c r="CN147" s="180" t="n">
        <f aca="false">MAX(0,IFERROR(INDEX(TAB_IR,MATCH($C147,TAB_IR_DIAS,1),MATCH($G$8,TAB_IR_REGIMES,0)),0)*IF($G$26=2,CJ147,MAX(0,CM147))-CL147)</f>
        <v>1384.03453390521</v>
      </c>
      <c r="CO147" s="181" t="n">
        <f aca="false">MAX(0,CJ147-CN147-CJ147*$G$25)</f>
        <v>256146.070112012</v>
      </c>
      <c r="CP147" s="180" t="n">
        <f aca="false">CO147/$D147</f>
        <v>193381.726016674</v>
      </c>
    </row>
    <row r="148" customFormat="false" ht="12" hidden="false" customHeight="true" outlineLevel="0" collapsed="false">
      <c r="A148" s="177" t="n">
        <v>87</v>
      </c>
      <c r="B148" s="178" t="n">
        <f aca="false">EDATE(DATA_INICIO,$A148)</f>
        <v>48906</v>
      </c>
      <c r="C148" s="177" t="n">
        <f aca="false">$A148*30</f>
        <v>2610</v>
      </c>
      <c r="D148" s="179" t="n">
        <f aca="false">(1+IPCA_CENARIO)^($A148/12)</f>
        <v>1.32889819004736</v>
      </c>
      <c r="F148" s="180" t="n">
        <f aca="false">M147</f>
        <v>333160.523883762</v>
      </c>
      <c r="G148" s="180" t="n">
        <f aca="false">IF($B$9=0,0,IF($A148&gt;IN_PRAZO,0,IF(APORTE_CORRIGIDO="Sim",IN_APORTE*$D148,IN_APORTE))+IF(AND($B$35=1,PGBL_REINVESTE="Sim",$A148&gt;=13,$A148&lt;=IN_PRAZO,MONTH($B148)=5),PGBL_BENEFICIO,0))</f>
        <v>0</v>
      </c>
      <c r="H148" s="180" t="n">
        <f aca="false">G148*$B$24</f>
        <v>0</v>
      </c>
      <c r="I148" s="180" t="n">
        <f aca="false">F148*$B$19</f>
        <v>3161.29122511022</v>
      </c>
      <c r="J148" s="180" t="n">
        <f aca="false">F148*$B$22</f>
        <v>55.526753980627</v>
      </c>
      <c r="K148" s="180" t="n">
        <f aca="false">$B$23*MAX(0,I148-F148*$B$18)</f>
        <v>0</v>
      </c>
      <c r="L148" s="180" t="n">
        <f aca="false">IF(AND($B$27=1,OR(MONTH($B148)=5,MONTH($B148)=11)),MAX(0,$B$28*MAX(0,(F148+I148-J148-K148+G148-H148)+O147-N148)-O147),0)</f>
        <v>0</v>
      </c>
      <c r="M148" s="181" t="n">
        <f aca="false">F148+I148-J148-K148+G148-H148-L148</f>
        <v>336266.288354891</v>
      </c>
      <c r="N148" s="180" t="n">
        <f aca="false">N147+G148-H148</f>
        <v>150000</v>
      </c>
      <c r="O148" s="180" t="n">
        <f aca="false">O147+L148</f>
        <v>0</v>
      </c>
      <c r="P148" s="180" t="n">
        <f aca="false">M148+O148-N148</f>
        <v>186266.288354891</v>
      </c>
      <c r="Q148" s="180" t="n">
        <f aca="false">MAX(0,IFERROR(INDEX(TAB_IR,MATCH($C148,TAB_IR_DIAS,1),MATCH($B$8,TAB_IR_REGIMES,0)),0)*IF($B$26=2,M148,MAX(0,P148))-O148)</f>
        <v>27939.9432532337</v>
      </c>
      <c r="R148" s="181" t="n">
        <f aca="false">MAX(0,M148-Q148-M148*$B$25)</f>
        <v>308326.345101658</v>
      </c>
      <c r="S148" s="180" t="n">
        <f aca="false">R148/$D148</f>
        <v>232016.528738495</v>
      </c>
      <c r="U148" s="180" t="n">
        <f aca="false">AB147</f>
        <v>297404.266165493</v>
      </c>
      <c r="V148" s="180" t="n">
        <f aca="false">IF($C$9=0,0,IF($A148&gt;IN_PRAZO,0,IF(APORTE_CORRIGIDO="Sim",IN_APORTE*$D148,IN_APORTE))+IF(AND($C$35=1,PGBL_REINVESTE="Sim",$A148&gt;=13,$A148&lt;=IN_PRAZO,MONTH($B148)=5),PGBL_BENEFICIO,0))</f>
        <v>0</v>
      </c>
      <c r="W148" s="180" t="n">
        <f aca="false">V148*$C$24</f>
        <v>0</v>
      </c>
      <c r="X148" s="180" t="n">
        <f aca="false">U148*$C$19</f>
        <v>2425.99364636672</v>
      </c>
      <c r="Y148" s="180" t="n">
        <f aca="false">U148*$C$22</f>
        <v>49.5673776942488</v>
      </c>
      <c r="Z148" s="180" t="n">
        <f aca="false">$C$23*MAX(0,X148-U148*$C$18)</f>
        <v>0</v>
      </c>
      <c r="AA148" s="180" t="n">
        <f aca="false">IF(AND($C$27=1,OR(MONTH($B148)=5,MONTH($B148)=11)),MAX(0,$C$28*MAX(0,(U148+X148-Y148-Z148+V148-W148)+AD147-AC148)-AD147),0)</f>
        <v>0</v>
      </c>
      <c r="AB148" s="181" t="n">
        <f aca="false">U148+X148-Y148-Z148+V148-W148-AA148</f>
        <v>299780.692434165</v>
      </c>
      <c r="AC148" s="180" t="n">
        <f aca="false">AC147+V148-W148</f>
        <v>150000</v>
      </c>
      <c r="AD148" s="180" t="n">
        <f aca="false">AD147+AA148</f>
        <v>0</v>
      </c>
      <c r="AE148" s="180" t="n">
        <f aca="false">AB148+AD148-AC148</f>
        <v>149780.692434165</v>
      </c>
      <c r="AF148" s="180" t="n">
        <f aca="false">MAX(0,IFERROR(INDEX(TAB_IR,MATCH($C148,TAB_IR_DIAS,1),MATCH($C$8,TAB_IR_REGIMES,0)),0)*IF($C$26=2,AB148,MAX(0,AE148))-AD148)</f>
        <v>22467.1038651248</v>
      </c>
      <c r="AG148" s="181" t="n">
        <f aca="false">MAX(0,AB148-AF148-AB148*$C$25)</f>
        <v>277313.588569041</v>
      </c>
      <c r="AH148" s="180" t="n">
        <f aca="false">AG148/$D148</f>
        <v>208679.333485403</v>
      </c>
      <c r="AJ148" s="180" t="n">
        <f aca="false">AQ147</f>
        <v>273814.235885833</v>
      </c>
      <c r="AK148" s="180" t="n">
        <f aca="false">IF($D$9=0,0,IF($A148&gt;IN_PRAZO,0,IF(APORTE_CORRIGIDO="Sim",IN_APORTE*$D148,IN_APORTE))+IF(AND($D$35=1,PGBL_REINVESTE="Sim",$A148&gt;=13,$A148&lt;=IN_PRAZO,MONTH($B148)=5),PGBL_BENEFICIO,0))</f>
        <v>0</v>
      </c>
      <c r="AL148" s="180" t="n">
        <f aca="false">AK148*$D$24</f>
        <v>0</v>
      </c>
      <c r="AM148" s="180" t="n">
        <f aca="false">AJ148*$D$19</f>
        <v>2461.2332142307</v>
      </c>
      <c r="AN148" s="180" t="n">
        <f aca="false">AJ148*$D$22</f>
        <v>228.178529904861</v>
      </c>
      <c r="AO148" s="180" t="n">
        <f aca="false">$D$23*MAX(0,AM148-AJ148*$D$18)</f>
        <v>0</v>
      </c>
      <c r="AP148" s="180" t="n">
        <f aca="false">IF(AND($D$27=1,OR(MONTH($B148)=5,MONTH($B148)=11)),MAX(0,$D$28*MAX(0,(AJ148+AM148-AN148-AO148+AK148-AL148)+AS147-AR148)-AS147),0)</f>
        <v>1969.5408244552</v>
      </c>
      <c r="AQ148" s="181" t="n">
        <f aca="false">AJ148+AM148-AN148-AO148+AK148-AL148-AP148</f>
        <v>274077.749745704</v>
      </c>
      <c r="AR148" s="180" t="n">
        <f aca="false">AR147+AK148-AL148</f>
        <v>150000</v>
      </c>
      <c r="AS148" s="180" t="n">
        <f aca="false">AS147+AP148</f>
        <v>21896.073484536</v>
      </c>
      <c r="AT148" s="180" t="n">
        <f aca="false">AQ148+AS148-AR148</f>
        <v>145973.82323024</v>
      </c>
      <c r="AU148" s="180" t="n">
        <f aca="false">MAX(0,IFERROR(INDEX(TAB_IR,MATCH($C148,TAB_IR_DIAS,1),MATCH($D$8,TAB_IR_REGIMES,0)),0)*IF($D$26=2,AQ148,MAX(0,AT148))-AS148)</f>
        <v>0</v>
      </c>
      <c r="AV148" s="181" t="n">
        <f aca="false">MAX(0,AQ148-AU148-AQ148*$D$25)</f>
        <v>274077.749745704</v>
      </c>
      <c r="AW148" s="180" t="n">
        <f aca="false">AV148/$D148</f>
        <v>206244.354758235</v>
      </c>
      <c r="AY148" s="180" t="n">
        <f aca="false">BF147</f>
        <v>311640.409680366</v>
      </c>
      <c r="AZ148" s="180" t="n">
        <f aca="false">IF($E$9=0,0,IF($A148&gt;IN_PRAZO,0,IF(APORTE_CORRIGIDO="Sim",IN_APORTE*$D148,IN_APORTE))+IF(AND($E$35=1,PGBL_REINVESTE="Sim",$A148&gt;=13,$A148&lt;=IN_PRAZO,MONTH($B148)=5),PGBL_BENEFICIO,0))</f>
        <v>0</v>
      </c>
      <c r="BA148" s="180" t="n">
        <f aca="false">AZ148*$E$24</f>
        <v>0</v>
      </c>
      <c r="BB148" s="180" t="n">
        <f aca="false">AY148*$E$19</f>
        <v>3050.56861120228</v>
      </c>
      <c r="BC148" s="180" t="n">
        <f aca="false">AY148*$E$22</f>
        <v>389.550512100458</v>
      </c>
      <c r="BD148" s="180" t="n">
        <f aca="false">$E$23*MAX(0,BB148-AY148*$E$18)</f>
        <v>0</v>
      </c>
      <c r="BE148" s="180" t="n">
        <f aca="false">IF(AND($E$27=1,OR(MONTH($B148)=5,MONTH($B148)=11)),MAX(0,$E$28*MAX(0,(AY148+BB148-BC148-BD148+AZ148-BA148)+BH147-BG148)-BH147),0)</f>
        <v>0</v>
      </c>
      <c r="BF148" s="181" t="n">
        <f aca="false">AY148+BB148-BC148-BD148+AZ148-BA148-BE148</f>
        <v>314301.427779468</v>
      </c>
      <c r="BG148" s="180" t="n">
        <f aca="false">BG147+AZ148-BA148</f>
        <v>150000</v>
      </c>
      <c r="BH148" s="180" t="n">
        <f aca="false">BH147+BE148</f>
        <v>0</v>
      </c>
      <c r="BI148" s="180" t="n">
        <f aca="false">BF148+BH148-BG148</f>
        <v>164301.427779468</v>
      </c>
      <c r="BJ148" s="180" t="n">
        <f aca="false">MAX(0,IFERROR(INDEX(TAB_IR,MATCH($C148,TAB_IR_DIAS,1),MATCH($E$8,TAB_IR_REGIMES,0)),0)*IF($E$26=2,BF148,MAX(0,BI148))-BH148)</f>
        <v>32860.2855558936</v>
      </c>
      <c r="BK148" s="181" t="n">
        <f aca="false">MAX(0,BF148-BJ148-BF148*$E$25)</f>
        <v>281441.142223574</v>
      </c>
      <c r="BL148" s="180" t="n">
        <f aca="false">BK148/$D148</f>
        <v>211785.330382265</v>
      </c>
      <c r="BN148" s="180" t="n">
        <f aca="false">BU147</f>
        <v>311640.409680366</v>
      </c>
      <c r="BO148" s="180" t="n">
        <f aca="false">IF($F$9=0,0,IF($A148&gt;IN_PRAZO,0,IF(APORTE_CORRIGIDO="Sim",IN_APORTE*$D148,IN_APORTE))+IF(AND($F$35=1,PGBL_REINVESTE="Sim",$A148&gt;=13,$A148&lt;=IN_PRAZO,MONTH($B148)=5),PGBL_BENEFICIO,0))</f>
        <v>0</v>
      </c>
      <c r="BP148" s="180" t="n">
        <f aca="false">BO148*$F$24</f>
        <v>0</v>
      </c>
      <c r="BQ148" s="180" t="n">
        <f aca="false">BN148*$F$19</f>
        <v>3050.56861120228</v>
      </c>
      <c r="BR148" s="180" t="n">
        <f aca="false">BN148*$F$22</f>
        <v>389.550512100458</v>
      </c>
      <c r="BS148" s="180" t="n">
        <f aca="false">$F$23*MAX(0,BQ148-BN148*$F$18)</f>
        <v>0</v>
      </c>
      <c r="BT148" s="180" t="n">
        <f aca="false">IF(AND($F$27=1,OR(MONTH($B148)=5,MONTH($B148)=11)),MAX(0,$F$28*MAX(0,(BN148+BQ148-BR148-BS148+BO148-BP148)+BW147-BV148)-BW147),0)</f>
        <v>0</v>
      </c>
      <c r="BU148" s="181" t="n">
        <f aca="false">BN148+BQ148-BR148-BS148+BO148-BP148-BT148</f>
        <v>314301.427779468</v>
      </c>
      <c r="BV148" s="180" t="n">
        <f aca="false">BV147+BO148-BP148</f>
        <v>150000</v>
      </c>
      <c r="BW148" s="180" t="n">
        <f aca="false">BW147+BT148</f>
        <v>0</v>
      </c>
      <c r="BX148" s="180" t="n">
        <f aca="false">BU148+BW148-BV148</f>
        <v>164301.427779468</v>
      </c>
      <c r="BY148" s="180" t="n">
        <f aca="false">MAX(0,IFERROR(INDEX(TAB_IR,MATCH($C148,TAB_IR_DIAS,1),MATCH($F$8,TAB_IR_REGIMES,0)),0)*IF($F$26=2,BU148,MAX(0,BX148))-BW148)</f>
        <v>62860.2855558936</v>
      </c>
      <c r="BZ148" s="181" t="n">
        <f aca="false">MAX(0,BU148-BY148-BU148*$F$25)</f>
        <v>251441.142223574</v>
      </c>
      <c r="CA148" s="180" t="n">
        <f aca="false">BZ148/$D148</f>
        <v>189210.237553724</v>
      </c>
      <c r="CC148" s="180" t="n">
        <f aca="false">CJ147</f>
        <v>257530.104645917</v>
      </c>
      <c r="CD148" s="180" t="n">
        <f aca="false">IF($G$9=0,0,IF($A148&gt;IN_PRAZO,0,IF(APORTE_CORRIGIDO="Sim",IN_APORTE*$D148,IN_APORTE))+IF(AND($G$35=1,PGBL_REINVESTE="Sim",$A148&gt;=13,$A148&lt;=IN_PRAZO,MONTH($B148)=5),PGBL_BENEFICIO,0))</f>
        <v>0</v>
      </c>
      <c r="CE148" s="180" t="n">
        <f aca="false">CD148*$G$24</f>
        <v>0</v>
      </c>
      <c r="CF148" s="180" t="n">
        <f aca="false">CC148*$G$19</f>
        <v>2100.73112156197</v>
      </c>
      <c r="CG148" s="180" t="n">
        <f aca="false">CC148*$G$22</f>
        <v>214.608420538264</v>
      </c>
      <c r="CH148" s="180" t="n">
        <f aca="false">$G$23*MAX(0,CF148-CC148*$G$18)</f>
        <v>0</v>
      </c>
      <c r="CI148" s="180" t="n">
        <f aca="false">IF(AND($G$27=1,OR(MONTH($B148)=5,MONTH($B148)=11)),MAX(0,$G$28*MAX(0,(CC148+CF148-CG148-CH148+CD148-CE148)+CL147-CK148)-CL147),0)</f>
        <v>1666.95293905877</v>
      </c>
      <c r="CJ148" s="181" t="n">
        <f aca="false">CC148+CF148-CG148-CH148+CD148-CE148-CI148</f>
        <v>257749.274407882</v>
      </c>
      <c r="CK148" s="180" t="n">
        <f aca="false">CK147+CD148-CE148</f>
        <v>150000</v>
      </c>
      <c r="CL148" s="180" t="n">
        <f aca="false">CL147+CI148</f>
        <v>19014.5778366851</v>
      </c>
      <c r="CM148" s="180" t="n">
        <f aca="false">CJ148+CL148-CK148</f>
        <v>126763.852244567</v>
      </c>
      <c r="CN148" s="180" t="n">
        <f aca="false">MAX(0,IFERROR(INDEX(TAB_IR,MATCH($C148,TAB_IR_DIAS,1),MATCH($G$8,TAB_IR_REGIMES,0)),0)*IF($G$26=2,CJ148,MAX(0,CM148))-CL148)</f>
        <v>0</v>
      </c>
      <c r="CO148" s="181" t="n">
        <f aca="false">MAX(0,CJ148-CN148-CJ148*$G$25)</f>
        <v>257749.274407882</v>
      </c>
      <c r="CP148" s="180" t="n">
        <f aca="false">CO148/$D148</f>
        <v>193957.126541572</v>
      </c>
    </row>
    <row r="149" customFormat="false" ht="12" hidden="false" customHeight="true" outlineLevel="0" collapsed="false">
      <c r="A149" s="177" t="n">
        <v>88</v>
      </c>
      <c r="B149" s="178" t="n">
        <f aca="false">EDATE(DATA_INICIO,$A149)</f>
        <v>48936</v>
      </c>
      <c r="C149" s="177" t="n">
        <f aca="false">$A149*30</f>
        <v>2640</v>
      </c>
      <c r="D149" s="179" t="n">
        <f aca="false">(1+IPCA_CENARIO)^($A149/12)</f>
        <v>1.33324865691861</v>
      </c>
      <c r="F149" s="180" t="n">
        <f aca="false">M148</f>
        <v>336266.288354891</v>
      </c>
      <c r="G149" s="180" t="n">
        <f aca="false">IF($B$9=0,0,IF($A149&gt;IN_PRAZO,0,IF(APORTE_CORRIGIDO="Sim",IN_APORTE*$D149,IN_APORTE))+IF(AND($B$35=1,PGBL_REINVESTE="Sim",$A149&gt;=13,$A149&lt;=IN_PRAZO,MONTH($B149)=5),PGBL_BENEFICIO,0))</f>
        <v>0</v>
      </c>
      <c r="H149" s="180" t="n">
        <f aca="false">G149*$B$24</f>
        <v>0</v>
      </c>
      <c r="I149" s="180" t="n">
        <f aca="false">F149*$B$19</f>
        <v>3190.76118108036</v>
      </c>
      <c r="J149" s="180" t="n">
        <f aca="false">F149*$B$22</f>
        <v>56.0443813924819</v>
      </c>
      <c r="K149" s="180" t="n">
        <f aca="false">$B$23*MAX(0,I149-F149*$B$18)</f>
        <v>0</v>
      </c>
      <c r="L149" s="180" t="n">
        <f aca="false">IF(AND($B$27=1,OR(MONTH($B149)=5,MONTH($B149)=11)),MAX(0,$B$28*MAX(0,(F149+I149-J149-K149+G149-H149)+O148-N149)-O148),0)</f>
        <v>0</v>
      </c>
      <c r="M149" s="181" t="n">
        <f aca="false">F149+I149-J149-K149+G149-H149-L149</f>
        <v>339401.005154579</v>
      </c>
      <c r="N149" s="180" t="n">
        <f aca="false">N148+G149-H149</f>
        <v>150000</v>
      </c>
      <c r="O149" s="180" t="n">
        <f aca="false">O148+L149</f>
        <v>0</v>
      </c>
      <c r="P149" s="180" t="n">
        <f aca="false">M149+O149-N149</f>
        <v>189401.005154579</v>
      </c>
      <c r="Q149" s="180" t="n">
        <f aca="false">MAX(0,IFERROR(INDEX(TAB_IR,MATCH($C149,TAB_IR_DIAS,1),MATCH($B$8,TAB_IR_REGIMES,0)),0)*IF($B$26=2,M149,MAX(0,P149))-O149)</f>
        <v>28410.1507731869</v>
      </c>
      <c r="R149" s="181" t="n">
        <f aca="false">MAX(0,M149-Q149-M149*$B$25)</f>
        <v>310990.854381392</v>
      </c>
      <c r="S149" s="180" t="n">
        <f aca="false">R149/$D149</f>
        <v>233257.954371506</v>
      </c>
      <c r="U149" s="180" t="n">
        <f aca="false">AB148</f>
        <v>299780.692434165</v>
      </c>
      <c r="V149" s="180" t="n">
        <f aca="false">IF($C$9=0,0,IF($A149&gt;IN_PRAZO,0,IF(APORTE_CORRIGIDO="Sim",IN_APORTE*$D149,IN_APORTE))+IF(AND($C$35=1,PGBL_REINVESTE="Sim",$A149&gt;=13,$A149&lt;=IN_PRAZO,MONTH($B149)=5),PGBL_BENEFICIO,0))</f>
        <v>0</v>
      </c>
      <c r="W149" s="180" t="n">
        <f aca="false">V149*$C$24</f>
        <v>0</v>
      </c>
      <c r="X149" s="180" t="n">
        <f aca="false">U149*$C$19</f>
        <v>2445.37869118531</v>
      </c>
      <c r="Y149" s="180" t="n">
        <f aca="false">U149*$C$22</f>
        <v>49.9634487390276</v>
      </c>
      <c r="Z149" s="180" t="n">
        <f aca="false">$C$23*MAX(0,X149-U149*$C$18)</f>
        <v>0</v>
      </c>
      <c r="AA149" s="180" t="n">
        <f aca="false">IF(AND($C$27=1,OR(MONTH($B149)=5,MONTH($B149)=11)),MAX(0,$C$28*MAX(0,(U149+X149-Y149-Z149+V149-W149)+AD148-AC149)-AD148),0)</f>
        <v>0</v>
      </c>
      <c r="AB149" s="181" t="n">
        <f aca="false">U149+X149-Y149-Z149+V149-W149-AA149</f>
        <v>302176.107676612</v>
      </c>
      <c r="AC149" s="180" t="n">
        <f aca="false">AC148+V149-W149</f>
        <v>150000</v>
      </c>
      <c r="AD149" s="180" t="n">
        <f aca="false">AD148+AA149</f>
        <v>0</v>
      </c>
      <c r="AE149" s="180" t="n">
        <f aca="false">AB149+AD149-AC149</f>
        <v>152176.107676612</v>
      </c>
      <c r="AF149" s="180" t="n">
        <f aca="false">MAX(0,IFERROR(INDEX(TAB_IR,MATCH($C149,TAB_IR_DIAS,1),MATCH($C$8,TAB_IR_REGIMES,0)),0)*IF($C$26=2,AB149,MAX(0,AE149))-AD149)</f>
        <v>22826.4161514918</v>
      </c>
      <c r="AG149" s="181" t="n">
        <f aca="false">MAX(0,AB149-AF149-AB149*$C$25)</f>
        <v>279349.69152512</v>
      </c>
      <c r="AH149" s="180" t="n">
        <f aca="false">AG149/$D149</f>
        <v>209525.575049706</v>
      </c>
      <c r="AJ149" s="180" t="n">
        <f aca="false">AQ148</f>
        <v>274077.749745704</v>
      </c>
      <c r="AK149" s="180" t="n">
        <f aca="false">IF($D$9=0,0,IF($A149&gt;IN_PRAZO,0,IF(APORTE_CORRIGIDO="Sim",IN_APORTE*$D149,IN_APORTE))+IF(AND($D$35=1,PGBL_REINVESTE="Sim",$A149&gt;=13,$A149&lt;=IN_PRAZO,MONTH($B149)=5),PGBL_BENEFICIO,0))</f>
        <v>0</v>
      </c>
      <c r="AL149" s="180" t="n">
        <f aca="false">AK149*$D$24</f>
        <v>0</v>
      </c>
      <c r="AM149" s="180" t="n">
        <f aca="false">AJ149*$D$19</f>
        <v>2463.60186048544</v>
      </c>
      <c r="AN149" s="180" t="n">
        <f aca="false">AJ149*$D$22</f>
        <v>228.398124788087</v>
      </c>
      <c r="AO149" s="180" t="n">
        <f aca="false">$D$23*MAX(0,AM149-AJ149*$D$18)</f>
        <v>0</v>
      </c>
      <c r="AP149" s="180" t="n">
        <f aca="false">IF(AND($D$27=1,OR(MONTH($B149)=5,MONTH($B149)=11)),MAX(0,$D$28*MAX(0,(AJ149+AM149-AN149-AO149+AK149-AL149)+AS148-AR149)-AS148),0)</f>
        <v>0</v>
      </c>
      <c r="AQ149" s="181" t="n">
        <f aca="false">AJ149+AM149-AN149-AO149+AK149-AL149-AP149</f>
        <v>276312.953481401</v>
      </c>
      <c r="AR149" s="180" t="n">
        <f aca="false">AR148+AK149-AL149</f>
        <v>150000</v>
      </c>
      <c r="AS149" s="180" t="n">
        <f aca="false">AS148+AP149</f>
        <v>21896.073484536</v>
      </c>
      <c r="AT149" s="180" t="n">
        <f aca="false">AQ149+AS149-AR149</f>
        <v>148209.026965937</v>
      </c>
      <c r="AU149" s="180" t="n">
        <f aca="false">MAX(0,IFERROR(INDEX(TAB_IR,MATCH($C149,TAB_IR_DIAS,1),MATCH($D$8,TAB_IR_REGIMES,0)),0)*IF($D$26=2,AQ149,MAX(0,AT149))-AS149)</f>
        <v>335.280560354597</v>
      </c>
      <c r="AV149" s="181" t="n">
        <f aca="false">MAX(0,AQ149-AU149-AQ149*$D$25)</f>
        <v>275977.672921047</v>
      </c>
      <c r="AW149" s="180" t="n">
        <f aca="false">AV149/$D149</f>
        <v>206996.400475575</v>
      </c>
      <c r="AY149" s="180" t="n">
        <f aca="false">BF148</f>
        <v>314301.427779468</v>
      </c>
      <c r="AZ149" s="180" t="n">
        <f aca="false">IF($E$9=0,0,IF($A149&gt;IN_PRAZO,0,IF(APORTE_CORRIGIDO="Sim",IN_APORTE*$D149,IN_APORTE))+IF(AND($E$35=1,PGBL_REINVESTE="Sim",$A149&gt;=13,$A149&lt;=IN_PRAZO,MONTH($B149)=5),PGBL_BENEFICIO,0))</f>
        <v>0</v>
      </c>
      <c r="BA149" s="180" t="n">
        <f aca="false">AZ149*$E$24</f>
        <v>0</v>
      </c>
      <c r="BB149" s="180" t="n">
        <f aca="false">AY149*$E$19</f>
        <v>3076.61663974674</v>
      </c>
      <c r="BC149" s="180" t="n">
        <f aca="false">AY149*$E$22</f>
        <v>392.876784724335</v>
      </c>
      <c r="BD149" s="180" t="n">
        <f aca="false">$E$23*MAX(0,BB149-AY149*$E$18)</f>
        <v>0</v>
      </c>
      <c r="BE149" s="180" t="n">
        <f aca="false">IF(AND($E$27=1,OR(MONTH($B149)=5,MONTH($B149)=11)),MAX(0,$E$28*MAX(0,(AY149+BB149-BC149-BD149+AZ149-BA149)+BH148-BG149)-BH148),0)</f>
        <v>0</v>
      </c>
      <c r="BF149" s="181" t="n">
        <f aca="false">AY149+BB149-BC149-BD149+AZ149-BA149-BE149</f>
        <v>316985.16763449</v>
      </c>
      <c r="BG149" s="180" t="n">
        <f aca="false">BG148+AZ149-BA149</f>
        <v>150000</v>
      </c>
      <c r="BH149" s="180" t="n">
        <f aca="false">BH148+BE149</f>
        <v>0</v>
      </c>
      <c r="BI149" s="180" t="n">
        <f aca="false">BF149+BH149-BG149</f>
        <v>166985.16763449</v>
      </c>
      <c r="BJ149" s="180" t="n">
        <f aca="false">MAX(0,IFERROR(INDEX(TAB_IR,MATCH($C149,TAB_IR_DIAS,1),MATCH($E$8,TAB_IR_REGIMES,0)),0)*IF($E$26=2,BF149,MAX(0,BI149))-BH149)</f>
        <v>33397.0335268981</v>
      </c>
      <c r="BK149" s="181" t="n">
        <f aca="false">MAX(0,BF149-BJ149-BF149*$E$25)</f>
        <v>283588.134107592</v>
      </c>
      <c r="BL149" s="180" t="n">
        <f aca="false">BK149/$D149</f>
        <v>212704.608878451</v>
      </c>
      <c r="BN149" s="180" t="n">
        <f aca="false">BU148</f>
        <v>314301.427779468</v>
      </c>
      <c r="BO149" s="180" t="n">
        <f aca="false">IF($F$9=0,0,IF($A149&gt;IN_PRAZO,0,IF(APORTE_CORRIGIDO="Sim",IN_APORTE*$D149,IN_APORTE))+IF(AND($F$35=1,PGBL_REINVESTE="Sim",$A149&gt;=13,$A149&lt;=IN_PRAZO,MONTH($B149)=5),PGBL_BENEFICIO,0))</f>
        <v>0</v>
      </c>
      <c r="BP149" s="180" t="n">
        <f aca="false">BO149*$F$24</f>
        <v>0</v>
      </c>
      <c r="BQ149" s="180" t="n">
        <f aca="false">BN149*$F$19</f>
        <v>3076.61663974674</v>
      </c>
      <c r="BR149" s="180" t="n">
        <f aca="false">BN149*$F$22</f>
        <v>392.876784724335</v>
      </c>
      <c r="BS149" s="180" t="n">
        <f aca="false">$F$23*MAX(0,BQ149-BN149*$F$18)</f>
        <v>0</v>
      </c>
      <c r="BT149" s="180" t="n">
        <f aca="false">IF(AND($F$27=1,OR(MONTH($B149)=5,MONTH($B149)=11)),MAX(0,$F$28*MAX(0,(BN149+BQ149-BR149-BS149+BO149-BP149)+BW148-BV149)-BW148),0)</f>
        <v>0</v>
      </c>
      <c r="BU149" s="181" t="n">
        <f aca="false">BN149+BQ149-BR149-BS149+BO149-BP149-BT149</f>
        <v>316985.16763449</v>
      </c>
      <c r="BV149" s="180" t="n">
        <f aca="false">BV148+BO149-BP149</f>
        <v>150000</v>
      </c>
      <c r="BW149" s="180" t="n">
        <f aca="false">BW148+BT149</f>
        <v>0</v>
      </c>
      <c r="BX149" s="180" t="n">
        <f aca="false">BU149+BW149-BV149</f>
        <v>166985.16763449</v>
      </c>
      <c r="BY149" s="180" t="n">
        <f aca="false">MAX(0,IFERROR(INDEX(TAB_IR,MATCH($C149,TAB_IR_DIAS,1),MATCH($F$8,TAB_IR_REGIMES,0)),0)*IF($F$26=2,BU149,MAX(0,BX149))-BW149)</f>
        <v>63397.0335268981</v>
      </c>
      <c r="BZ149" s="181" t="n">
        <f aca="false">MAX(0,BU149-BY149-BU149*$F$25)</f>
        <v>253588.134107592</v>
      </c>
      <c r="CA149" s="180" t="n">
        <f aca="false">BZ149/$D149</f>
        <v>190203.1798732</v>
      </c>
      <c r="CC149" s="180" t="n">
        <f aca="false">CJ148</f>
        <v>257749.274407882</v>
      </c>
      <c r="CD149" s="180" t="n">
        <f aca="false">IF($G$9=0,0,IF($A149&gt;IN_PRAZO,0,IF(APORTE_CORRIGIDO="Sim",IN_APORTE*$D149,IN_APORTE))+IF(AND($G$35=1,PGBL_REINVESTE="Sim",$A149&gt;=13,$A149&lt;=IN_PRAZO,MONTH($B149)=5),PGBL_BENEFICIO,0))</f>
        <v>0</v>
      </c>
      <c r="CE149" s="180" t="n">
        <f aca="false">CD149*$G$24</f>
        <v>0</v>
      </c>
      <c r="CF149" s="180" t="n">
        <f aca="false">CC149*$G$19</f>
        <v>2102.51893872027</v>
      </c>
      <c r="CG149" s="180" t="n">
        <f aca="false">CC149*$G$22</f>
        <v>214.791062006569</v>
      </c>
      <c r="CH149" s="180" t="n">
        <f aca="false">$G$23*MAX(0,CF149-CC149*$G$18)</f>
        <v>0</v>
      </c>
      <c r="CI149" s="180" t="n">
        <f aca="false">IF(AND($G$27=1,OR(MONTH($B149)=5,MONTH($B149)=11)),MAX(0,$G$28*MAX(0,(CC149+CF149-CG149-CH149+CD149-CE149)+CL148-CK149)-CL148),0)</f>
        <v>0</v>
      </c>
      <c r="CJ149" s="181" t="n">
        <f aca="false">CC149+CF149-CG149-CH149+CD149-CE149-CI149</f>
        <v>259637.002284596</v>
      </c>
      <c r="CK149" s="180" t="n">
        <f aca="false">CK148+CD149-CE149</f>
        <v>150000</v>
      </c>
      <c r="CL149" s="180" t="n">
        <f aca="false">CL148+CI149</f>
        <v>19014.5778366851</v>
      </c>
      <c r="CM149" s="180" t="n">
        <f aca="false">CJ149+CL149-CK149</f>
        <v>128651.580121281</v>
      </c>
      <c r="CN149" s="180" t="n">
        <f aca="false">MAX(0,IFERROR(INDEX(TAB_IR,MATCH($C149,TAB_IR_DIAS,1),MATCH($G$8,TAB_IR_REGIMES,0)),0)*IF($G$26=2,CJ149,MAX(0,CM149))-CL149)</f>
        <v>283.15918150705</v>
      </c>
      <c r="CO149" s="181" t="n">
        <f aca="false">MAX(0,CJ149-CN149-CJ149*$G$25)</f>
        <v>259353.843103089</v>
      </c>
      <c r="CP149" s="180" t="n">
        <f aca="false">CO149/$D149</f>
        <v>194527.73626077</v>
      </c>
    </row>
    <row r="150" customFormat="false" ht="12" hidden="false" customHeight="true" outlineLevel="0" collapsed="false">
      <c r="A150" s="177" t="n">
        <v>89</v>
      </c>
      <c r="B150" s="178" t="n">
        <f aca="false">EDATE(DATA_INICIO,$A150)</f>
        <v>48967</v>
      </c>
      <c r="C150" s="177" t="n">
        <f aca="false">$A150*30</f>
        <v>2670</v>
      </c>
      <c r="D150" s="179" t="n">
        <f aca="false">(1+IPCA_CENARIO)^($A150/12)</f>
        <v>1.33761336608633</v>
      </c>
      <c r="F150" s="180" t="n">
        <f aca="false">M149</f>
        <v>339401.005154579</v>
      </c>
      <c r="G150" s="180" t="n">
        <f aca="false">IF($B$9=0,0,IF($A150&gt;IN_PRAZO,0,IF(APORTE_CORRIGIDO="Sim",IN_APORTE*$D150,IN_APORTE))+IF(AND($B$35=1,PGBL_REINVESTE="Sim",$A150&gt;=13,$A150&lt;=IN_PRAZO,MONTH($B150)=5),PGBL_BENEFICIO,0))</f>
        <v>0</v>
      </c>
      <c r="H150" s="180" t="n">
        <f aca="false">G150*$B$24</f>
        <v>0</v>
      </c>
      <c r="I150" s="180" t="n">
        <f aca="false">F150*$B$19</f>
        <v>3220.50585970116</v>
      </c>
      <c r="J150" s="180" t="n">
        <f aca="false">F150*$B$22</f>
        <v>56.5668341924299</v>
      </c>
      <c r="K150" s="180" t="n">
        <f aca="false">$B$23*MAX(0,I150-F150*$B$18)</f>
        <v>0</v>
      </c>
      <c r="L150" s="180" t="n">
        <f aca="false">IF(AND($B$27=1,OR(MONTH($B150)=5,MONTH($B150)=11)),MAX(0,$B$28*MAX(0,(F150+I150-J150-K150+G150-H150)+O149-N150)-O149),0)</f>
        <v>0</v>
      </c>
      <c r="M150" s="181" t="n">
        <f aca="false">F150+I150-J150-K150+G150-H150-L150</f>
        <v>342564.944180088</v>
      </c>
      <c r="N150" s="180" t="n">
        <f aca="false">N149+G150-H150</f>
        <v>150000</v>
      </c>
      <c r="O150" s="180" t="n">
        <f aca="false">O149+L150</f>
        <v>0</v>
      </c>
      <c r="P150" s="180" t="n">
        <f aca="false">M150+O150-N150</f>
        <v>192564.944180088</v>
      </c>
      <c r="Q150" s="180" t="n">
        <f aca="false">MAX(0,IFERROR(INDEX(TAB_IR,MATCH($C150,TAB_IR_DIAS,1),MATCH($B$8,TAB_IR_REGIMES,0)),0)*IF($B$26=2,M150,MAX(0,P150))-O150)</f>
        <v>28884.7416270132</v>
      </c>
      <c r="R150" s="181" t="n">
        <f aca="false">MAX(0,M150-Q150-M150*$B$25)</f>
        <v>313680.202553075</v>
      </c>
      <c r="S150" s="180" t="n">
        <f aca="false">R150/$D150</f>
        <v>234507.377472505</v>
      </c>
      <c r="U150" s="180" t="n">
        <f aca="false">AB149</f>
        <v>302176.107676612</v>
      </c>
      <c r="V150" s="180" t="n">
        <f aca="false">IF($C$9=0,0,IF($A150&gt;IN_PRAZO,0,IF(APORTE_CORRIGIDO="Sim",IN_APORTE*$D150,IN_APORTE))+IF(AND($C$35=1,PGBL_REINVESTE="Sim",$A150&gt;=13,$A150&lt;=IN_PRAZO,MONTH($B150)=5),PGBL_BENEFICIO,0))</f>
        <v>0</v>
      </c>
      <c r="W150" s="180" t="n">
        <f aca="false">V150*$C$24</f>
        <v>0</v>
      </c>
      <c r="X150" s="180" t="n">
        <f aca="false">U150*$C$19</f>
        <v>2464.91863334387</v>
      </c>
      <c r="Y150" s="180" t="n">
        <f aca="false">U150*$C$22</f>
        <v>50.3626846127686</v>
      </c>
      <c r="Z150" s="180" t="n">
        <f aca="false">$C$23*MAX(0,X150-U150*$C$18)</f>
        <v>0</v>
      </c>
      <c r="AA150" s="180" t="n">
        <f aca="false">IF(AND($C$27=1,OR(MONTH($B150)=5,MONTH($B150)=11)),MAX(0,$C$28*MAX(0,(U150+X150-Y150-Z150+V150-W150)+AD149-AC150)-AD149),0)</f>
        <v>0</v>
      </c>
      <c r="AB150" s="181" t="n">
        <f aca="false">U150+X150-Y150-Z150+V150-W150-AA150</f>
        <v>304590.663625343</v>
      </c>
      <c r="AC150" s="180" t="n">
        <f aca="false">AC149+V150-W150</f>
        <v>150000</v>
      </c>
      <c r="AD150" s="180" t="n">
        <f aca="false">AD149+AA150</f>
        <v>0</v>
      </c>
      <c r="AE150" s="180" t="n">
        <f aca="false">AB150+AD150-AC150</f>
        <v>154590.663625343</v>
      </c>
      <c r="AF150" s="180" t="n">
        <f aca="false">MAX(0,IFERROR(INDEX(TAB_IR,MATCH($C150,TAB_IR_DIAS,1),MATCH($C$8,TAB_IR_REGIMES,0)),0)*IF($C$26=2,AB150,MAX(0,AE150))-AD150)</f>
        <v>23188.5995438014</v>
      </c>
      <c r="AG150" s="181" t="n">
        <f aca="false">MAX(0,AB150-AF150-AB150*$C$25)</f>
        <v>281402.064081541</v>
      </c>
      <c r="AH150" s="180" t="n">
        <f aca="false">AG150/$D150</f>
        <v>210376.235178395</v>
      </c>
      <c r="AJ150" s="180" t="n">
        <f aca="false">AQ149</f>
        <v>276312.953481401</v>
      </c>
      <c r="AK150" s="180" t="n">
        <f aca="false">IF($D$9=0,0,IF($A150&gt;IN_PRAZO,0,IF(APORTE_CORRIGIDO="Sim",IN_APORTE*$D150,IN_APORTE))+IF(AND($D$35=1,PGBL_REINVESTE="Sim",$A150&gt;=13,$A150&lt;=IN_PRAZO,MONTH($B150)=5),PGBL_BENEFICIO,0))</f>
        <v>0</v>
      </c>
      <c r="AL150" s="180" t="n">
        <f aca="false">AK150*$D$24</f>
        <v>0</v>
      </c>
      <c r="AM150" s="180" t="n">
        <f aca="false">AJ150*$D$19</f>
        <v>2483.69342970964</v>
      </c>
      <c r="AN150" s="180" t="n">
        <f aca="false">AJ150*$D$22</f>
        <v>230.260794567834</v>
      </c>
      <c r="AO150" s="180" t="n">
        <f aca="false">$D$23*MAX(0,AM150-AJ150*$D$18)</f>
        <v>0</v>
      </c>
      <c r="AP150" s="180" t="n">
        <f aca="false">IF(AND($D$27=1,OR(MONTH($B150)=5,MONTH($B150)=11)),MAX(0,$D$28*MAX(0,(AJ150+AM150-AN150-AO150+AK150-AL150)+AS149-AR150)-AS149),0)</f>
        <v>0</v>
      </c>
      <c r="AQ150" s="181" t="n">
        <f aca="false">AJ150+AM150-AN150-AO150+AK150-AL150-AP150</f>
        <v>278566.386116543</v>
      </c>
      <c r="AR150" s="180" t="n">
        <f aca="false">AR149+AK150-AL150</f>
        <v>150000</v>
      </c>
      <c r="AS150" s="180" t="n">
        <f aca="false">AS149+AP150</f>
        <v>21896.073484536</v>
      </c>
      <c r="AT150" s="180" t="n">
        <f aca="false">AQ150+AS150-AR150</f>
        <v>150462.459601079</v>
      </c>
      <c r="AU150" s="180" t="n">
        <f aca="false">MAX(0,IFERROR(INDEX(TAB_IR,MATCH($C150,TAB_IR_DIAS,1),MATCH($D$8,TAB_IR_REGIMES,0)),0)*IF($D$26=2,AQ150,MAX(0,AT150))-AS150)</f>
        <v>673.29545562587</v>
      </c>
      <c r="AV150" s="181" t="n">
        <f aca="false">MAX(0,AQ150-AU150-AQ150*$D$25)</f>
        <v>277893.090660917</v>
      </c>
      <c r="AW150" s="180" t="n">
        <f aca="false">AV150/$D150</f>
        <v>207752.925999831</v>
      </c>
      <c r="AY150" s="180" t="n">
        <f aca="false">BF149</f>
        <v>316985.16763449</v>
      </c>
      <c r="AZ150" s="180" t="n">
        <f aca="false">IF($E$9=0,0,IF($A150&gt;IN_PRAZO,0,IF(APORTE_CORRIGIDO="Sim",IN_APORTE*$D150,IN_APORTE))+IF(AND($E$35=1,PGBL_REINVESTE="Sim",$A150&gt;=13,$A150&lt;=IN_PRAZO,MONTH($B150)=5),PGBL_BENEFICIO,0))</f>
        <v>0</v>
      </c>
      <c r="BA150" s="180" t="n">
        <f aca="false">AZ150*$E$24</f>
        <v>0</v>
      </c>
      <c r="BB150" s="180" t="n">
        <f aca="false">AY150*$E$19</f>
        <v>3102.88708577382</v>
      </c>
      <c r="BC150" s="180" t="n">
        <f aca="false">AY150*$E$22</f>
        <v>396.231459543113</v>
      </c>
      <c r="BD150" s="180" t="n">
        <f aca="false">$E$23*MAX(0,BB150-AY150*$E$18)</f>
        <v>0</v>
      </c>
      <c r="BE150" s="180" t="n">
        <f aca="false">IF(AND($E$27=1,OR(MONTH($B150)=5,MONTH($B150)=11)),MAX(0,$E$28*MAX(0,(AY150+BB150-BC150-BD150+AZ150-BA150)+BH149-BG150)-BH149),0)</f>
        <v>0</v>
      </c>
      <c r="BF150" s="181" t="n">
        <f aca="false">AY150+BB150-BC150-BD150+AZ150-BA150-BE150</f>
        <v>319691.823260721</v>
      </c>
      <c r="BG150" s="180" t="n">
        <f aca="false">BG149+AZ150-BA150</f>
        <v>150000</v>
      </c>
      <c r="BH150" s="180" t="n">
        <f aca="false">BH149+BE150</f>
        <v>0</v>
      </c>
      <c r="BI150" s="180" t="n">
        <f aca="false">BF150+BH150-BG150</f>
        <v>169691.823260721</v>
      </c>
      <c r="BJ150" s="180" t="n">
        <f aca="false">MAX(0,IFERROR(INDEX(TAB_IR,MATCH($C150,TAB_IR_DIAS,1),MATCH($E$8,TAB_IR_REGIMES,0)),0)*IF($E$26=2,BF150,MAX(0,BI150))-BH150)</f>
        <v>33938.3646521442</v>
      </c>
      <c r="BK150" s="181" t="n">
        <f aca="false">MAX(0,BF150-BJ150-BF150*$E$25)</f>
        <v>285753.458608577</v>
      </c>
      <c r="BL150" s="180" t="n">
        <f aca="false">BK150/$D150</f>
        <v>213629.338531995</v>
      </c>
      <c r="BN150" s="180" t="n">
        <f aca="false">BU149</f>
        <v>316985.16763449</v>
      </c>
      <c r="BO150" s="180" t="n">
        <f aca="false">IF($F$9=0,0,IF($A150&gt;IN_PRAZO,0,IF(APORTE_CORRIGIDO="Sim",IN_APORTE*$D150,IN_APORTE))+IF(AND($F$35=1,PGBL_REINVESTE="Sim",$A150&gt;=13,$A150&lt;=IN_PRAZO,MONTH($B150)=5),PGBL_BENEFICIO,0))</f>
        <v>0</v>
      </c>
      <c r="BP150" s="180" t="n">
        <f aca="false">BO150*$F$24</f>
        <v>0</v>
      </c>
      <c r="BQ150" s="180" t="n">
        <f aca="false">BN150*$F$19</f>
        <v>3102.88708577382</v>
      </c>
      <c r="BR150" s="180" t="n">
        <f aca="false">BN150*$F$22</f>
        <v>396.231459543113</v>
      </c>
      <c r="BS150" s="180" t="n">
        <f aca="false">$F$23*MAX(0,BQ150-BN150*$F$18)</f>
        <v>0</v>
      </c>
      <c r="BT150" s="180" t="n">
        <f aca="false">IF(AND($F$27=1,OR(MONTH($B150)=5,MONTH($B150)=11)),MAX(0,$F$28*MAX(0,(BN150+BQ150-BR150-BS150+BO150-BP150)+BW149-BV150)-BW149),0)</f>
        <v>0</v>
      </c>
      <c r="BU150" s="181" t="n">
        <f aca="false">BN150+BQ150-BR150-BS150+BO150-BP150-BT150</f>
        <v>319691.823260721</v>
      </c>
      <c r="BV150" s="180" t="n">
        <f aca="false">BV149+BO150-BP150</f>
        <v>150000</v>
      </c>
      <c r="BW150" s="180" t="n">
        <f aca="false">BW149+BT150</f>
        <v>0</v>
      </c>
      <c r="BX150" s="180" t="n">
        <f aca="false">BU150+BW150-BV150</f>
        <v>169691.823260721</v>
      </c>
      <c r="BY150" s="180" t="n">
        <f aca="false">MAX(0,IFERROR(INDEX(TAB_IR,MATCH($C150,TAB_IR_DIAS,1),MATCH($F$8,TAB_IR_REGIMES,0)),0)*IF($F$26=2,BU150,MAX(0,BX150))-BW150)</f>
        <v>63938.3646521442</v>
      </c>
      <c r="BZ150" s="181" t="n">
        <f aca="false">MAX(0,BU150-BY150-BU150*$F$25)</f>
        <v>255753.458608577</v>
      </c>
      <c r="CA150" s="180" t="n">
        <f aca="false">BZ150/$D150</f>
        <v>191201.332980753</v>
      </c>
      <c r="CC150" s="180" t="n">
        <f aca="false">CJ149</f>
        <v>259637.002284596</v>
      </c>
      <c r="CD150" s="180" t="n">
        <f aca="false">IF($G$9=0,0,IF($A150&gt;IN_PRAZO,0,IF(APORTE_CORRIGIDO="Sim",IN_APORTE*$D150,IN_APORTE))+IF(AND($G$35=1,PGBL_REINVESTE="Sim",$A150&gt;=13,$A150&lt;=IN_PRAZO,MONTH($B150)=5),PGBL_BENEFICIO,0))</f>
        <v>0</v>
      </c>
      <c r="CE150" s="180" t="n">
        <f aca="false">CD150*$G$24</f>
        <v>0</v>
      </c>
      <c r="CF150" s="180" t="n">
        <f aca="false">CC150*$G$19</f>
        <v>2117.91756058277</v>
      </c>
      <c r="CG150" s="180" t="n">
        <f aca="false">CC150*$G$22</f>
        <v>216.364168570497</v>
      </c>
      <c r="CH150" s="180" t="n">
        <f aca="false">$G$23*MAX(0,CF150-CC150*$G$18)</f>
        <v>0</v>
      </c>
      <c r="CI150" s="180" t="n">
        <f aca="false">IF(AND($G$27=1,OR(MONTH($B150)=5,MONTH($B150)=11)),MAX(0,$G$28*MAX(0,(CC150+CF150-CG150-CH150+CD150-CE150)+CL149-CK150)-CL149),0)</f>
        <v>0</v>
      </c>
      <c r="CJ150" s="181" t="n">
        <f aca="false">CC150+CF150-CG150-CH150+CD150-CE150-CI150</f>
        <v>261538.555676608</v>
      </c>
      <c r="CK150" s="180" t="n">
        <f aca="false">CK149+CD150-CE150</f>
        <v>150000</v>
      </c>
      <c r="CL150" s="180" t="n">
        <f aca="false">CL149+CI150</f>
        <v>19014.5778366851</v>
      </c>
      <c r="CM150" s="180" t="n">
        <f aca="false">CJ150+CL150-CK150</f>
        <v>130553.133513293</v>
      </c>
      <c r="CN150" s="180" t="n">
        <f aca="false">MAX(0,IFERROR(INDEX(TAB_IR,MATCH($C150,TAB_IR_DIAS,1),MATCH($G$8,TAB_IR_REGIMES,0)),0)*IF($G$26=2,CJ150,MAX(0,CM150))-CL150)</f>
        <v>568.392190308896</v>
      </c>
      <c r="CO150" s="181" t="n">
        <f aca="false">MAX(0,CJ150-CN150-CJ150*$G$25)</f>
        <v>260970.163486299</v>
      </c>
      <c r="CP150" s="180" t="n">
        <f aca="false">CO150/$D150</f>
        <v>195101.342512644</v>
      </c>
    </row>
    <row r="151" customFormat="false" ht="12" hidden="false" customHeight="true" outlineLevel="0" collapsed="false">
      <c r="A151" s="177" t="n">
        <v>90</v>
      </c>
      <c r="B151" s="178" t="n">
        <f aca="false">EDATE(DATA_INICIO,$A151)</f>
        <v>48998</v>
      </c>
      <c r="C151" s="177" t="n">
        <f aca="false">$A151*30</f>
        <v>2700</v>
      </c>
      <c r="D151" s="179" t="n">
        <f aca="false">(1+IPCA_CENARIO)^($A151/12)</f>
        <v>1.34199236417608</v>
      </c>
      <c r="F151" s="180" t="n">
        <f aca="false">M150</f>
        <v>342564.944180088</v>
      </c>
      <c r="G151" s="180" t="n">
        <f aca="false">IF($B$9=0,0,IF($A151&gt;IN_PRAZO,0,IF(APORTE_CORRIGIDO="Sim",IN_APORTE*$D151,IN_APORTE))+IF(AND($B$35=1,PGBL_REINVESTE="Sim",$A151&gt;=13,$A151&lt;=IN_PRAZO,MONTH($B151)=5),PGBL_BENEFICIO,0))</f>
        <v>0</v>
      </c>
      <c r="H151" s="180" t="n">
        <f aca="false">G151*$B$24</f>
        <v>0</v>
      </c>
      <c r="I151" s="180" t="n">
        <f aca="false">F151*$B$19</f>
        <v>3250.52782197185</v>
      </c>
      <c r="J151" s="180" t="n">
        <f aca="false">F151*$B$22</f>
        <v>57.094157363348</v>
      </c>
      <c r="K151" s="180" t="n">
        <f aca="false">$B$23*MAX(0,I151-F151*$B$18)</f>
        <v>0</v>
      </c>
      <c r="L151" s="180" t="n">
        <f aca="false">IF(AND($B$27=1,OR(MONTH($B151)=5,MONTH($B151)=11)),MAX(0,$B$28*MAX(0,(F151+I151-J151-K151+G151-H151)+O150-N151)-O150),0)</f>
        <v>0</v>
      </c>
      <c r="M151" s="181" t="n">
        <f aca="false">F151+I151-J151-K151+G151-H151-L151</f>
        <v>345758.377844696</v>
      </c>
      <c r="N151" s="180" t="n">
        <f aca="false">N150+G151-H151</f>
        <v>150000</v>
      </c>
      <c r="O151" s="180" t="n">
        <f aca="false">O150+L151</f>
        <v>0</v>
      </c>
      <c r="P151" s="180" t="n">
        <f aca="false">M151+O151-N151</f>
        <v>195758.377844696</v>
      </c>
      <c r="Q151" s="180" t="n">
        <f aca="false">MAX(0,IFERROR(INDEX(TAB_IR,MATCH($C151,TAB_IR_DIAS,1),MATCH($B$8,TAB_IR_REGIMES,0)),0)*IF($B$26=2,M151,MAX(0,P151))-O151)</f>
        <v>29363.7566767045</v>
      </c>
      <c r="R151" s="181" t="n">
        <f aca="false">MAX(0,M151-Q151-M151*$B$25)</f>
        <v>316394.621167992</v>
      </c>
      <c r="S151" s="180" t="n">
        <f aca="false">R151/$D151</f>
        <v>235764.844580351</v>
      </c>
      <c r="U151" s="180" t="n">
        <f aca="false">AB150</f>
        <v>304590.663625343</v>
      </c>
      <c r="V151" s="180" t="n">
        <f aca="false">IF($C$9=0,0,IF($A151&gt;IN_PRAZO,0,IF(APORTE_CORRIGIDO="Sim",IN_APORTE*$D151,IN_APORTE))+IF(AND($C$35=1,PGBL_REINVESTE="Sim",$A151&gt;=13,$A151&lt;=IN_PRAZO,MONTH($B151)=5),PGBL_BENEFICIO,0))</f>
        <v>0</v>
      </c>
      <c r="W151" s="180" t="n">
        <f aca="false">V151*$C$24</f>
        <v>0</v>
      </c>
      <c r="X151" s="180" t="n">
        <f aca="false">U151*$C$19</f>
        <v>2484.61471055871</v>
      </c>
      <c r="Y151" s="180" t="n">
        <f aca="false">U151*$C$22</f>
        <v>50.7651106042238</v>
      </c>
      <c r="Z151" s="180" t="n">
        <f aca="false">$C$23*MAX(0,X151-U151*$C$18)</f>
        <v>0</v>
      </c>
      <c r="AA151" s="180" t="n">
        <f aca="false">IF(AND($C$27=1,OR(MONTH($B151)=5,MONTH($B151)=11)),MAX(0,$C$28*MAX(0,(U151+X151-Y151-Z151+V151-W151)+AD150-AC151)-AD150),0)</f>
        <v>0</v>
      </c>
      <c r="AB151" s="181" t="n">
        <f aca="false">U151+X151-Y151-Z151+V151-W151-AA151</f>
        <v>307024.513225297</v>
      </c>
      <c r="AC151" s="180" t="n">
        <f aca="false">AC150+V151-W151</f>
        <v>150000</v>
      </c>
      <c r="AD151" s="180" t="n">
        <f aca="false">AD150+AA151</f>
        <v>0</v>
      </c>
      <c r="AE151" s="180" t="n">
        <f aca="false">AB151+AD151-AC151</f>
        <v>157024.513225297</v>
      </c>
      <c r="AF151" s="180" t="n">
        <f aca="false">MAX(0,IFERROR(INDEX(TAB_IR,MATCH($C151,TAB_IR_DIAS,1),MATCH($C$8,TAB_IR_REGIMES,0)),0)*IF($C$26=2,AB151,MAX(0,AE151))-AD151)</f>
        <v>23553.6769837946</v>
      </c>
      <c r="AG151" s="181" t="n">
        <f aca="false">MAX(0,AB151-AF151-AB151*$C$25)</f>
        <v>283470.836241503</v>
      </c>
      <c r="AH151" s="180" t="n">
        <f aca="false">AG151/$D151</f>
        <v>211231.333209217</v>
      </c>
      <c r="AJ151" s="180" t="n">
        <f aca="false">AQ150</f>
        <v>278566.386116543</v>
      </c>
      <c r="AK151" s="180" t="n">
        <f aca="false">IF($D$9=0,0,IF($A151&gt;IN_PRAZO,0,IF(APORTE_CORRIGIDO="Sim",IN_APORTE*$D151,IN_APORTE))+IF(AND($D$35=1,PGBL_REINVESTE="Sim",$A151&gt;=13,$A151&lt;=IN_PRAZO,MONTH($B151)=5),PGBL_BENEFICIO,0))</f>
        <v>0</v>
      </c>
      <c r="AL151" s="180" t="n">
        <f aca="false">AK151*$D$24</f>
        <v>0</v>
      </c>
      <c r="AM151" s="180" t="n">
        <f aca="false">AJ151*$D$19</f>
        <v>2503.94885298849</v>
      </c>
      <c r="AN151" s="180" t="n">
        <f aca="false">AJ151*$D$22</f>
        <v>232.138655097119</v>
      </c>
      <c r="AO151" s="180" t="n">
        <f aca="false">$D$23*MAX(0,AM151-AJ151*$D$18)</f>
        <v>0</v>
      </c>
      <c r="AP151" s="180" t="n">
        <f aca="false">IF(AND($D$27=1,OR(MONTH($B151)=5,MONTH($B151)=11)),MAX(0,$D$28*MAX(0,(AJ151+AM151-AN151-AO151+AK151-AL151)+AS150-AR151)-AS150),0)</f>
        <v>0</v>
      </c>
      <c r="AQ151" s="181" t="n">
        <f aca="false">AJ151+AM151-AN151-AO151+AK151-AL151-AP151</f>
        <v>280838.196314435</v>
      </c>
      <c r="AR151" s="180" t="n">
        <f aca="false">AR150+AK151-AL151</f>
        <v>150000</v>
      </c>
      <c r="AS151" s="180" t="n">
        <f aca="false">AS150+AP151</f>
        <v>21896.073484536</v>
      </c>
      <c r="AT151" s="180" t="n">
        <f aca="false">AQ151+AS151-AR151</f>
        <v>152734.269798971</v>
      </c>
      <c r="AU151" s="180" t="n">
        <f aca="false">MAX(0,IFERROR(INDEX(TAB_IR,MATCH($C151,TAB_IR_DIAS,1),MATCH($D$8,TAB_IR_REGIMES,0)),0)*IF($D$26=2,AQ151,MAX(0,AT151))-AS151)</f>
        <v>1014.06698530958</v>
      </c>
      <c r="AV151" s="181" t="n">
        <f aca="false">MAX(0,AQ151-AU151-AQ151*$D$25)</f>
        <v>279824.129329125</v>
      </c>
      <c r="AW151" s="180" t="n">
        <f aca="false">AV151/$D151</f>
        <v>208513.950450771</v>
      </c>
      <c r="AY151" s="180" t="n">
        <f aca="false">BF150</f>
        <v>319691.823260721</v>
      </c>
      <c r="AZ151" s="180" t="n">
        <f aca="false">IF($E$9=0,0,IF($A151&gt;IN_PRAZO,0,IF(APORTE_CORRIGIDO="Sim",IN_APORTE*$D151,IN_APORTE))+IF(AND($E$35=1,PGBL_REINVESTE="Sim",$A151&gt;=13,$A151&lt;=IN_PRAZO,MONTH($B151)=5),PGBL_BENEFICIO,0))</f>
        <v>0</v>
      </c>
      <c r="BA151" s="180" t="n">
        <f aca="false">AZ151*$E$24</f>
        <v>0</v>
      </c>
      <c r="BB151" s="180" t="n">
        <f aca="false">AY151*$E$19</f>
        <v>3129.38184844976</v>
      </c>
      <c r="BC151" s="180" t="n">
        <f aca="false">AY151*$E$22</f>
        <v>399.614779075902</v>
      </c>
      <c r="BD151" s="180" t="n">
        <f aca="false">$E$23*MAX(0,BB151-AY151*$E$18)</f>
        <v>0</v>
      </c>
      <c r="BE151" s="180" t="n">
        <f aca="false">IF(AND($E$27=1,OR(MONTH($B151)=5,MONTH($B151)=11)),MAX(0,$E$28*MAX(0,(AY151+BB151-BC151-BD151+AZ151-BA151)+BH150-BG151)-BH150),0)</f>
        <v>0</v>
      </c>
      <c r="BF151" s="181" t="n">
        <f aca="false">AY151+BB151-BC151-BD151+AZ151-BA151-BE151</f>
        <v>322421.590330095</v>
      </c>
      <c r="BG151" s="180" t="n">
        <f aca="false">BG150+AZ151-BA151</f>
        <v>150000</v>
      </c>
      <c r="BH151" s="180" t="n">
        <f aca="false">BH150+BE151</f>
        <v>0</v>
      </c>
      <c r="BI151" s="180" t="n">
        <f aca="false">BF151+BH151-BG151</f>
        <v>172421.590330095</v>
      </c>
      <c r="BJ151" s="180" t="n">
        <f aca="false">MAX(0,IFERROR(INDEX(TAB_IR,MATCH($C151,TAB_IR_DIAS,1),MATCH($E$8,TAB_IR_REGIMES,0)),0)*IF($E$26=2,BF151,MAX(0,BI151))-BH151)</f>
        <v>34484.318066019</v>
      </c>
      <c r="BK151" s="181" t="n">
        <f aca="false">MAX(0,BF151-BJ151-BF151*$E$25)</f>
        <v>287937.272264076</v>
      </c>
      <c r="BL151" s="180" t="n">
        <f aca="false">BK151/$D151</f>
        <v>214559.545903866</v>
      </c>
      <c r="BN151" s="180" t="n">
        <f aca="false">BU150</f>
        <v>319691.823260721</v>
      </c>
      <c r="BO151" s="180" t="n">
        <f aca="false">IF($F$9=0,0,IF($A151&gt;IN_PRAZO,0,IF(APORTE_CORRIGIDO="Sim",IN_APORTE*$D151,IN_APORTE))+IF(AND($F$35=1,PGBL_REINVESTE="Sim",$A151&gt;=13,$A151&lt;=IN_PRAZO,MONTH($B151)=5),PGBL_BENEFICIO,0))</f>
        <v>0</v>
      </c>
      <c r="BP151" s="180" t="n">
        <f aca="false">BO151*$F$24</f>
        <v>0</v>
      </c>
      <c r="BQ151" s="180" t="n">
        <f aca="false">BN151*$F$19</f>
        <v>3129.38184844976</v>
      </c>
      <c r="BR151" s="180" t="n">
        <f aca="false">BN151*$F$22</f>
        <v>399.614779075902</v>
      </c>
      <c r="BS151" s="180" t="n">
        <f aca="false">$F$23*MAX(0,BQ151-BN151*$F$18)</f>
        <v>0</v>
      </c>
      <c r="BT151" s="180" t="n">
        <f aca="false">IF(AND($F$27=1,OR(MONTH($B151)=5,MONTH($B151)=11)),MAX(0,$F$28*MAX(0,(BN151+BQ151-BR151-BS151+BO151-BP151)+BW150-BV151)-BW150),0)</f>
        <v>0</v>
      </c>
      <c r="BU151" s="181" t="n">
        <f aca="false">BN151+BQ151-BR151-BS151+BO151-BP151-BT151</f>
        <v>322421.590330095</v>
      </c>
      <c r="BV151" s="180" t="n">
        <f aca="false">BV150+BO151-BP151</f>
        <v>150000</v>
      </c>
      <c r="BW151" s="180" t="n">
        <f aca="false">BW150+BT151</f>
        <v>0</v>
      </c>
      <c r="BX151" s="180" t="n">
        <f aca="false">BU151+BW151-BV151</f>
        <v>172421.590330095</v>
      </c>
      <c r="BY151" s="180" t="n">
        <f aca="false">MAX(0,IFERROR(INDEX(TAB_IR,MATCH($C151,TAB_IR_DIAS,1),MATCH($F$8,TAB_IR_REGIMES,0)),0)*IF($F$26=2,BU151,MAX(0,BX151))-BW151)</f>
        <v>64484.318066019</v>
      </c>
      <c r="BZ151" s="181" t="n">
        <f aca="false">MAX(0,BU151-BY151-BU151*$F$25)</f>
        <v>257937.272264076</v>
      </c>
      <c r="CA151" s="180" t="n">
        <f aca="false">BZ151/$D151</f>
        <v>192204.724221688</v>
      </c>
      <c r="CC151" s="180" t="n">
        <f aca="false">CJ150</f>
        <v>261538.555676608</v>
      </c>
      <c r="CD151" s="180" t="n">
        <f aca="false">IF($G$9=0,0,IF($A151&gt;IN_PRAZO,0,IF(APORTE_CORRIGIDO="Sim",IN_APORTE*$D151,IN_APORTE))+IF(AND($G$35=1,PGBL_REINVESTE="Sim",$A151&gt;=13,$A151&lt;=IN_PRAZO,MONTH($B151)=5),PGBL_BENEFICIO,0))</f>
        <v>0</v>
      </c>
      <c r="CE151" s="180" t="n">
        <f aca="false">CD151*$G$24</f>
        <v>0</v>
      </c>
      <c r="CF151" s="180" t="n">
        <f aca="false">CC151*$G$19</f>
        <v>2133.42896029041</v>
      </c>
      <c r="CG151" s="180" t="n">
        <f aca="false">CC151*$G$22</f>
        <v>217.948796397174</v>
      </c>
      <c r="CH151" s="180" t="n">
        <f aca="false">$G$23*MAX(0,CF151-CC151*$G$18)</f>
        <v>0</v>
      </c>
      <c r="CI151" s="180" t="n">
        <f aca="false">IF(AND($G$27=1,OR(MONTH($B151)=5,MONTH($B151)=11)),MAX(0,$G$28*MAX(0,(CC151+CF151-CG151-CH151+CD151-CE151)+CL150-CK151)-CL150),0)</f>
        <v>0</v>
      </c>
      <c r="CJ151" s="181" t="n">
        <f aca="false">CC151+CF151-CG151-CH151+CD151-CE151-CI151</f>
        <v>263454.035840501</v>
      </c>
      <c r="CK151" s="180" t="n">
        <f aca="false">CK150+CD151-CE151</f>
        <v>150000</v>
      </c>
      <c r="CL151" s="180" t="n">
        <f aca="false">CL150+CI151</f>
        <v>19014.5778366851</v>
      </c>
      <c r="CM151" s="180" t="n">
        <f aca="false">CJ151+CL151-CK151</f>
        <v>132468.613677187</v>
      </c>
      <c r="CN151" s="180" t="n">
        <f aca="false">MAX(0,IFERROR(INDEX(TAB_IR,MATCH($C151,TAB_IR_DIAS,1),MATCH($G$8,TAB_IR_REGIMES,0)),0)*IF($G$26=2,CJ151,MAX(0,CM151))-CL151)</f>
        <v>855.714214892876</v>
      </c>
      <c r="CO151" s="181" t="n">
        <f aca="false">MAX(0,CJ151-CN151-CJ151*$G$25)</f>
        <v>262598.321625609</v>
      </c>
      <c r="CP151" s="180" t="n">
        <f aca="false">CO151/$D151</f>
        <v>195677.955132651</v>
      </c>
    </row>
    <row r="152" customFormat="false" ht="12" hidden="false" customHeight="true" outlineLevel="0" collapsed="false">
      <c r="A152" s="177" t="n">
        <v>91</v>
      </c>
      <c r="B152" s="178" t="n">
        <f aca="false">EDATE(DATA_INICIO,$A152)</f>
        <v>49026</v>
      </c>
      <c r="C152" s="177" t="n">
        <f aca="false">$A152*30</f>
        <v>2730</v>
      </c>
      <c r="D152" s="179" t="n">
        <f aca="false">(1+IPCA_CENARIO)^($A152/12)</f>
        <v>1.34638569796609</v>
      </c>
      <c r="F152" s="180" t="n">
        <f aca="false">M151</f>
        <v>345758.377844696</v>
      </c>
      <c r="G152" s="180" t="n">
        <f aca="false">IF($B$9=0,0,IF($A152&gt;IN_PRAZO,0,IF(APORTE_CORRIGIDO="Sim",IN_APORTE*$D152,IN_APORTE))+IF(AND($B$35=1,PGBL_REINVESTE="Sim",$A152&gt;=13,$A152&lt;=IN_PRAZO,MONTH($B152)=5),PGBL_BENEFICIO,0))</f>
        <v>0</v>
      </c>
      <c r="H152" s="180" t="n">
        <f aca="false">G152*$B$24</f>
        <v>0</v>
      </c>
      <c r="I152" s="180" t="n">
        <f aca="false">F152*$B$19</f>
        <v>3280.82965276565</v>
      </c>
      <c r="J152" s="180" t="n">
        <f aca="false">F152*$B$22</f>
        <v>57.6263963074494</v>
      </c>
      <c r="K152" s="180" t="n">
        <f aca="false">$B$23*MAX(0,I152-F152*$B$18)</f>
        <v>0</v>
      </c>
      <c r="L152" s="180" t="n">
        <f aca="false">IF(AND($B$27=1,OR(MONTH($B152)=5,MONTH($B152)=11)),MAX(0,$B$28*MAX(0,(F152+I152-J152-K152+G152-H152)+O151-N152)-O151),0)</f>
        <v>0</v>
      </c>
      <c r="M152" s="181" t="n">
        <f aca="false">F152+I152-J152-K152+G152-H152-L152</f>
        <v>348981.581101155</v>
      </c>
      <c r="N152" s="180" t="n">
        <f aca="false">N151+G152-H152</f>
        <v>150000</v>
      </c>
      <c r="O152" s="180" t="n">
        <f aca="false">O151+L152</f>
        <v>0</v>
      </c>
      <c r="P152" s="180" t="n">
        <f aca="false">M152+O152-N152</f>
        <v>198981.581101155</v>
      </c>
      <c r="Q152" s="180" t="n">
        <f aca="false">MAX(0,IFERROR(INDEX(TAB_IR,MATCH($C152,TAB_IR_DIAS,1),MATCH($B$8,TAB_IR_REGIMES,0)),0)*IF($B$26=2,M152,MAX(0,P152))-O152)</f>
        <v>29847.2371651732</v>
      </c>
      <c r="R152" s="181" t="n">
        <f aca="false">MAX(0,M152-Q152-M152*$B$25)</f>
        <v>319134.343935981</v>
      </c>
      <c r="S152" s="180" t="n">
        <f aca="false">R152/$D152</f>
        <v>237030.402519931</v>
      </c>
      <c r="U152" s="180" t="n">
        <f aca="false">AB151</f>
        <v>307024.513225297</v>
      </c>
      <c r="V152" s="180" t="n">
        <f aca="false">IF($C$9=0,0,IF($A152&gt;IN_PRAZO,0,IF(APORTE_CORRIGIDO="Sim",IN_APORTE*$D152,IN_APORTE))+IF(AND($C$35=1,PGBL_REINVESTE="Sim",$A152&gt;=13,$A152&lt;=IN_PRAZO,MONTH($B152)=5),PGBL_BENEFICIO,0))</f>
        <v>0</v>
      </c>
      <c r="W152" s="180" t="n">
        <f aca="false">V152*$C$24</f>
        <v>0</v>
      </c>
      <c r="X152" s="180" t="n">
        <f aca="false">U152*$C$19</f>
        <v>2504.46817043617</v>
      </c>
      <c r="Y152" s="180" t="n">
        <f aca="false">U152*$C$22</f>
        <v>51.1707522042162</v>
      </c>
      <c r="Z152" s="180" t="n">
        <f aca="false">$C$23*MAX(0,X152-U152*$C$18)</f>
        <v>0</v>
      </c>
      <c r="AA152" s="180" t="n">
        <f aca="false">IF(AND($C$27=1,OR(MONTH($B152)=5,MONTH($B152)=11)),MAX(0,$C$28*MAX(0,(U152+X152-Y152-Z152+V152-W152)+AD151-AC152)-AD151),0)</f>
        <v>0</v>
      </c>
      <c r="AB152" s="181" t="n">
        <f aca="false">U152+X152-Y152-Z152+V152-W152-AA152</f>
        <v>309477.810643529</v>
      </c>
      <c r="AC152" s="180" t="n">
        <f aca="false">AC151+V152-W152</f>
        <v>150000</v>
      </c>
      <c r="AD152" s="180" t="n">
        <f aca="false">AD151+AA152</f>
        <v>0</v>
      </c>
      <c r="AE152" s="180" t="n">
        <f aca="false">AB152+AD152-AC152</f>
        <v>159477.810643529</v>
      </c>
      <c r="AF152" s="180" t="n">
        <f aca="false">MAX(0,IFERROR(INDEX(TAB_IR,MATCH($C152,TAB_IR_DIAS,1),MATCH($C$8,TAB_IR_REGIMES,0)),0)*IF($C$26=2,AB152,MAX(0,AE152))-AD152)</f>
        <v>23921.6715965294</v>
      </c>
      <c r="AG152" s="181" t="n">
        <f aca="false">MAX(0,AB152-AF152-AB152*$C$25)</f>
        <v>285556.139047</v>
      </c>
      <c r="AH152" s="180" t="n">
        <f aca="false">AG152/$D152</f>
        <v>212090.888575519</v>
      </c>
      <c r="AJ152" s="180" t="n">
        <f aca="false">AQ151</f>
        <v>280838.196314435</v>
      </c>
      <c r="AK152" s="180" t="n">
        <f aca="false">IF($D$9=0,0,IF($A152&gt;IN_PRAZO,0,IF(APORTE_CORRIGIDO="Sim",IN_APORTE*$D152,IN_APORTE))+IF(AND($D$35=1,PGBL_REINVESTE="Sim",$A152&gt;=13,$A152&lt;=IN_PRAZO,MONTH($B152)=5),PGBL_BENEFICIO,0))</f>
        <v>0</v>
      </c>
      <c r="AL152" s="180" t="n">
        <f aca="false">AK152*$D$24</f>
        <v>0</v>
      </c>
      <c r="AM152" s="180" t="n">
        <f aca="false">AJ152*$D$19</f>
        <v>2524.3694666114</v>
      </c>
      <c r="AN152" s="180" t="n">
        <f aca="false">AJ152*$D$22</f>
        <v>234.031830262029</v>
      </c>
      <c r="AO152" s="180" t="n">
        <f aca="false">$D$23*MAX(0,AM152-AJ152*$D$18)</f>
        <v>0</v>
      </c>
      <c r="AP152" s="180" t="n">
        <f aca="false">IF(AND($D$27=1,OR(MONTH($B152)=5,MONTH($B152)=11)),MAX(0,$D$28*MAX(0,(AJ152+AM152-AN152-AO152+AK152-AL152)+AS151-AR152)-AS151),0)</f>
        <v>0</v>
      </c>
      <c r="AQ152" s="181" t="n">
        <f aca="false">AJ152+AM152-AN152-AO152+AK152-AL152-AP152</f>
        <v>283128.533950784</v>
      </c>
      <c r="AR152" s="180" t="n">
        <f aca="false">AR151+AK152-AL152</f>
        <v>150000</v>
      </c>
      <c r="AS152" s="180" t="n">
        <f aca="false">AS151+AP152</f>
        <v>21896.073484536</v>
      </c>
      <c r="AT152" s="180" t="n">
        <f aca="false">AQ152+AS152-AR152</f>
        <v>155024.60743532</v>
      </c>
      <c r="AU152" s="180" t="n">
        <f aca="false">MAX(0,IFERROR(INDEX(TAB_IR,MATCH($C152,TAB_IR_DIAS,1),MATCH($D$8,TAB_IR_REGIMES,0)),0)*IF($D$26=2,AQ152,MAX(0,AT152))-AS152)</f>
        <v>1357.61763076198</v>
      </c>
      <c r="AV152" s="181" t="n">
        <f aca="false">MAX(0,AQ152-AU152-AQ152*$D$25)</f>
        <v>281770.916320022</v>
      </c>
      <c r="AW152" s="180" t="n">
        <f aca="false">AV152/$D152</f>
        <v>209279.493049931</v>
      </c>
      <c r="AY152" s="180" t="n">
        <f aca="false">BF151</f>
        <v>322421.590330095</v>
      </c>
      <c r="AZ152" s="180" t="n">
        <f aca="false">IF($E$9=0,0,IF($A152&gt;IN_PRAZO,0,IF(APORTE_CORRIGIDO="Sim",IN_APORTE*$D152,IN_APORTE))+IF(AND($E$35=1,PGBL_REINVESTE="Sim",$A152&gt;=13,$A152&lt;=IN_PRAZO,MONTH($B152)=5),PGBL_BENEFICIO,0))</f>
        <v>0</v>
      </c>
      <c r="BA152" s="180" t="n">
        <f aca="false">AZ152*$E$24</f>
        <v>0</v>
      </c>
      <c r="BB152" s="180" t="n">
        <f aca="false">AY152*$E$19</f>
        <v>3156.1028431573</v>
      </c>
      <c r="BC152" s="180" t="n">
        <f aca="false">AY152*$E$22</f>
        <v>403.026987912619</v>
      </c>
      <c r="BD152" s="180" t="n">
        <f aca="false">$E$23*MAX(0,BB152-AY152*$E$18)</f>
        <v>0</v>
      </c>
      <c r="BE152" s="180" t="n">
        <f aca="false">IF(AND($E$27=1,OR(MONTH($B152)=5,MONTH($B152)=11)),MAX(0,$E$28*MAX(0,(AY152+BB152-BC152-BD152+AZ152-BA152)+BH151-BG152)-BH151),0)</f>
        <v>0</v>
      </c>
      <c r="BF152" s="181" t="n">
        <f aca="false">AY152+BB152-BC152-BD152+AZ152-BA152-BE152</f>
        <v>325174.66618534</v>
      </c>
      <c r="BG152" s="180" t="n">
        <f aca="false">BG151+AZ152-BA152</f>
        <v>150000</v>
      </c>
      <c r="BH152" s="180" t="n">
        <f aca="false">BH151+BE152</f>
        <v>0</v>
      </c>
      <c r="BI152" s="180" t="n">
        <f aca="false">BF152+BH152-BG152</f>
        <v>175174.66618534</v>
      </c>
      <c r="BJ152" s="180" t="n">
        <f aca="false">MAX(0,IFERROR(INDEX(TAB_IR,MATCH($C152,TAB_IR_DIAS,1),MATCH($E$8,TAB_IR_REGIMES,0)),0)*IF($E$26=2,BF152,MAX(0,BI152))-BH152)</f>
        <v>35034.933237068</v>
      </c>
      <c r="BK152" s="181" t="n">
        <f aca="false">MAX(0,BF152-BJ152-BF152*$E$25)</f>
        <v>290139.732948272</v>
      </c>
      <c r="BL152" s="180" t="n">
        <f aca="false">BK152/$D152</f>
        <v>215495.257701095</v>
      </c>
      <c r="BN152" s="180" t="n">
        <f aca="false">BU151</f>
        <v>322421.590330095</v>
      </c>
      <c r="BO152" s="180" t="n">
        <f aca="false">IF($F$9=0,0,IF($A152&gt;IN_PRAZO,0,IF(APORTE_CORRIGIDO="Sim",IN_APORTE*$D152,IN_APORTE))+IF(AND($F$35=1,PGBL_REINVESTE="Sim",$A152&gt;=13,$A152&lt;=IN_PRAZO,MONTH($B152)=5),PGBL_BENEFICIO,0))</f>
        <v>0</v>
      </c>
      <c r="BP152" s="180" t="n">
        <f aca="false">BO152*$F$24</f>
        <v>0</v>
      </c>
      <c r="BQ152" s="180" t="n">
        <f aca="false">BN152*$F$19</f>
        <v>3156.1028431573</v>
      </c>
      <c r="BR152" s="180" t="n">
        <f aca="false">BN152*$F$22</f>
        <v>403.026987912619</v>
      </c>
      <c r="BS152" s="180" t="n">
        <f aca="false">$F$23*MAX(0,BQ152-BN152*$F$18)</f>
        <v>0</v>
      </c>
      <c r="BT152" s="180" t="n">
        <f aca="false">IF(AND($F$27=1,OR(MONTH($B152)=5,MONTH($B152)=11)),MAX(0,$F$28*MAX(0,(BN152+BQ152-BR152-BS152+BO152-BP152)+BW151-BV152)-BW151),0)</f>
        <v>0</v>
      </c>
      <c r="BU152" s="181" t="n">
        <f aca="false">BN152+BQ152-BR152-BS152+BO152-BP152-BT152</f>
        <v>325174.66618534</v>
      </c>
      <c r="BV152" s="180" t="n">
        <f aca="false">BV151+BO152-BP152</f>
        <v>150000</v>
      </c>
      <c r="BW152" s="180" t="n">
        <f aca="false">BW151+BT152</f>
        <v>0</v>
      </c>
      <c r="BX152" s="180" t="n">
        <f aca="false">BU152+BW152-BV152</f>
        <v>175174.66618534</v>
      </c>
      <c r="BY152" s="180" t="n">
        <f aca="false">MAX(0,IFERROR(INDEX(TAB_IR,MATCH($C152,TAB_IR_DIAS,1),MATCH($F$8,TAB_IR_REGIMES,0)),0)*IF($F$26=2,BU152,MAX(0,BX152))-BW152)</f>
        <v>65034.933237068</v>
      </c>
      <c r="BZ152" s="181" t="n">
        <f aca="false">MAX(0,BU152-BY152-BU152*$F$25)</f>
        <v>260139.732948272</v>
      </c>
      <c r="CA152" s="180" t="n">
        <f aca="false">BZ152/$D152</f>
        <v>193213.381084818</v>
      </c>
      <c r="CC152" s="180" t="n">
        <f aca="false">CJ151</f>
        <v>263454.035840501</v>
      </c>
      <c r="CD152" s="180" t="n">
        <f aca="false">IF($G$9=0,0,IF($A152&gt;IN_PRAZO,0,IF(APORTE_CORRIGIDO="Sim",IN_APORTE*$D152,IN_APORTE))+IF(AND($G$35=1,PGBL_REINVESTE="Sim",$A152&gt;=13,$A152&lt;=IN_PRAZO,MONTH($B152)=5),PGBL_BENEFICIO,0))</f>
        <v>0</v>
      </c>
      <c r="CE152" s="180" t="n">
        <f aca="false">CD152*$G$24</f>
        <v>0</v>
      </c>
      <c r="CF152" s="180" t="n">
        <f aca="false">CC152*$G$19</f>
        <v>2149.05396381595</v>
      </c>
      <c r="CG152" s="180" t="n">
        <f aca="false">CC152*$G$22</f>
        <v>219.545029867085</v>
      </c>
      <c r="CH152" s="180" t="n">
        <f aca="false">$G$23*MAX(0,CF152-CC152*$G$18)</f>
        <v>0</v>
      </c>
      <c r="CI152" s="180" t="n">
        <f aca="false">IF(AND($G$27=1,OR(MONTH($B152)=5,MONTH($B152)=11)),MAX(0,$G$28*MAX(0,(CC152+CF152-CG152-CH152+CD152-CE152)+CL151-CK152)-CL151),0)</f>
        <v>0</v>
      </c>
      <c r="CJ152" s="181" t="n">
        <f aca="false">CC152+CF152-CG152-CH152+CD152-CE152-CI152</f>
        <v>265383.54477445</v>
      </c>
      <c r="CK152" s="180" t="n">
        <f aca="false">CK151+CD152-CE152</f>
        <v>150000</v>
      </c>
      <c r="CL152" s="180" t="n">
        <f aca="false">CL151+CI152</f>
        <v>19014.5778366851</v>
      </c>
      <c r="CM152" s="180" t="n">
        <f aca="false">CJ152+CL152-CK152</f>
        <v>134398.122611135</v>
      </c>
      <c r="CN152" s="180" t="n">
        <f aca="false">MAX(0,IFERROR(INDEX(TAB_IR,MATCH($C152,TAB_IR_DIAS,1),MATCH($G$8,TAB_IR_REGIMES,0)),0)*IF($G$26=2,CJ152,MAX(0,CM152))-CL152)</f>
        <v>1145.14055498521</v>
      </c>
      <c r="CO152" s="181" t="n">
        <f aca="false">MAX(0,CJ152-CN152-CJ152*$G$25)</f>
        <v>264238.404219465</v>
      </c>
      <c r="CP152" s="180" t="n">
        <f aca="false">CO152/$D152</f>
        <v>196257.584003332</v>
      </c>
    </row>
    <row r="153" customFormat="false" ht="12" hidden="false" customHeight="true" outlineLevel="0" collapsed="false">
      <c r="A153" s="177" t="n">
        <v>92</v>
      </c>
      <c r="B153" s="178" t="n">
        <f aca="false">EDATE(DATA_INICIO,$A153)</f>
        <v>49057</v>
      </c>
      <c r="C153" s="177" t="n">
        <f aca="false">$A153*30</f>
        <v>2760</v>
      </c>
      <c r="D153" s="179" t="n">
        <f aca="false">(1+IPCA_CENARIO)^($A153/12)</f>
        <v>1.35079341438771</v>
      </c>
      <c r="F153" s="180" t="n">
        <f aca="false">M152</f>
        <v>348981.581101155</v>
      </c>
      <c r="G153" s="180" t="n">
        <f aca="false">IF($B$9=0,0,IF($A153&gt;IN_PRAZO,0,IF(APORTE_CORRIGIDO="Sim",IN_APORTE*$D153,IN_APORTE))+IF(AND($B$35=1,PGBL_REINVESTE="Sim",$A153&gt;=13,$A153&lt;=IN_PRAZO,MONTH($B153)=5),PGBL_BENEFICIO,0))</f>
        <v>0</v>
      </c>
      <c r="H153" s="180" t="n">
        <f aca="false">G153*$B$24</f>
        <v>0</v>
      </c>
      <c r="I153" s="180" t="n">
        <f aca="false">F153*$B$19</f>
        <v>3311.41396105226</v>
      </c>
      <c r="J153" s="180" t="n">
        <f aca="false">F153*$B$22</f>
        <v>58.1635968501924</v>
      </c>
      <c r="K153" s="180" t="n">
        <f aca="false">$B$23*MAX(0,I153-F153*$B$18)</f>
        <v>0</v>
      </c>
      <c r="L153" s="180" t="n">
        <f aca="false">IF(AND($B$27=1,OR(MONTH($B153)=5,MONTH($B153)=11)),MAX(0,$B$28*MAX(0,(F153+I153-J153-K153+G153-H153)+O152-N153)-O152),0)</f>
        <v>0</v>
      </c>
      <c r="M153" s="181" t="n">
        <f aca="false">F153+I153-J153-K153+G153-H153-L153</f>
        <v>352234.831465357</v>
      </c>
      <c r="N153" s="180" t="n">
        <f aca="false">N152+G153-H153</f>
        <v>150000</v>
      </c>
      <c r="O153" s="180" t="n">
        <f aca="false">O152+L153</f>
        <v>0</v>
      </c>
      <c r="P153" s="180" t="n">
        <f aca="false">M153+O153-N153</f>
        <v>202234.831465357</v>
      </c>
      <c r="Q153" s="180" t="n">
        <f aca="false">MAX(0,IFERROR(INDEX(TAB_IR,MATCH($C153,TAB_IR_DIAS,1),MATCH($B$8,TAB_IR_REGIMES,0)),0)*IF($B$26=2,M153,MAX(0,P153))-O153)</f>
        <v>30335.2247198035</v>
      </c>
      <c r="R153" s="181" t="n">
        <f aca="false">MAX(0,M153-Q153-M153*$B$25)</f>
        <v>321899.606745553</v>
      </c>
      <c r="S153" s="180" t="n">
        <f aca="false">R153/$D153</f>
        <v>238304.098403874</v>
      </c>
      <c r="U153" s="180" t="n">
        <f aca="false">AB152</f>
        <v>309477.810643529</v>
      </c>
      <c r="V153" s="180" t="n">
        <f aca="false">IF($C$9=0,0,IF($A153&gt;IN_PRAZO,0,IF(APORTE_CORRIGIDO="Sim",IN_APORTE*$D153,IN_APORTE))+IF(AND($C$35=1,PGBL_REINVESTE="Sim",$A153&gt;=13,$A153&lt;=IN_PRAZO,MONTH($B153)=5),PGBL_BENEFICIO,0))</f>
        <v>0</v>
      </c>
      <c r="W153" s="180" t="n">
        <f aca="false">V153*$C$24</f>
        <v>0</v>
      </c>
      <c r="X153" s="180" t="n">
        <f aca="false">U153*$C$19</f>
        <v>2524.48027055167</v>
      </c>
      <c r="Y153" s="180" t="n">
        <f aca="false">U153*$C$22</f>
        <v>51.5796351072549</v>
      </c>
      <c r="Z153" s="180" t="n">
        <f aca="false">$C$23*MAX(0,X153-U153*$C$18)</f>
        <v>0</v>
      </c>
      <c r="AA153" s="180" t="n">
        <f aca="false">IF(AND($C$27=1,OR(MONTH($B153)=5,MONTH($B153)=11)),MAX(0,$C$28*MAX(0,(U153+X153-Y153-Z153+V153-W153)+AD152-AC153)-AD152),0)</f>
        <v>0</v>
      </c>
      <c r="AB153" s="181" t="n">
        <f aca="false">U153+X153-Y153-Z153+V153-W153-AA153</f>
        <v>311950.711278974</v>
      </c>
      <c r="AC153" s="180" t="n">
        <f aca="false">AC152+V153-W153</f>
        <v>150000</v>
      </c>
      <c r="AD153" s="180" t="n">
        <f aca="false">AD152+AA153</f>
        <v>0</v>
      </c>
      <c r="AE153" s="180" t="n">
        <f aca="false">AB153+AD153-AC153</f>
        <v>161950.711278974</v>
      </c>
      <c r="AF153" s="180" t="n">
        <f aca="false">MAX(0,IFERROR(INDEX(TAB_IR,MATCH($C153,TAB_IR_DIAS,1),MATCH($C$8,TAB_IR_REGIMES,0)),0)*IF($C$26=2,AB153,MAX(0,AE153))-AD153)</f>
        <v>24292.6066918461</v>
      </c>
      <c r="AG153" s="181" t="n">
        <f aca="false">MAX(0,AB153-AF153-AB153*$C$25)</f>
        <v>287658.104587128</v>
      </c>
      <c r="AH153" s="180" t="n">
        <f aca="false">AG153/$D153</f>
        <v>212954.920806686</v>
      </c>
      <c r="AJ153" s="180" t="n">
        <f aca="false">AQ152</f>
        <v>283128.533950784</v>
      </c>
      <c r="AK153" s="180" t="n">
        <f aca="false">IF($D$9=0,0,IF($A153&gt;IN_PRAZO,0,IF(APORTE_CORRIGIDO="Sim",IN_APORTE*$D153,IN_APORTE))+IF(AND($D$35=1,PGBL_REINVESTE="Sim",$A153&gt;=13,$A153&lt;=IN_PRAZO,MONTH($B153)=5),PGBL_BENEFICIO,0))</f>
        <v>0</v>
      </c>
      <c r="AL153" s="180" t="n">
        <f aca="false">AK153*$D$24</f>
        <v>0</v>
      </c>
      <c r="AM153" s="180" t="n">
        <f aca="false">AJ153*$D$19</f>
        <v>2544.95661776572</v>
      </c>
      <c r="AN153" s="180" t="n">
        <f aca="false">AJ153*$D$22</f>
        <v>235.940444958987</v>
      </c>
      <c r="AO153" s="180" t="n">
        <f aca="false">$D$23*MAX(0,AM153-AJ153*$D$18)</f>
        <v>0</v>
      </c>
      <c r="AP153" s="180" t="n">
        <f aca="false">IF(AND($D$27=1,OR(MONTH($B153)=5,MONTH($B153)=11)),MAX(0,$D$28*MAX(0,(AJ153+AM153-AN153-AO153+AK153-AL153)+AS152-AR153)-AS152),0)</f>
        <v>0</v>
      </c>
      <c r="AQ153" s="181" t="n">
        <f aca="false">AJ153+AM153-AN153-AO153+AK153-AL153-AP153</f>
        <v>285437.550123591</v>
      </c>
      <c r="AR153" s="180" t="n">
        <f aca="false">AR152+AK153-AL153</f>
        <v>150000</v>
      </c>
      <c r="AS153" s="180" t="n">
        <f aca="false">AS152+AP153</f>
        <v>21896.073484536</v>
      </c>
      <c r="AT153" s="180" t="n">
        <f aca="false">AQ153+AS153-AR153</f>
        <v>157333.623608127</v>
      </c>
      <c r="AU153" s="180" t="n">
        <f aca="false">MAX(0,IFERROR(INDEX(TAB_IR,MATCH($C153,TAB_IR_DIAS,1),MATCH($D$8,TAB_IR_REGIMES,0)),0)*IF($D$26=2,AQ153,MAX(0,AT153))-AS153)</f>
        <v>1703.97005668299</v>
      </c>
      <c r="AV153" s="181" t="n">
        <f aca="false">MAX(0,AQ153-AU153-AQ153*$D$25)</f>
        <v>283733.580066908</v>
      </c>
      <c r="AW153" s="180" t="n">
        <f aca="false">AV153/$D153</f>
        <v>210049.573121082</v>
      </c>
      <c r="AY153" s="180" t="n">
        <f aca="false">BF152</f>
        <v>325174.66618534</v>
      </c>
      <c r="AZ153" s="180" t="n">
        <f aca="false">IF($E$9=0,0,IF($A153&gt;IN_PRAZO,0,IF(APORTE_CORRIGIDO="Sim",IN_APORTE*$D153,IN_APORTE))+IF(AND($E$35=1,PGBL_REINVESTE="Sim",$A153&gt;=13,$A153&lt;=IN_PRAZO,MONTH($B153)=5),PGBL_BENEFICIO,0))</f>
        <v>0</v>
      </c>
      <c r="BA153" s="180" t="n">
        <f aca="false">AZ153*$E$24</f>
        <v>0</v>
      </c>
      <c r="BB153" s="180" t="n">
        <f aca="false">AY153*$E$19</f>
        <v>3183.05200163416</v>
      </c>
      <c r="BC153" s="180" t="n">
        <f aca="false">AY153*$E$22</f>
        <v>406.468332731675</v>
      </c>
      <c r="BD153" s="180" t="n">
        <f aca="false">$E$23*MAX(0,BB153-AY153*$E$18)</f>
        <v>0</v>
      </c>
      <c r="BE153" s="180" t="n">
        <f aca="false">IF(AND($E$27=1,OR(MONTH($B153)=5,MONTH($B153)=11)),MAX(0,$E$28*MAX(0,(AY153+BB153-BC153-BD153+AZ153-BA153)+BH152-BG153)-BH152),0)</f>
        <v>0</v>
      </c>
      <c r="BF153" s="181" t="n">
        <f aca="false">AY153+BB153-BC153-BD153+AZ153-BA153-BE153</f>
        <v>327951.249854242</v>
      </c>
      <c r="BG153" s="180" t="n">
        <f aca="false">BG152+AZ153-BA153</f>
        <v>150000</v>
      </c>
      <c r="BH153" s="180" t="n">
        <f aca="false">BH152+BE153</f>
        <v>0</v>
      </c>
      <c r="BI153" s="180" t="n">
        <f aca="false">BF153+BH153-BG153</f>
        <v>177951.249854242</v>
      </c>
      <c r="BJ153" s="180" t="n">
        <f aca="false">MAX(0,IFERROR(INDEX(TAB_IR,MATCH($C153,TAB_IR_DIAS,1),MATCH($E$8,TAB_IR_REGIMES,0)),0)*IF($E$26=2,BF153,MAX(0,BI153))-BH153)</f>
        <v>35590.2499708484</v>
      </c>
      <c r="BK153" s="181" t="n">
        <f aca="false">MAX(0,BF153-BJ153-BF153*$E$25)</f>
        <v>292360.999883394</v>
      </c>
      <c r="BL153" s="180" t="n">
        <f aca="false">BK153/$D153</f>
        <v>216436.500777519</v>
      </c>
      <c r="BN153" s="180" t="n">
        <f aca="false">BU152</f>
        <v>325174.66618534</v>
      </c>
      <c r="BO153" s="180" t="n">
        <f aca="false">IF($F$9=0,0,IF($A153&gt;IN_PRAZO,0,IF(APORTE_CORRIGIDO="Sim",IN_APORTE*$D153,IN_APORTE))+IF(AND($F$35=1,PGBL_REINVESTE="Sim",$A153&gt;=13,$A153&lt;=IN_PRAZO,MONTH($B153)=5),PGBL_BENEFICIO,0))</f>
        <v>0</v>
      </c>
      <c r="BP153" s="180" t="n">
        <f aca="false">BO153*$F$24</f>
        <v>0</v>
      </c>
      <c r="BQ153" s="180" t="n">
        <f aca="false">BN153*$F$19</f>
        <v>3183.05200163416</v>
      </c>
      <c r="BR153" s="180" t="n">
        <f aca="false">BN153*$F$22</f>
        <v>406.468332731675</v>
      </c>
      <c r="BS153" s="180" t="n">
        <f aca="false">$F$23*MAX(0,BQ153-BN153*$F$18)</f>
        <v>0</v>
      </c>
      <c r="BT153" s="180" t="n">
        <f aca="false">IF(AND($F$27=1,OR(MONTH($B153)=5,MONTH($B153)=11)),MAX(0,$F$28*MAX(0,(BN153+BQ153-BR153-BS153+BO153-BP153)+BW152-BV153)-BW152),0)</f>
        <v>0</v>
      </c>
      <c r="BU153" s="181" t="n">
        <f aca="false">BN153+BQ153-BR153-BS153+BO153-BP153-BT153</f>
        <v>327951.249854242</v>
      </c>
      <c r="BV153" s="180" t="n">
        <f aca="false">BV152+BO153-BP153</f>
        <v>150000</v>
      </c>
      <c r="BW153" s="180" t="n">
        <f aca="false">BW152+BT153</f>
        <v>0</v>
      </c>
      <c r="BX153" s="180" t="n">
        <f aca="false">BU153+BW153-BV153</f>
        <v>177951.249854242</v>
      </c>
      <c r="BY153" s="180" t="n">
        <f aca="false">MAX(0,IFERROR(INDEX(TAB_IR,MATCH($C153,TAB_IR_DIAS,1),MATCH($F$8,TAB_IR_REGIMES,0)),0)*IF($F$26=2,BU153,MAX(0,BX153))-BW153)</f>
        <v>65590.2499708484</v>
      </c>
      <c r="BZ153" s="181" t="n">
        <f aca="false">MAX(0,BU153-BY153-BU153*$F$25)</f>
        <v>262360.999883394</v>
      </c>
      <c r="CA153" s="180" t="n">
        <f aca="false">BZ153/$D153</f>
        <v>194227.331203208</v>
      </c>
      <c r="CC153" s="180" t="n">
        <f aca="false">CJ152</f>
        <v>265383.54477445</v>
      </c>
      <c r="CD153" s="180" t="n">
        <f aca="false">IF($G$9=0,0,IF($A153&gt;IN_PRAZO,0,IF(APORTE_CORRIGIDO="Sim",IN_APORTE*$D153,IN_APORTE))+IF(AND($G$35=1,PGBL_REINVESTE="Sim",$A153&gt;=13,$A153&lt;=IN_PRAZO,MONTH($B153)=5),PGBL_BENEFICIO,0))</f>
        <v>0</v>
      </c>
      <c r="CE153" s="180" t="n">
        <f aca="false">CD153*$G$24</f>
        <v>0</v>
      </c>
      <c r="CF153" s="180" t="n">
        <f aca="false">CC153*$G$19</f>
        <v>2164.7934031815</v>
      </c>
      <c r="CG153" s="180" t="n">
        <f aca="false">CC153*$G$22</f>
        <v>221.152953978709</v>
      </c>
      <c r="CH153" s="180" t="n">
        <f aca="false">$G$23*MAX(0,CF153-CC153*$G$18)</f>
        <v>0</v>
      </c>
      <c r="CI153" s="180" t="n">
        <f aca="false">IF(AND($G$27=1,OR(MONTH($B153)=5,MONTH($B153)=11)),MAX(0,$G$28*MAX(0,(CC153+CF153-CG153-CH153+CD153-CE153)+CL152-CK153)-CL152),0)</f>
        <v>0</v>
      </c>
      <c r="CJ153" s="181" t="n">
        <f aca="false">CC153+CF153-CG153-CH153+CD153-CE153-CI153</f>
        <v>267327.185223653</v>
      </c>
      <c r="CK153" s="180" t="n">
        <f aca="false">CK152+CD153-CE153</f>
        <v>150000</v>
      </c>
      <c r="CL153" s="180" t="n">
        <f aca="false">CL152+CI153</f>
        <v>19014.5778366851</v>
      </c>
      <c r="CM153" s="180" t="n">
        <f aca="false">CJ153+CL153-CK153</f>
        <v>136341.763060338</v>
      </c>
      <c r="CN153" s="180" t="n">
        <f aca="false">MAX(0,IFERROR(INDEX(TAB_IR,MATCH($C153,TAB_IR_DIAS,1),MATCH($G$8,TAB_IR_REGIMES,0)),0)*IF($G$26=2,CJ153,MAX(0,CM153))-CL153)</f>
        <v>1436.68662236563</v>
      </c>
      <c r="CO153" s="181" t="n">
        <f aca="false">MAX(0,CJ153-CN153-CJ153*$G$25)</f>
        <v>265890.498601288</v>
      </c>
      <c r="CP153" s="180" t="n">
        <f aca="false">CO153/$D153</f>
        <v>196840.239054475</v>
      </c>
    </row>
    <row r="154" customFormat="false" ht="12" hidden="false" customHeight="true" outlineLevel="0" collapsed="false">
      <c r="A154" s="177" t="n">
        <v>93</v>
      </c>
      <c r="B154" s="178" t="n">
        <f aca="false">EDATE(DATA_INICIO,$A154)</f>
        <v>49087</v>
      </c>
      <c r="C154" s="177" t="n">
        <f aca="false">$A154*30</f>
        <v>2790</v>
      </c>
      <c r="D154" s="179" t="n">
        <f aca="false">(1+IPCA_CENARIO)^($A154/12)</f>
        <v>1.35521556052592</v>
      </c>
      <c r="F154" s="180" t="n">
        <f aca="false">M153</f>
        <v>352234.831465357</v>
      </c>
      <c r="G154" s="180" t="n">
        <f aca="false">IF($B$9=0,0,IF($A154&gt;IN_PRAZO,0,IF(APORTE_CORRIGIDO="Sim",IN_APORTE*$D154,IN_APORTE))+IF(AND($B$35=1,PGBL_REINVESTE="Sim",$A154&gt;=13,$A154&lt;=IN_PRAZO,MONTH($B154)=5),PGBL_BENEFICIO,0))</f>
        <v>0</v>
      </c>
      <c r="H154" s="180" t="n">
        <f aca="false">G154*$B$24</f>
        <v>0</v>
      </c>
      <c r="I154" s="180" t="n">
        <f aca="false">F154*$B$19</f>
        <v>3342.28338012253</v>
      </c>
      <c r="J154" s="180" t="n">
        <f aca="false">F154*$B$22</f>
        <v>58.7058052442261</v>
      </c>
      <c r="K154" s="180" t="n">
        <f aca="false">$B$23*MAX(0,I154-F154*$B$18)</f>
        <v>0</v>
      </c>
      <c r="L154" s="180" t="n">
        <f aca="false">IF(AND($B$27=1,OR(MONTH($B154)=5,MONTH($B154)=11)),MAX(0,$B$28*MAX(0,(F154+I154-J154-K154+G154-H154)+O153-N154)-O153),0)</f>
        <v>0</v>
      </c>
      <c r="M154" s="181" t="n">
        <f aca="false">F154+I154-J154-K154+G154-H154-L154</f>
        <v>355518.409040235</v>
      </c>
      <c r="N154" s="180" t="n">
        <f aca="false">N153+G154-H154</f>
        <v>150000</v>
      </c>
      <c r="O154" s="180" t="n">
        <f aca="false">O153+L154</f>
        <v>0</v>
      </c>
      <c r="P154" s="180" t="n">
        <f aca="false">M154+O154-N154</f>
        <v>205518.409040235</v>
      </c>
      <c r="Q154" s="180" t="n">
        <f aca="false">MAX(0,IFERROR(INDEX(TAB_IR,MATCH($C154,TAB_IR_DIAS,1),MATCH($B$8,TAB_IR_REGIMES,0)),0)*IF($B$26=2,M154,MAX(0,P154))-O154)</f>
        <v>30827.7613560353</v>
      </c>
      <c r="R154" s="181" t="n">
        <f aca="false">MAX(0,M154-Q154-M154*$B$25)</f>
        <v>324690.6476842</v>
      </c>
      <c r="S154" s="180" t="n">
        <f aca="false">R154/$D154</f>
        <v>239585.979634263</v>
      </c>
      <c r="U154" s="180" t="n">
        <f aca="false">AB153</f>
        <v>311950.711278974</v>
      </c>
      <c r="V154" s="180" t="n">
        <f aca="false">IF($C$9=0,0,IF($A154&gt;IN_PRAZO,0,IF(APORTE_CORRIGIDO="Sim",IN_APORTE*$D154,IN_APORTE))+IF(AND($C$35=1,PGBL_REINVESTE="Sim",$A154&gt;=13,$A154&lt;=IN_PRAZO,MONTH($B154)=5),PGBL_BENEFICIO,0))</f>
        <v>0</v>
      </c>
      <c r="W154" s="180" t="n">
        <f aca="false">V154*$C$24</f>
        <v>0</v>
      </c>
      <c r="X154" s="180" t="n">
        <f aca="false">U154*$C$19</f>
        <v>2544.65227852934</v>
      </c>
      <c r="Y154" s="180" t="n">
        <f aca="false">U154*$C$22</f>
        <v>51.9917852131623</v>
      </c>
      <c r="Z154" s="180" t="n">
        <f aca="false">$C$23*MAX(0,X154-U154*$C$18)</f>
        <v>0</v>
      </c>
      <c r="AA154" s="180" t="n">
        <f aca="false">IF(AND($C$27=1,OR(MONTH($B154)=5,MONTH($B154)=11)),MAX(0,$C$28*MAX(0,(U154+X154-Y154-Z154+V154-W154)+AD153-AC154)-AD153),0)</f>
        <v>0</v>
      </c>
      <c r="AB154" s="181" t="n">
        <f aca="false">U154+X154-Y154-Z154+V154-W154-AA154</f>
        <v>314443.37177229</v>
      </c>
      <c r="AC154" s="180" t="n">
        <f aca="false">AC153+V154-W154</f>
        <v>150000</v>
      </c>
      <c r="AD154" s="180" t="n">
        <f aca="false">AD153+AA154</f>
        <v>0</v>
      </c>
      <c r="AE154" s="180" t="n">
        <f aca="false">AB154+AD154-AC154</f>
        <v>164443.37177229</v>
      </c>
      <c r="AF154" s="180" t="n">
        <f aca="false">MAX(0,IFERROR(INDEX(TAB_IR,MATCH($C154,TAB_IR_DIAS,1),MATCH($C$8,TAB_IR_REGIMES,0)),0)*IF($C$26=2,AB154,MAX(0,AE154))-AD154)</f>
        <v>24666.5057658435</v>
      </c>
      <c r="AG154" s="181" t="n">
        <f aca="false">MAX(0,AB154-AF154-AB154*$C$25)</f>
        <v>289776.866006447</v>
      </c>
      <c r="AH154" s="180" t="n">
        <f aca="false">AG154/$D154</f>
        <v>213823.449528569</v>
      </c>
      <c r="AJ154" s="180" t="n">
        <f aca="false">AQ153</f>
        <v>285437.550123591</v>
      </c>
      <c r="AK154" s="180" t="n">
        <f aca="false">IF($D$9=0,0,IF($A154&gt;IN_PRAZO,0,IF(APORTE_CORRIGIDO="Sim",IN_APORTE*$D154,IN_APORTE))+IF(AND($D$35=1,PGBL_REINVESTE="Sim",$A154&gt;=13,$A154&lt;=IN_PRAZO,MONTH($B154)=5),PGBL_BENEFICIO,0))</f>
        <v>0</v>
      </c>
      <c r="AL154" s="180" t="n">
        <f aca="false">AK154*$D$24</f>
        <v>0</v>
      </c>
      <c r="AM154" s="180" t="n">
        <f aca="false">AJ154*$D$19</f>
        <v>2565.71166462558</v>
      </c>
      <c r="AN154" s="180" t="n">
        <f aca="false">AJ154*$D$22</f>
        <v>237.864625102992</v>
      </c>
      <c r="AO154" s="180" t="n">
        <f aca="false">$D$23*MAX(0,AM154-AJ154*$D$18)</f>
        <v>0</v>
      </c>
      <c r="AP154" s="180" t="n">
        <f aca="false">IF(AND($D$27=1,OR(MONTH($B154)=5,MONTH($B154)=11)),MAX(0,$D$28*MAX(0,(AJ154+AM154-AN154-AO154+AK154-AL154)+AS153-AR154)-AS153),0)</f>
        <v>2053.14711261138</v>
      </c>
      <c r="AQ154" s="181" t="n">
        <f aca="false">AJ154+AM154-AN154-AO154+AK154-AL154-AP154</f>
        <v>285712.250050502</v>
      </c>
      <c r="AR154" s="180" t="n">
        <f aca="false">AR153+AK154-AL154</f>
        <v>150000</v>
      </c>
      <c r="AS154" s="180" t="n">
        <f aca="false">AS153+AP154</f>
        <v>23949.2205971474</v>
      </c>
      <c r="AT154" s="180" t="n">
        <f aca="false">AQ154+AS154-AR154</f>
        <v>159661.470647649</v>
      </c>
      <c r="AU154" s="180" t="n">
        <f aca="false">MAX(0,IFERROR(INDEX(TAB_IR,MATCH($C154,TAB_IR_DIAS,1),MATCH($D$8,TAB_IR_REGIMES,0)),0)*IF($D$26=2,AQ154,MAX(0,AT154))-AS154)</f>
        <v>0</v>
      </c>
      <c r="AV154" s="181" t="n">
        <f aca="false">MAX(0,AQ154-AU154-AQ154*$D$25)</f>
        <v>285712.250050502</v>
      </c>
      <c r="AW154" s="180" t="n">
        <f aca="false">AV154/$D154</f>
        <v>210824.210090699</v>
      </c>
      <c r="AY154" s="180" t="n">
        <f aca="false">BF153</f>
        <v>327951.249854242</v>
      </c>
      <c r="AZ154" s="180" t="n">
        <f aca="false">IF($E$9=0,0,IF($A154&gt;IN_PRAZO,0,IF(APORTE_CORRIGIDO="Sim",IN_APORTE*$D154,IN_APORTE))+IF(AND($E$35=1,PGBL_REINVESTE="Sim",$A154&gt;=13,$A154&lt;=IN_PRAZO,MONTH($B154)=5),PGBL_BENEFICIO,0))</f>
        <v>0</v>
      </c>
      <c r="BA154" s="180" t="n">
        <f aca="false">AZ154*$E$24</f>
        <v>0</v>
      </c>
      <c r="BB154" s="180" t="n">
        <f aca="false">AY154*$E$19</f>
        <v>3210.23127211265</v>
      </c>
      <c r="BC154" s="180" t="n">
        <f aca="false">AY154*$E$22</f>
        <v>409.939062317803</v>
      </c>
      <c r="BD154" s="180" t="n">
        <f aca="false">$E$23*MAX(0,BB154-AY154*$E$18)</f>
        <v>0</v>
      </c>
      <c r="BE154" s="180" t="n">
        <f aca="false">IF(AND($E$27=1,OR(MONTH($B154)=5,MONTH($B154)=11)),MAX(0,$E$28*MAX(0,(AY154+BB154-BC154-BD154+AZ154-BA154)+BH153-BG154)-BH153),0)</f>
        <v>0</v>
      </c>
      <c r="BF154" s="181" t="n">
        <f aca="false">AY154+BB154-BC154-BD154+AZ154-BA154-BE154</f>
        <v>330751.542064037</v>
      </c>
      <c r="BG154" s="180" t="n">
        <f aca="false">BG153+AZ154-BA154</f>
        <v>150000</v>
      </c>
      <c r="BH154" s="180" t="n">
        <f aca="false">BH153+BE154</f>
        <v>0</v>
      </c>
      <c r="BI154" s="180" t="n">
        <f aca="false">BF154+BH154-BG154</f>
        <v>180751.542064037</v>
      </c>
      <c r="BJ154" s="180" t="n">
        <f aca="false">MAX(0,IFERROR(INDEX(TAB_IR,MATCH($C154,TAB_IR_DIAS,1),MATCH($E$8,TAB_IR_REGIMES,0)),0)*IF($E$26=2,BF154,MAX(0,BI154))-BH154)</f>
        <v>36150.3084128074</v>
      </c>
      <c r="BK154" s="181" t="n">
        <f aca="false">MAX(0,BF154-BJ154-BF154*$E$25)</f>
        <v>294601.23365123</v>
      </c>
      <c r="BL154" s="180" t="n">
        <f aca="false">BK154/$D154</f>
        <v>217383.302134535</v>
      </c>
      <c r="BN154" s="180" t="n">
        <f aca="false">BU153</f>
        <v>327951.249854242</v>
      </c>
      <c r="BO154" s="180" t="n">
        <f aca="false">IF($F$9=0,0,IF($A154&gt;IN_PRAZO,0,IF(APORTE_CORRIGIDO="Sim",IN_APORTE*$D154,IN_APORTE))+IF(AND($F$35=1,PGBL_REINVESTE="Sim",$A154&gt;=13,$A154&lt;=IN_PRAZO,MONTH($B154)=5),PGBL_BENEFICIO,0))</f>
        <v>0</v>
      </c>
      <c r="BP154" s="180" t="n">
        <f aca="false">BO154*$F$24</f>
        <v>0</v>
      </c>
      <c r="BQ154" s="180" t="n">
        <f aca="false">BN154*$F$19</f>
        <v>3210.23127211265</v>
      </c>
      <c r="BR154" s="180" t="n">
        <f aca="false">BN154*$F$22</f>
        <v>409.939062317803</v>
      </c>
      <c r="BS154" s="180" t="n">
        <f aca="false">$F$23*MAX(0,BQ154-BN154*$F$18)</f>
        <v>0</v>
      </c>
      <c r="BT154" s="180" t="n">
        <f aca="false">IF(AND($F$27=1,OR(MONTH($B154)=5,MONTH($B154)=11)),MAX(0,$F$28*MAX(0,(BN154+BQ154-BR154-BS154+BO154-BP154)+BW153-BV154)-BW153),0)</f>
        <v>0</v>
      </c>
      <c r="BU154" s="181" t="n">
        <f aca="false">BN154+BQ154-BR154-BS154+BO154-BP154-BT154</f>
        <v>330751.542064037</v>
      </c>
      <c r="BV154" s="180" t="n">
        <f aca="false">BV153+BO154-BP154</f>
        <v>150000</v>
      </c>
      <c r="BW154" s="180" t="n">
        <f aca="false">BW153+BT154</f>
        <v>0</v>
      </c>
      <c r="BX154" s="180" t="n">
        <f aca="false">BU154+BW154-BV154</f>
        <v>180751.542064037</v>
      </c>
      <c r="BY154" s="180" t="n">
        <f aca="false">MAX(0,IFERROR(INDEX(TAB_IR,MATCH($C154,TAB_IR_DIAS,1),MATCH($F$8,TAB_IR_REGIMES,0)),0)*IF($F$26=2,BU154,MAX(0,BX154))-BW154)</f>
        <v>66150.3084128074</v>
      </c>
      <c r="BZ154" s="181" t="n">
        <f aca="false">MAX(0,BU154-BY154-BU154*$F$25)</f>
        <v>264601.23365123</v>
      </c>
      <c r="CA154" s="180" t="n">
        <f aca="false">BZ154/$D154</f>
        <v>195246.602354938</v>
      </c>
      <c r="CC154" s="180" t="n">
        <f aca="false">CJ153</f>
        <v>267327.185223653</v>
      </c>
      <c r="CD154" s="180" t="n">
        <f aca="false">IF($G$9=0,0,IF($A154&gt;IN_PRAZO,0,IF(APORTE_CORRIGIDO="Sim",IN_APORTE*$D154,IN_APORTE))+IF(AND($G$35=1,PGBL_REINVESTE="Sim",$A154&gt;=13,$A154&lt;=IN_PRAZO,MONTH($B154)=5),PGBL_BENEFICIO,0))</f>
        <v>0</v>
      </c>
      <c r="CE154" s="180" t="n">
        <f aca="false">CD154*$G$24</f>
        <v>0</v>
      </c>
      <c r="CF154" s="180" t="n">
        <f aca="false">CC154*$G$19</f>
        <v>2180.6481165028</v>
      </c>
      <c r="CG154" s="180" t="n">
        <f aca="false">CC154*$G$22</f>
        <v>222.772654353044</v>
      </c>
      <c r="CH154" s="180" t="n">
        <f aca="false">$G$23*MAX(0,CF154-CC154*$G$18)</f>
        <v>0</v>
      </c>
      <c r="CI154" s="180" t="n">
        <f aca="false">IF(AND($G$27=1,OR(MONTH($B154)=5,MONTH($B154)=11)),MAX(0,$G$28*MAX(0,(CC154+CF154-CG154-CH154+CD154-CE154)+CL153-CK154)-CL153),0)</f>
        <v>1730.36794168809</v>
      </c>
      <c r="CJ154" s="181" t="n">
        <f aca="false">CC154+CF154-CG154-CH154+CD154-CE154-CI154</f>
        <v>267554.692744115</v>
      </c>
      <c r="CK154" s="180" t="n">
        <f aca="false">CK153+CD154-CE154</f>
        <v>150000</v>
      </c>
      <c r="CL154" s="180" t="n">
        <f aca="false">CL153+CI154</f>
        <v>20744.9457783732</v>
      </c>
      <c r="CM154" s="180" t="n">
        <f aca="false">CJ154+CL154-CK154</f>
        <v>138299.638522488</v>
      </c>
      <c r="CN154" s="180" t="n">
        <f aca="false">MAX(0,IFERROR(INDEX(TAB_IR,MATCH($C154,TAB_IR_DIAS,1),MATCH($G$8,TAB_IR_REGIMES,0)),0)*IF($G$26=2,CJ154,MAX(0,CM154))-CL154)</f>
        <v>0</v>
      </c>
      <c r="CO154" s="181" t="n">
        <f aca="false">MAX(0,CJ154-CN154-CJ154*$G$25)</f>
        <v>267554.692744115</v>
      </c>
      <c r="CP154" s="180" t="n">
        <f aca="false">CO154/$D154</f>
        <v>197425.930263289</v>
      </c>
    </row>
    <row r="155" customFormat="false" ht="12" hidden="false" customHeight="true" outlineLevel="0" collapsed="false">
      <c r="A155" s="177" t="n">
        <v>94</v>
      </c>
      <c r="B155" s="178" t="n">
        <f aca="false">EDATE(DATA_INICIO,$A155)</f>
        <v>49118</v>
      </c>
      <c r="C155" s="177" t="n">
        <f aca="false">$A155*30</f>
        <v>2820</v>
      </c>
      <c r="D155" s="179" t="n">
        <f aca="false">(1+IPCA_CENARIO)^($A155/12)</f>
        <v>1.35965218361987</v>
      </c>
      <c r="F155" s="180" t="n">
        <f aca="false">M154</f>
        <v>355518.409040235</v>
      </c>
      <c r="G155" s="180" t="n">
        <f aca="false">IF($B$9=0,0,IF($A155&gt;IN_PRAZO,0,IF(APORTE_CORRIGIDO="Sim",IN_APORTE*$D155,IN_APORTE))+IF(AND($B$35=1,PGBL_REINVESTE="Sim",$A155&gt;=13,$A155&lt;=IN_PRAZO,MONTH($B155)=5),PGBL_BENEFICIO,0))</f>
        <v>0</v>
      </c>
      <c r="H155" s="180" t="n">
        <f aca="false">G155*$B$24</f>
        <v>0</v>
      </c>
      <c r="I155" s="180" t="n">
        <f aca="false">F155*$B$19</f>
        <v>3373.44056781519</v>
      </c>
      <c r="J155" s="180" t="n">
        <f aca="false">F155*$B$22</f>
        <v>59.2530681733725</v>
      </c>
      <c r="K155" s="180" t="n">
        <f aca="false">$B$23*MAX(0,I155-F155*$B$18)</f>
        <v>0</v>
      </c>
      <c r="L155" s="180" t="n">
        <f aca="false">IF(AND($B$27=1,OR(MONTH($B155)=5,MONTH($B155)=11)),MAX(0,$B$28*MAX(0,(F155+I155-J155-K155+G155-H155)+O154-N155)-O154),0)</f>
        <v>0</v>
      </c>
      <c r="M155" s="181" t="n">
        <f aca="false">F155+I155-J155-K155+G155-H155-L155</f>
        <v>358832.596539877</v>
      </c>
      <c r="N155" s="180" t="n">
        <f aca="false">N154+G155-H155</f>
        <v>150000</v>
      </c>
      <c r="O155" s="180" t="n">
        <f aca="false">O154+L155</f>
        <v>0</v>
      </c>
      <c r="P155" s="180" t="n">
        <f aca="false">M155+O155-N155</f>
        <v>208832.596539877</v>
      </c>
      <c r="Q155" s="180" t="n">
        <f aca="false">MAX(0,IFERROR(INDEX(TAB_IR,MATCH($C155,TAB_IR_DIAS,1),MATCH($B$8,TAB_IR_REGIMES,0)),0)*IF($B$26=2,M155,MAX(0,P155))-O155)</f>
        <v>31324.8894809815</v>
      </c>
      <c r="R155" s="181" t="n">
        <f aca="false">MAX(0,M155-Q155-M155*$B$25)</f>
        <v>327507.707058895</v>
      </c>
      <c r="S155" s="180" t="n">
        <f aca="false">R155/$D155</f>
        <v>240876.093904365</v>
      </c>
      <c r="U155" s="180" t="n">
        <f aca="false">AB154</f>
        <v>314443.37177229</v>
      </c>
      <c r="V155" s="180" t="n">
        <f aca="false">IF($C$9=0,0,IF($A155&gt;IN_PRAZO,0,IF(APORTE_CORRIGIDO="Sim",IN_APORTE*$D155,IN_APORTE))+IF(AND($C$35=1,PGBL_REINVESTE="Sim",$A155&gt;=13,$A155&lt;=IN_PRAZO,MONTH($B155)=5),PGBL_BENEFICIO,0))</f>
        <v>0</v>
      </c>
      <c r="W155" s="180" t="n">
        <f aca="false">V155*$C$24</f>
        <v>0</v>
      </c>
      <c r="X155" s="180" t="n">
        <f aca="false">U155*$C$19</f>
        <v>2564.98547212236</v>
      </c>
      <c r="Y155" s="180" t="n">
        <f aca="false">U155*$C$22</f>
        <v>52.407228628715</v>
      </c>
      <c r="Z155" s="180" t="n">
        <f aca="false">$C$23*MAX(0,X155-U155*$C$18)</f>
        <v>0</v>
      </c>
      <c r="AA155" s="180" t="n">
        <f aca="false">IF(AND($C$27=1,OR(MONTH($B155)=5,MONTH($B155)=11)),MAX(0,$C$28*MAX(0,(U155+X155-Y155-Z155+V155-W155)+AD154-AC155)-AD154),0)</f>
        <v>0</v>
      </c>
      <c r="AB155" s="181" t="n">
        <f aca="false">U155+X155-Y155-Z155+V155-W155-AA155</f>
        <v>316955.950015784</v>
      </c>
      <c r="AC155" s="180" t="n">
        <f aca="false">AC154+V155-W155</f>
        <v>150000</v>
      </c>
      <c r="AD155" s="180" t="n">
        <f aca="false">AD154+AA155</f>
        <v>0</v>
      </c>
      <c r="AE155" s="180" t="n">
        <f aca="false">AB155+AD155-AC155</f>
        <v>166955.950015784</v>
      </c>
      <c r="AF155" s="180" t="n">
        <f aca="false">MAX(0,IFERROR(INDEX(TAB_IR,MATCH($C155,TAB_IR_DIAS,1),MATCH($C$8,TAB_IR_REGIMES,0)),0)*IF($C$26=2,AB155,MAX(0,AE155))-AD155)</f>
        <v>25043.3925023675</v>
      </c>
      <c r="AG155" s="181" t="n">
        <f aca="false">MAX(0,AB155-AF155-AB155*$C$25)</f>
        <v>291912.557513416</v>
      </c>
      <c r="AH155" s="180" t="n">
        <f aca="false">AG155/$D155</f>
        <v>214696.494463931</v>
      </c>
      <c r="AJ155" s="180" t="n">
        <f aca="false">AQ154</f>
        <v>285712.250050502</v>
      </c>
      <c r="AK155" s="180" t="n">
        <f aca="false">IF($D$9=0,0,IF($A155&gt;IN_PRAZO,0,IF(APORTE_CORRIGIDO="Sim",IN_APORTE*$D155,IN_APORTE))+IF(AND($D$35=1,PGBL_REINVESTE="Sim",$A155&gt;=13,$A155&lt;=IN_PRAZO,MONTH($B155)=5),PGBL_BENEFICIO,0))</f>
        <v>0</v>
      </c>
      <c r="AL155" s="180" t="n">
        <f aca="false">AK155*$D$24</f>
        <v>0</v>
      </c>
      <c r="AM155" s="180" t="n">
        <f aca="false">AJ155*$D$19</f>
        <v>2568.18085904812</v>
      </c>
      <c r="AN155" s="180" t="n">
        <f aca="false">AJ155*$D$22</f>
        <v>238.093541708752</v>
      </c>
      <c r="AO155" s="180" t="n">
        <f aca="false">$D$23*MAX(0,AM155-AJ155*$D$18)</f>
        <v>0</v>
      </c>
      <c r="AP155" s="180" t="n">
        <f aca="false">IF(AND($D$27=1,OR(MONTH($B155)=5,MONTH($B155)=11)),MAX(0,$D$28*MAX(0,(AJ155+AM155-AN155-AO155+AK155-AL155)+AS154-AR155)-AS154),0)</f>
        <v>0</v>
      </c>
      <c r="AQ155" s="181" t="n">
        <f aca="false">AJ155+AM155-AN155-AO155+AK155-AL155-AP155</f>
        <v>288042.337367841</v>
      </c>
      <c r="AR155" s="180" t="n">
        <f aca="false">AR154+AK155-AL155</f>
        <v>150000</v>
      </c>
      <c r="AS155" s="180" t="n">
        <f aca="false">AS154+AP155</f>
        <v>23949.2205971474</v>
      </c>
      <c r="AT155" s="180" t="n">
        <f aca="false">AQ155+AS155-AR155</f>
        <v>161991.557964988</v>
      </c>
      <c r="AU155" s="180" t="n">
        <f aca="false">MAX(0,IFERROR(INDEX(TAB_IR,MATCH($C155,TAB_IR_DIAS,1),MATCH($D$8,TAB_IR_REGIMES,0)),0)*IF($D$26=2,AQ155,MAX(0,AT155))-AS155)</f>
        <v>349.513097600899</v>
      </c>
      <c r="AV155" s="181" t="n">
        <f aca="false">MAX(0,AQ155-AU155-AQ155*$D$25)</f>
        <v>287692.82427024</v>
      </c>
      <c r="AW155" s="180" t="n">
        <f aca="false">AV155/$D155</f>
        <v>211592.955710409</v>
      </c>
      <c r="AY155" s="180" t="n">
        <f aca="false">BF154</f>
        <v>330751.542064037</v>
      </c>
      <c r="AZ155" s="180" t="n">
        <f aca="false">IF($E$9=0,0,IF($A155&gt;IN_PRAZO,0,IF(APORTE_CORRIGIDO="Sim",IN_APORTE*$D155,IN_APORTE))+IF(AND($E$35=1,PGBL_REINVESTE="Sim",$A155&gt;=13,$A155&lt;=IN_PRAZO,MONTH($B155)=5),PGBL_BENEFICIO,0))</f>
        <v>0</v>
      </c>
      <c r="BA155" s="180" t="n">
        <f aca="false">AZ155*$E$24</f>
        <v>0</v>
      </c>
      <c r="BB155" s="180" t="n">
        <f aca="false">AY155*$E$19</f>
        <v>3237.64261946056</v>
      </c>
      <c r="BC155" s="180" t="n">
        <f aca="false">AY155*$E$22</f>
        <v>413.439427580046</v>
      </c>
      <c r="BD155" s="180" t="n">
        <f aca="false">$E$23*MAX(0,BB155-AY155*$E$18)</f>
        <v>0</v>
      </c>
      <c r="BE155" s="180" t="n">
        <f aca="false">IF(AND($E$27=1,OR(MONTH($B155)=5,MONTH($B155)=11)),MAX(0,$E$28*MAX(0,(AY155+BB155-BC155-BD155+AZ155-BA155)+BH154-BG155)-BH154),0)</f>
        <v>0</v>
      </c>
      <c r="BF155" s="181" t="n">
        <f aca="false">AY155+BB155-BC155-BD155+AZ155-BA155-BE155</f>
        <v>333575.745255918</v>
      </c>
      <c r="BG155" s="180" t="n">
        <f aca="false">BG154+AZ155-BA155</f>
        <v>150000</v>
      </c>
      <c r="BH155" s="180" t="n">
        <f aca="false">BH154+BE155</f>
        <v>0</v>
      </c>
      <c r="BI155" s="180" t="n">
        <f aca="false">BF155+BH155-BG155</f>
        <v>183575.745255918</v>
      </c>
      <c r="BJ155" s="180" t="n">
        <f aca="false">MAX(0,IFERROR(INDEX(TAB_IR,MATCH($C155,TAB_IR_DIAS,1),MATCH($E$8,TAB_IR_REGIMES,0)),0)*IF($E$26=2,BF155,MAX(0,BI155))-BH155)</f>
        <v>36715.1490511835</v>
      </c>
      <c r="BK155" s="181" t="n">
        <f aca="false">MAX(0,BF155-BJ155-BF155*$E$25)</f>
        <v>296860.596204734</v>
      </c>
      <c r="BL155" s="180" t="n">
        <f aca="false">BK155/$D155</f>
        <v>218335.688921844</v>
      </c>
      <c r="BN155" s="180" t="n">
        <f aca="false">BU154</f>
        <v>330751.542064037</v>
      </c>
      <c r="BO155" s="180" t="n">
        <f aca="false">IF($F$9=0,0,IF($A155&gt;IN_PRAZO,0,IF(APORTE_CORRIGIDO="Sim",IN_APORTE*$D155,IN_APORTE))+IF(AND($F$35=1,PGBL_REINVESTE="Sim",$A155&gt;=13,$A155&lt;=IN_PRAZO,MONTH($B155)=5),PGBL_BENEFICIO,0))</f>
        <v>0</v>
      </c>
      <c r="BP155" s="180" t="n">
        <f aca="false">BO155*$F$24</f>
        <v>0</v>
      </c>
      <c r="BQ155" s="180" t="n">
        <f aca="false">BN155*$F$19</f>
        <v>3237.64261946056</v>
      </c>
      <c r="BR155" s="180" t="n">
        <f aca="false">BN155*$F$22</f>
        <v>413.439427580046</v>
      </c>
      <c r="BS155" s="180" t="n">
        <f aca="false">$F$23*MAX(0,BQ155-BN155*$F$18)</f>
        <v>0</v>
      </c>
      <c r="BT155" s="180" t="n">
        <f aca="false">IF(AND($F$27=1,OR(MONTH($B155)=5,MONTH($B155)=11)),MAX(0,$F$28*MAX(0,(BN155+BQ155-BR155-BS155+BO155-BP155)+BW154-BV155)-BW154),0)</f>
        <v>0</v>
      </c>
      <c r="BU155" s="181" t="n">
        <f aca="false">BN155+BQ155-BR155-BS155+BO155-BP155-BT155</f>
        <v>333575.745255918</v>
      </c>
      <c r="BV155" s="180" t="n">
        <f aca="false">BV154+BO155-BP155</f>
        <v>150000</v>
      </c>
      <c r="BW155" s="180" t="n">
        <f aca="false">BW154+BT155</f>
        <v>0</v>
      </c>
      <c r="BX155" s="180" t="n">
        <f aca="false">BU155+BW155-BV155</f>
        <v>183575.745255918</v>
      </c>
      <c r="BY155" s="180" t="n">
        <f aca="false">MAX(0,IFERROR(INDEX(TAB_IR,MATCH($C155,TAB_IR_DIAS,1),MATCH($F$8,TAB_IR_REGIMES,0)),0)*IF($F$26=2,BU155,MAX(0,BX155))-BW155)</f>
        <v>66715.1490511835</v>
      </c>
      <c r="BZ155" s="181" t="n">
        <f aca="false">MAX(0,BU155-BY155-BU155*$F$25)</f>
        <v>266860.596204734</v>
      </c>
      <c r="CA155" s="180" t="n">
        <f aca="false">BZ155/$D155</f>
        <v>196271.222463864</v>
      </c>
      <c r="CC155" s="180" t="n">
        <f aca="false">CJ154</f>
        <v>267554.692744115</v>
      </c>
      <c r="CD155" s="180" t="n">
        <f aca="false">IF($G$9=0,0,IF($A155&gt;IN_PRAZO,0,IF(APORTE_CORRIGIDO="Sim",IN_APORTE*$D155,IN_APORTE))+IF(AND($G$35=1,PGBL_REINVESTE="Sim",$A155&gt;=13,$A155&lt;=IN_PRAZO,MONTH($B155)=5),PGBL_BENEFICIO,0))</f>
        <v>0</v>
      </c>
      <c r="CE155" s="180" t="n">
        <f aca="false">CD155*$G$24</f>
        <v>0</v>
      </c>
      <c r="CF155" s="180" t="n">
        <f aca="false">CC155*$G$19</f>
        <v>2182.50394663684</v>
      </c>
      <c r="CG155" s="180" t="n">
        <f aca="false">CC155*$G$22</f>
        <v>222.962243953429</v>
      </c>
      <c r="CH155" s="180" t="n">
        <f aca="false">$G$23*MAX(0,CF155-CC155*$G$18)</f>
        <v>0</v>
      </c>
      <c r="CI155" s="180" t="n">
        <f aca="false">IF(AND($G$27=1,OR(MONTH($B155)=5,MONTH($B155)=11)),MAX(0,$G$28*MAX(0,(CC155+CF155-CG155-CH155+CD155-CE155)+CL154-CK155)-CL154),0)</f>
        <v>0</v>
      </c>
      <c r="CJ155" s="181" t="n">
        <f aca="false">CC155+CF155-CG155-CH155+CD155-CE155-CI155</f>
        <v>269514.234446798</v>
      </c>
      <c r="CK155" s="180" t="n">
        <f aca="false">CK154+CD155-CE155</f>
        <v>150000</v>
      </c>
      <c r="CL155" s="180" t="n">
        <f aca="false">CL154+CI155</f>
        <v>20744.9457783732</v>
      </c>
      <c r="CM155" s="180" t="n">
        <f aca="false">CJ155+CL155-CK155</f>
        <v>140259.180225171</v>
      </c>
      <c r="CN155" s="180" t="n">
        <f aca="false">MAX(0,IFERROR(INDEX(TAB_IR,MATCH($C155,TAB_IR_DIAS,1),MATCH($G$8,TAB_IR_REGIMES,0)),0)*IF($G$26=2,CJ155,MAX(0,CM155))-CL155)</f>
        <v>293.931255402513</v>
      </c>
      <c r="CO155" s="181" t="n">
        <f aca="false">MAX(0,CJ155-CN155-CJ155*$G$25)</f>
        <v>269220.303191396</v>
      </c>
      <c r="CP155" s="180" t="n">
        <f aca="false">CO155/$D155</f>
        <v>198006.744985792</v>
      </c>
    </row>
    <row r="156" customFormat="false" ht="12" hidden="false" customHeight="true" outlineLevel="0" collapsed="false">
      <c r="A156" s="177" t="n">
        <v>95</v>
      </c>
      <c r="B156" s="178" t="n">
        <f aca="false">EDATE(DATA_INICIO,$A156)</f>
        <v>49148</v>
      </c>
      <c r="C156" s="177" t="n">
        <f aca="false">$A156*30</f>
        <v>2850</v>
      </c>
      <c r="D156" s="179" t="n">
        <f aca="false">(1+IPCA_CENARIO)^($A156/12)</f>
        <v>1.36410333106334</v>
      </c>
      <c r="F156" s="180" t="n">
        <f aca="false">M155</f>
        <v>358832.596539877</v>
      </c>
      <c r="G156" s="180" t="n">
        <f aca="false">IF($B$9=0,0,IF($A156&gt;IN_PRAZO,0,IF(APORTE_CORRIGIDO="Sim",IN_APORTE*$D156,IN_APORTE))+IF(AND($B$35=1,PGBL_REINVESTE="Sim",$A156&gt;=13,$A156&lt;=IN_PRAZO,MONTH($B156)=5),PGBL_BENEFICIO,0))</f>
        <v>0</v>
      </c>
      <c r="H156" s="180" t="n">
        <f aca="false">G156*$B$24</f>
        <v>0</v>
      </c>
      <c r="I156" s="180" t="n">
        <f aca="false">F156*$B$19</f>
        <v>3404.88820674567</v>
      </c>
      <c r="J156" s="180" t="n">
        <f aca="false">F156*$B$22</f>
        <v>59.8054327566462</v>
      </c>
      <c r="K156" s="180" t="n">
        <f aca="false">$B$23*MAX(0,I156-F156*$B$18)</f>
        <v>0</v>
      </c>
      <c r="L156" s="180" t="n">
        <f aca="false">IF(AND($B$27=1,OR(MONTH($B156)=5,MONTH($B156)=11)),MAX(0,$B$28*MAX(0,(F156+I156-J156-K156+G156-H156)+O155-N156)-O155),0)</f>
        <v>0</v>
      </c>
      <c r="M156" s="181" t="n">
        <f aca="false">F156+I156-J156-K156+G156-H156-L156</f>
        <v>362177.679313866</v>
      </c>
      <c r="N156" s="180" t="n">
        <f aca="false">N155+G156-H156</f>
        <v>150000</v>
      </c>
      <c r="O156" s="180" t="n">
        <f aca="false">O155+L156</f>
        <v>0</v>
      </c>
      <c r="P156" s="180" t="n">
        <f aca="false">M156+O156-N156</f>
        <v>212177.679313866</v>
      </c>
      <c r="Q156" s="180" t="n">
        <f aca="false">MAX(0,IFERROR(INDEX(TAB_IR,MATCH($C156,TAB_IR_DIAS,1),MATCH($B$8,TAB_IR_REGIMES,0)),0)*IF($B$26=2,M156,MAX(0,P156))-O156)</f>
        <v>31826.6518970799</v>
      </c>
      <c r="R156" s="181" t="n">
        <f aca="false">MAX(0,M156-Q156-M156*$B$25)</f>
        <v>330351.027416786</v>
      </c>
      <c r="S156" s="180" t="n">
        <f aca="false">R156/$D156</f>
        <v>242174.489200369</v>
      </c>
      <c r="U156" s="180" t="n">
        <f aca="false">AB155</f>
        <v>316955.950015784</v>
      </c>
      <c r="V156" s="180" t="n">
        <f aca="false">IF($C$9=0,0,IF($A156&gt;IN_PRAZO,0,IF(APORTE_CORRIGIDO="Sim",IN_APORTE*$D156,IN_APORTE))+IF(AND($C$35=1,PGBL_REINVESTE="Sim",$A156&gt;=13,$A156&lt;=IN_PRAZO,MONTH($B156)=5),PGBL_BENEFICIO,0))</f>
        <v>0</v>
      </c>
      <c r="W156" s="180" t="n">
        <f aca="false">V156*$C$24</f>
        <v>0</v>
      </c>
      <c r="X156" s="180" t="n">
        <f aca="false">U156*$C$19</f>
        <v>2585.48113929387</v>
      </c>
      <c r="Y156" s="180" t="n">
        <f aca="false">U156*$C$22</f>
        <v>52.8259916692973</v>
      </c>
      <c r="Z156" s="180" t="n">
        <f aca="false">$C$23*MAX(0,X156-U156*$C$18)</f>
        <v>0</v>
      </c>
      <c r="AA156" s="180" t="n">
        <f aca="false">IF(AND($C$27=1,OR(MONTH($B156)=5,MONTH($B156)=11)),MAX(0,$C$28*MAX(0,(U156+X156-Y156-Z156+V156-W156)+AD155-AC156)-AD155),0)</f>
        <v>0</v>
      </c>
      <c r="AB156" s="181" t="n">
        <f aca="false">U156+X156-Y156-Z156+V156-W156-AA156</f>
        <v>319488.605163408</v>
      </c>
      <c r="AC156" s="180" t="n">
        <f aca="false">AC155+V156-W156</f>
        <v>150000</v>
      </c>
      <c r="AD156" s="180" t="n">
        <f aca="false">AD155+AA156</f>
        <v>0</v>
      </c>
      <c r="AE156" s="180" t="n">
        <f aca="false">AB156+AD156-AC156</f>
        <v>169488.605163408</v>
      </c>
      <c r="AF156" s="180" t="n">
        <f aca="false">MAX(0,IFERROR(INDEX(TAB_IR,MATCH($C156,TAB_IR_DIAS,1),MATCH($C$8,TAB_IR_REGIMES,0)),0)*IF($C$26=2,AB156,MAX(0,AE156))-AD156)</f>
        <v>25423.2907745112</v>
      </c>
      <c r="AG156" s="181" t="n">
        <f aca="false">MAX(0,AB156-AF156-AB156*$C$25)</f>
        <v>294065.314388897</v>
      </c>
      <c r="AH156" s="180" t="n">
        <f aca="false">AG156/$D156</f>
        <v>215574.075432884</v>
      </c>
      <c r="AJ156" s="180" t="n">
        <f aca="false">AQ155</f>
        <v>288042.337367841</v>
      </c>
      <c r="AK156" s="180" t="n">
        <f aca="false">IF($D$9=0,0,IF($A156&gt;IN_PRAZO,0,IF(APORTE_CORRIGIDO="Sim",IN_APORTE*$D156,IN_APORTE))+IF(AND($D$35=1,PGBL_REINVESTE="Sim",$A156&gt;=13,$A156&lt;=IN_PRAZO,MONTH($B156)=5),PGBL_BENEFICIO,0))</f>
        <v>0</v>
      </c>
      <c r="AL156" s="180" t="n">
        <f aca="false">AK156*$D$24</f>
        <v>0</v>
      </c>
      <c r="AM156" s="180" t="n">
        <f aca="false">AJ156*$D$19</f>
        <v>2589.12530804267</v>
      </c>
      <c r="AN156" s="180" t="n">
        <f aca="false">AJ156*$D$22</f>
        <v>240.035281139868</v>
      </c>
      <c r="AO156" s="180" t="n">
        <f aca="false">$D$23*MAX(0,AM156-AJ156*$D$18)</f>
        <v>0</v>
      </c>
      <c r="AP156" s="180" t="n">
        <f aca="false">IF(AND($D$27=1,OR(MONTH($B156)=5,MONTH($B156)=11)),MAX(0,$D$28*MAX(0,(AJ156+AM156-AN156-AO156+AK156-AL156)+AS155-AR156)-AS155),0)</f>
        <v>0</v>
      </c>
      <c r="AQ156" s="181" t="n">
        <f aca="false">AJ156+AM156-AN156-AO156+AK156-AL156-AP156</f>
        <v>290391.427394744</v>
      </c>
      <c r="AR156" s="180" t="n">
        <f aca="false">AR155+AK156-AL156</f>
        <v>150000</v>
      </c>
      <c r="AS156" s="180" t="n">
        <f aca="false">AS155+AP156</f>
        <v>23949.2205971474</v>
      </c>
      <c r="AT156" s="180" t="n">
        <f aca="false">AQ156+AS156-AR156</f>
        <v>164340.647991891</v>
      </c>
      <c r="AU156" s="180" t="n">
        <f aca="false">MAX(0,IFERROR(INDEX(TAB_IR,MATCH($C156,TAB_IR_DIAS,1),MATCH($D$8,TAB_IR_REGIMES,0)),0)*IF($D$26=2,AQ156,MAX(0,AT156))-AS156)</f>
        <v>701.876601636315</v>
      </c>
      <c r="AV156" s="181" t="n">
        <f aca="false">MAX(0,AQ156-AU156-AQ156*$D$25)</f>
        <v>289689.550793108</v>
      </c>
      <c r="AW156" s="180" t="n">
        <f aca="false">AV156/$D156</f>
        <v>212366.280615479</v>
      </c>
      <c r="AY156" s="180" t="n">
        <f aca="false">BF155</f>
        <v>333575.745255918</v>
      </c>
      <c r="AZ156" s="180" t="n">
        <f aca="false">IF($E$9=0,0,IF($A156&gt;IN_PRAZO,0,IF(APORTE_CORRIGIDO="Sim",IN_APORTE*$D156,IN_APORTE))+IF(AND($E$35=1,PGBL_REINVESTE="Sim",$A156&gt;=13,$A156&lt;=IN_PRAZO,MONTH($B156)=5),PGBL_BENEFICIO,0))</f>
        <v>0</v>
      </c>
      <c r="BA156" s="180" t="n">
        <f aca="false">AZ156*$E$24</f>
        <v>0</v>
      </c>
      <c r="BB156" s="180" t="n">
        <f aca="false">AY156*$E$19</f>
        <v>3265.28802532319</v>
      </c>
      <c r="BC156" s="180" t="n">
        <f aca="false">AY156*$E$22</f>
        <v>416.969681569897</v>
      </c>
      <c r="BD156" s="180" t="n">
        <f aca="false">$E$23*MAX(0,BB156-AY156*$E$18)</f>
        <v>0</v>
      </c>
      <c r="BE156" s="180" t="n">
        <f aca="false">IF(AND($E$27=1,OR(MONTH($B156)=5,MONTH($B156)=11)),MAX(0,$E$28*MAX(0,(AY156+BB156-BC156-BD156+AZ156-BA156)+BH155-BG156)-BH155),0)</f>
        <v>0</v>
      </c>
      <c r="BF156" s="181" t="n">
        <f aca="false">AY156+BB156-BC156-BD156+AZ156-BA156-BE156</f>
        <v>336424.063599671</v>
      </c>
      <c r="BG156" s="180" t="n">
        <f aca="false">BG155+AZ156-BA156</f>
        <v>150000</v>
      </c>
      <c r="BH156" s="180" t="n">
        <f aca="false">BH155+BE156</f>
        <v>0</v>
      </c>
      <c r="BI156" s="180" t="n">
        <f aca="false">BF156+BH156-BG156</f>
        <v>186424.063599671</v>
      </c>
      <c r="BJ156" s="180" t="n">
        <f aca="false">MAX(0,IFERROR(INDEX(TAB_IR,MATCH($C156,TAB_IR_DIAS,1),MATCH($E$8,TAB_IR_REGIMES,0)),0)*IF($E$26=2,BF156,MAX(0,BI156))-BH156)</f>
        <v>37284.8127199342</v>
      </c>
      <c r="BK156" s="181" t="n">
        <f aca="false">MAX(0,BF156-BJ156-BF156*$E$25)</f>
        <v>299139.250879737</v>
      </c>
      <c r="BL156" s="180" t="n">
        <f aca="false">BK156/$D156</f>
        <v>219293.688438216</v>
      </c>
      <c r="BN156" s="180" t="n">
        <f aca="false">BU155</f>
        <v>333575.745255918</v>
      </c>
      <c r="BO156" s="180" t="n">
        <f aca="false">IF($F$9=0,0,IF($A156&gt;IN_PRAZO,0,IF(APORTE_CORRIGIDO="Sim",IN_APORTE*$D156,IN_APORTE))+IF(AND($F$35=1,PGBL_REINVESTE="Sim",$A156&gt;=13,$A156&lt;=IN_PRAZO,MONTH($B156)=5),PGBL_BENEFICIO,0))</f>
        <v>0</v>
      </c>
      <c r="BP156" s="180" t="n">
        <f aca="false">BO156*$F$24</f>
        <v>0</v>
      </c>
      <c r="BQ156" s="180" t="n">
        <f aca="false">BN156*$F$19</f>
        <v>3265.28802532319</v>
      </c>
      <c r="BR156" s="180" t="n">
        <f aca="false">BN156*$F$22</f>
        <v>416.969681569897</v>
      </c>
      <c r="BS156" s="180" t="n">
        <f aca="false">$F$23*MAX(0,BQ156-BN156*$F$18)</f>
        <v>0</v>
      </c>
      <c r="BT156" s="180" t="n">
        <f aca="false">IF(AND($F$27=1,OR(MONTH($B156)=5,MONTH($B156)=11)),MAX(0,$F$28*MAX(0,(BN156+BQ156-BR156-BS156+BO156-BP156)+BW155-BV156)-BW155),0)</f>
        <v>0</v>
      </c>
      <c r="BU156" s="181" t="n">
        <f aca="false">BN156+BQ156-BR156-BS156+BO156-BP156-BT156</f>
        <v>336424.063599671</v>
      </c>
      <c r="BV156" s="180" t="n">
        <f aca="false">BV155+BO156-BP156</f>
        <v>150000</v>
      </c>
      <c r="BW156" s="180" t="n">
        <f aca="false">BW155+BT156</f>
        <v>0</v>
      </c>
      <c r="BX156" s="180" t="n">
        <f aca="false">BU156+BW156-BV156</f>
        <v>186424.063599671</v>
      </c>
      <c r="BY156" s="180" t="n">
        <f aca="false">MAX(0,IFERROR(INDEX(TAB_IR,MATCH($C156,TAB_IR_DIAS,1),MATCH($F$8,TAB_IR_REGIMES,0)),0)*IF($F$26=2,BU156,MAX(0,BX156))-BW156)</f>
        <v>67284.8127199342</v>
      </c>
      <c r="BZ156" s="181" t="n">
        <f aca="false">MAX(0,BU156-BY156-BU156*$F$25)</f>
        <v>269139.250879737</v>
      </c>
      <c r="CA156" s="180" t="n">
        <f aca="false">BZ156/$D156</f>
        <v>197301.219600379</v>
      </c>
      <c r="CC156" s="180" t="n">
        <f aca="false">CJ155</f>
        <v>269514.234446798</v>
      </c>
      <c r="CD156" s="180" t="n">
        <f aca="false">IF($G$9=0,0,IF($A156&gt;IN_PRAZO,0,IF(APORTE_CORRIGIDO="Sim",IN_APORTE*$D156,IN_APORTE))+IF(AND($G$35=1,PGBL_REINVESTE="Sim",$A156&gt;=13,$A156&lt;=IN_PRAZO,MONTH($B156)=5),PGBL_BENEFICIO,0))</f>
        <v>0</v>
      </c>
      <c r="CE156" s="180" t="n">
        <f aca="false">CD156*$G$24</f>
        <v>0</v>
      </c>
      <c r="CF156" s="180" t="n">
        <f aca="false">CC156*$G$19</f>
        <v>2198.48837006759</v>
      </c>
      <c r="CG156" s="180" t="n">
        <f aca="false">CC156*$G$22</f>
        <v>224.595195372332</v>
      </c>
      <c r="CH156" s="180" t="n">
        <f aca="false">$G$23*MAX(0,CF156-CC156*$G$18)</f>
        <v>0</v>
      </c>
      <c r="CI156" s="180" t="n">
        <f aca="false">IF(AND($G$27=1,OR(MONTH($B156)=5,MONTH($B156)=11)),MAX(0,$G$28*MAX(0,(CC156+CF156-CG156-CH156+CD156-CE156)+CL155-CK156)-CL155),0)</f>
        <v>0</v>
      </c>
      <c r="CJ156" s="181" t="n">
        <f aca="false">CC156+CF156-CG156-CH156+CD156-CE156-CI156</f>
        <v>271488.127621493</v>
      </c>
      <c r="CK156" s="180" t="n">
        <f aca="false">CK155+CD156-CE156</f>
        <v>150000</v>
      </c>
      <c r="CL156" s="180" t="n">
        <f aca="false">CL155+CI156</f>
        <v>20744.9457783732</v>
      </c>
      <c r="CM156" s="180" t="n">
        <f aca="false">CJ156+CL156-CK156</f>
        <v>142233.073399867</v>
      </c>
      <c r="CN156" s="180" t="n">
        <f aca="false">MAX(0,IFERROR(INDEX(TAB_IR,MATCH($C156,TAB_IR_DIAS,1),MATCH($G$8,TAB_IR_REGIMES,0)),0)*IF($G$26=2,CJ156,MAX(0,CM156))-CL156)</f>
        <v>590.015231606794</v>
      </c>
      <c r="CO156" s="181" t="n">
        <f aca="false">MAX(0,CJ156-CN156-CJ156*$G$25)</f>
        <v>270898.112389887</v>
      </c>
      <c r="CP156" s="180" t="n">
        <f aca="false">CO156/$D156</f>
        <v>198590.609832114</v>
      </c>
    </row>
    <row r="157" customFormat="false" ht="12" hidden="false" customHeight="true" outlineLevel="0" collapsed="false">
      <c r="A157" s="177" t="n">
        <v>96</v>
      </c>
      <c r="B157" s="178" t="n">
        <f aca="false">EDATE(DATA_INICIO,$A157)</f>
        <v>49179</v>
      </c>
      <c r="C157" s="177" t="n">
        <f aca="false">$A157*30</f>
        <v>2880</v>
      </c>
      <c r="D157" s="179" t="n">
        <f aca="false">(1+IPCA_CENARIO)^($A157/12)</f>
        <v>1.36856905040527</v>
      </c>
      <c r="F157" s="180" t="n">
        <f aca="false">M156</f>
        <v>362177.679313866</v>
      </c>
      <c r="G157" s="180" t="n">
        <f aca="false">IF($B$9=0,0,IF($A157&gt;IN_PRAZO,0,IF(APORTE_CORRIGIDO="Sim",IN_APORTE*$D157,IN_APORTE))+IF(AND($B$35=1,PGBL_REINVESTE="Sim",$A157&gt;=13,$A157&lt;=IN_PRAZO,MONTH($B157)=5),PGBL_BENEFICIO,0))</f>
        <v>0</v>
      </c>
      <c r="H157" s="180" t="n">
        <f aca="false">G157*$B$24</f>
        <v>0</v>
      </c>
      <c r="I157" s="180" t="n">
        <f aca="false">F157*$B$19</f>
        <v>3436.62900453709</v>
      </c>
      <c r="J157" s="180" t="n">
        <f aca="false">F157*$B$22</f>
        <v>60.362946552311</v>
      </c>
      <c r="K157" s="180" t="n">
        <f aca="false">$B$23*MAX(0,I157-F157*$B$18)</f>
        <v>0</v>
      </c>
      <c r="L157" s="180" t="n">
        <f aca="false">IF(AND($B$27=1,OR(MONTH($B157)=5,MONTH($B157)=11)),MAX(0,$B$28*MAX(0,(F157+I157-J157-K157+G157-H157)+O156-N157)-O156),0)</f>
        <v>0</v>
      </c>
      <c r="M157" s="181" t="n">
        <f aca="false">F157+I157-J157-K157+G157-H157-L157</f>
        <v>365553.945371851</v>
      </c>
      <c r="N157" s="180" t="n">
        <f aca="false">N156+G157-H157</f>
        <v>150000</v>
      </c>
      <c r="O157" s="180" t="n">
        <f aca="false">O156+L157</f>
        <v>0</v>
      </c>
      <c r="P157" s="180" t="n">
        <f aca="false">M157+O157-N157</f>
        <v>215553.945371851</v>
      </c>
      <c r="Q157" s="180" t="n">
        <f aca="false">MAX(0,IFERROR(INDEX(TAB_IR,MATCH($C157,TAB_IR_DIAS,1),MATCH($B$8,TAB_IR_REGIMES,0)),0)*IF($B$26=2,M157,MAX(0,P157))-O157)</f>
        <v>32333.0918057776</v>
      </c>
      <c r="R157" s="181" t="n">
        <f aca="false">MAX(0,M157-Q157-M157*$B$25)</f>
        <v>333220.853566073</v>
      </c>
      <c r="S157" s="180" t="n">
        <f aca="false">R157/$D157</f>
        <v>243481.21380313</v>
      </c>
      <c r="U157" s="180" t="n">
        <f aca="false">AB156</f>
        <v>319488.605163408</v>
      </c>
      <c r="V157" s="180" t="n">
        <f aca="false">IF($C$9=0,0,IF($A157&gt;IN_PRAZO,0,IF(APORTE_CORRIGIDO="Sim",IN_APORTE*$D157,IN_APORTE))+IF(AND($C$35=1,PGBL_REINVESTE="Sim",$A157&gt;=13,$A157&lt;=IN_PRAZO,MONTH($B157)=5),PGBL_BENEFICIO,0))</f>
        <v>0</v>
      </c>
      <c r="W157" s="180" t="n">
        <f aca="false">V157*$C$24</f>
        <v>0</v>
      </c>
      <c r="X157" s="180" t="n">
        <f aca="false">U157*$C$19</f>
        <v>2606.14057829855</v>
      </c>
      <c r="Y157" s="180" t="n">
        <f aca="false">U157*$C$22</f>
        <v>53.248100860568</v>
      </c>
      <c r="Z157" s="180" t="n">
        <f aca="false">$C$23*MAX(0,X157-U157*$C$18)</f>
        <v>0</v>
      </c>
      <c r="AA157" s="180" t="n">
        <f aca="false">IF(AND($C$27=1,OR(MONTH($B157)=5,MONTH($B157)=11)),MAX(0,$C$28*MAX(0,(U157+X157-Y157-Z157+V157-W157)+AD156-AC157)-AD156),0)</f>
        <v>0</v>
      </c>
      <c r="AB157" s="181" t="n">
        <f aca="false">U157+X157-Y157-Z157+V157-W157-AA157</f>
        <v>322041.497640846</v>
      </c>
      <c r="AC157" s="180" t="n">
        <f aca="false">AC156+V157-W157</f>
        <v>150000</v>
      </c>
      <c r="AD157" s="180" t="n">
        <f aca="false">AD156+AA157</f>
        <v>0</v>
      </c>
      <c r="AE157" s="180" t="n">
        <f aca="false">AB157+AD157-AC157</f>
        <v>172041.497640846</v>
      </c>
      <c r="AF157" s="180" t="n">
        <f aca="false">MAX(0,IFERROR(INDEX(TAB_IR,MATCH($C157,TAB_IR_DIAS,1),MATCH($C$8,TAB_IR_REGIMES,0)),0)*IF($C$26=2,AB157,MAX(0,AE157))-AD157)</f>
        <v>25806.2246461269</v>
      </c>
      <c r="AG157" s="181" t="n">
        <f aca="false">MAX(0,AB157-AF157-AB157*$C$25)</f>
        <v>296235.272994719</v>
      </c>
      <c r="AH157" s="180" t="n">
        <f aca="false">AG157/$D157</f>
        <v>216456.21235333</v>
      </c>
      <c r="AJ157" s="180" t="n">
        <f aca="false">AQ156</f>
        <v>290391.427394744</v>
      </c>
      <c r="AK157" s="180" t="n">
        <f aca="false">IF($D$9=0,0,IF($A157&gt;IN_PRAZO,0,IF(APORTE_CORRIGIDO="Sim",IN_APORTE*$D157,IN_APORTE))+IF(AND($D$35=1,PGBL_REINVESTE="Sim",$A157&gt;=13,$A157&lt;=IN_PRAZO,MONTH($B157)=5),PGBL_BENEFICIO,0))</f>
        <v>0</v>
      </c>
      <c r="AL157" s="180" t="n">
        <f aca="false">AK157*$D$24</f>
        <v>0</v>
      </c>
      <c r="AM157" s="180" t="n">
        <f aca="false">AJ157*$D$19</f>
        <v>2610.24056663661</v>
      </c>
      <c r="AN157" s="180" t="n">
        <f aca="false">AJ157*$D$22</f>
        <v>241.992856162287</v>
      </c>
      <c r="AO157" s="180" t="n">
        <f aca="false">$D$23*MAX(0,AM157-AJ157*$D$18)</f>
        <v>0</v>
      </c>
      <c r="AP157" s="180" t="n">
        <f aca="false">IF(AND($D$27=1,OR(MONTH($B157)=5,MONTH($B157)=11)),MAX(0,$D$28*MAX(0,(AJ157+AM157-AN157-AO157+AK157-AL157)+AS156-AR157)-AS156),0)</f>
        <v>0</v>
      </c>
      <c r="AQ157" s="181" t="n">
        <f aca="false">AJ157+AM157-AN157-AO157+AK157-AL157-AP157</f>
        <v>292759.675105218</v>
      </c>
      <c r="AR157" s="180" t="n">
        <f aca="false">AR156+AK157-AL157</f>
        <v>150000</v>
      </c>
      <c r="AS157" s="180" t="n">
        <f aca="false">AS156+AP157</f>
        <v>23949.2205971474</v>
      </c>
      <c r="AT157" s="180" t="n">
        <f aca="false">AQ157+AS157-AR157</f>
        <v>166708.895702366</v>
      </c>
      <c r="AU157" s="180" t="n">
        <f aca="false">MAX(0,IFERROR(INDEX(TAB_IR,MATCH($C157,TAB_IR_DIAS,1),MATCH($D$8,TAB_IR_REGIMES,0)),0)*IF($D$26=2,AQ157,MAX(0,AT157))-AS157)</f>
        <v>1057.11375820746</v>
      </c>
      <c r="AV157" s="181" t="n">
        <f aca="false">MAX(0,AQ157-AU157-AQ157*$D$25)</f>
        <v>291702.561347011</v>
      </c>
      <c r="AW157" s="180" t="n">
        <f aca="false">AV157/$D157</f>
        <v>213144.204350251</v>
      </c>
      <c r="AY157" s="180" t="n">
        <f aca="false">BF156</f>
        <v>336424.063599671</v>
      </c>
      <c r="AZ157" s="180" t="n">
        <f aca="false">IF($E$9=0,0,IF($A157&gt;IN_PRAZO,0,IF(APORTE_CORRIGIDO="Sim",IN_APORTE*$D157,IN_APORTE))+IF(AND($E$35=1,PGBL_REINVESTE="Sim",$A157&gt;=13,$A157&lt;=IN_PRAZO,MONTH($B157)=5),PGBL_BENEFICIO,0))</f>
        <v>0</v>
      </c>
      <c r="BA157" s="180" t="n">
        <f aca="false">AZ157*$E$24</f>
        <v>0</v>
      </c>
      <c r="BB157" s="180" t="n">
        <f aca="false">AY157*$E$19</f>
        <v>3293.16948826657</v>
      </c>
      <c r="BC157" s="180" t="n">
        <f aca="false">AY157*$E$22</f>
        <v>420.530079499589</v>
      </c>
      <c r="BD157" s="180" t="n">
        <f aca="false">$E$23*MAX(0,BB157-AY157*$E$18)</f>
        <v>0</v>
      </c>
      <c r="BE157" s="180" t="n">
        <f aca="false">IF(AND($E$27=1,OR(MONTH($B157)=5,MONTH($B157)=11)),MAX(0,$E$28*MAX(0,(AY157+BB157-BC157-BD157+AZ157-BA157)+BH156-BG157)-BH156),0)</f>
        <v>0</v>
      </c>
      <c r="BF157" s="181" t="n">
        <f aca="false">AY157+BB157-BC157-BD157+AZ157-BA157-BE157</f>
        <v>339296.703008438</v>
      </c>
      <c r="BG157" s="180" t="n">
        <f aca="false">BG156+AZ157-BA157</f>
        <v>150000</v>
      </c>
      <c r="BH157" s="180" t="n">
        <f aca="false">BH156+BE157</f>
        <v>0</v>
      </c>
      <c r="BI157" s="180" t="n">
        <f aca="false">BF157+BH157-BG157</f>
        <v>189296.703008438</v>
      </c>
      <c r="BJ157" s="180" t="n">
        <f aca="false">MAX(0,IFERROR(INDEX(TAB_IR,MATCH($C157,TAB_IR_DIAS,1),MATCH($E$8,TAB_IR_REGIMES,0)),0)*IF($E$26=2,BF157,MAX(0,BI157))-BH157)</f>
        <v>37859.3406016876</v>
      </c>
      <c r="BK157" s="181" t="n">
        <f aca="false">MAX(0,BF157-BJ157-BF157*$E$25)</f>
        <v>301437.36240675</v>
      </c>
      <c r="BL157" s="180" t="n">
        <f aca="false">BK157/$D157</f>
        <v>220257.328132246</v>
      </c>
      <c r="BN157" s="180" t="n">
        <f aca="false">BU156</f>
        <v>336424.063599671</v>
      </c>
      <c r="BO157" s="180" t="n">
        <f aca="false">IF($F$9=0,0,IF($A157&gt;IN_PRAZO,0,IF(APORTE_CORRIGIDO="Sim",IN_APORTE*$D157,IN_APORTE))+IF(AND($F$35=1,PGBL_REINVESTE="Sim",$A157&gt;=13,$A157&lt;=IN_PRAZO,MONTH($B157)=5),PGBL_BENEFICIO,0))</f>
        <v>0</v>
      </c>
      <c r="BP157" s="180" t="n">
        <f aca="false">BO157*$F$24</f>
        <v>0</v>
      </c>
      <c r="BQ157" s="180" t="n">
        <f aca="false">BN157*$F$19</f>
        <v>3293.16948826657</v>
      </c>
      <c r="BR157" s="180" t="n">
        <f aca="false">BN157*$F$22</f>
        <v>420.530079499589</v>
      </c>
      <c r="BS157" s="180" t="n">
        <f aca="false">$F$23*MAX(0,BQ157-BN157*$F$18)</f>
        <v>0</v>
      </c>
      <c r="BT157" s="180" t="n">
        <f aca="false">IF(AND($F$27=1,OR(MONTH($B157)=5,MONTH($B157)=11)),MAX(0,$F$28*MAX(0,(BN157+BQ157-BR157-BS157+BO157-BP157)+BW156-BV157)-BW156),0)</f>
        <v>0</v>
      </c>
      <c r="BU157" s="181" t="n">
        <f aca="false">BN157+BQ157-BR157-BS157+BO157-BP157-BT157</f>
        <v>339296.703008438</v>
      </c>
      <c r="BV157" s="180" t="n">
        <f aca="false">BV156+BO157-BP157</f>
        <v>150000</v>
      </c>
      <c r="BW157" s="180" t="n">
        <f aca="false">BW156+BT157</f>
        <v>0</v>
      </c>
      <c r="BX157" s="180" t="n">
        <f aca="false">BU157+BW157-BV157</f>
        <v>189296.703008438</v>
      </c>
      <c r="BY157" s="180" t="n">
        <f aca="false">MAX(0,IFERROR(INDEX(TAB_IR,MATCH($C157,TAB_IR_DIAS,1),MATCH($F$8,TAB_IR_REGIMES,0)),0)*IF($F$26=2,BU157,MAX(0,BX157))-BW157)</f>
        <v>67859.3406016876</v>
      </c>
      <c r="BZ157" s="181" t="n">
        <f aca="false">MAX(0,BU157-BY157-BU157*$F$25)</f>
        <v>271437.36240675</v>
      </c>
      <c r="CA157" s="180" t="n">
        <f aca="false">BZ157/$D157</f>
        <v>198336.621982186</v>
      </c>
      <c r="CC157" s="180" t="n">
        <f aca="false">CJ156</f>
        <v>271488.127621493</v>
      </c>
      <c r="CD157" s="180" t="n">
        <f aca="false">IF($G$9=0,0,IF($A157&gt;IN_PRAZO,0,IF(APORTE_CORRIGIDO="Sim",IN_APORTE*$D157,IN_APORTE))+IF(AND($G$35=1,PGBL_REINVESTE="Sim",$A157&gt;=13,$A157&lt;=IN_PRAZO,MONTH($B157)=5),PGBL_BENEFICIO,0))</f>
        <v>0</v>
      </c>
      <c r="CE157" s="180" t="n">
        <f aca="false">CD157*$G$24</f>
        <v>0</v>
      </c>
      <c r="CF157" s="180" t="n">
        <f aca="false">CC157*$G$19</f>
        <v>2214.58986169095</v>
      </c>
      <c r="CG157" s="180" t="n">
        <f aca="false">CC157*$G$22</f>
        <v>226.240106351245</v>
      </c>
      <c r="CH157" s="180" t="n">
        <f aca="false">$G$23*MAX(0,CF157-CC157*$G$18)</f>
        <v>0</v>
      </c>
      <c r="CI157" s="180" t="n">
        <f aca="false">IF(AND($G$27=1,OR(MONTH($B157)=5,MONTH($B157)=11)),MAX(0,$G$28*MAX(0,(CC157+CF157-CG157-CH157+CD157-CE157)+CL156-CK157)-CL156),0)</f>
        <v>0</v>
      </c>
      <c r="CJ157" s="181" t="n">
        <f aca="false">CC157+CF157-CG157-CH157+CD157-CE157-CI157</f>
        <v>273476.477376833</v>
      </c>
      <c r="CK157" s="180" t="n">
        <f aca="false">CK156+CD157-CE157</f>
        <v>150000</v>
      </c>
      <c r="CL157" s="180" t="n">
        <f aca="false">CL156+CI157</f>
        <v>20744.9457783732</v>
      </c>
      <c r="CM157" s="180" t="n">
        <f aca="false">CJ157+CL157-CK157</f>
        <v>144221.423155206</v>
      </c>
      <c r="CN157" s="180" t="n">
        <f aca="false">MAX(0,IFERROR(INDEX(TAB_IR,MATCH($C157,TAB_IR_DIAS,1),MATCH($G$8,TAB_IR_REGIMES,0)),0)*IF($G$26=2,CJ157,MAX(0,CM157))-CL157)</f>
        <v>888.267694907747</v>
      </c>
      <c r="CO157" s="181" t="n">
        <f aca="false">MAX(0,CJ157-CN157-CJ157*$G$25)</f>
        <v>272588.209681925</v>
      </c>
      <c r="CP157" s="180" t="n">
        <f aca="false">CO157/$D157</f>
        <v>199177.53481361</v>
      </c>
    </row>
    <row r="158" customFormat="false" ht="12" hidden="false" customHeight="true" outlineLevel="0" collapsed="false">
      <c r="A158" s="177" t="n">
        <v>97</v>
      </c>
      <c r="B158" s="178" t="n">
        <f aca="false">EDATE(DATA_INICIO,$A158)</f>
        <v>49210</v>
      </c>
      <c r="C158" s="177" t="n">
        <f aca="false">$A158*30</f>
        <v>2910</v>
      </c>
      <c r="D158" s="179" t="n">
        <f aca="false">(1+IPCA_CENARIO)^($A158/12)</f>
        <v>1.37304938935027</v>
      </c>
      <c r="F158" s="180" t="n">
        <f aca="false">M157</f>
        <v>365553.945371851</v>
      </c>
      <c r="G158" s="180" t="n">
        <f aca="false">IF($B$9=0,0,IF($A158&gt;IN_PRAZO,0,IF(APORTE_CORRIGIDO="Sim",IN_APORTE*$D158,IN_APORTE))+IF(AND($B$35=1,PGBL_REINVESTE="Sim",$A158&gt;=13,$A158&lt;=IN_PRAZO,MONTH($B158)=5),PGBL_BENEFICIO,0))</f>
        <v>0</v>
      </c>
      <c r="H158" s="180" t="n">
        <f aca="false">G158*$B$24</f>
        <v>0</v>
      </c>
      <c r="I158" s="180" t="n">
        <f aca="false">F158*$B$19</f>
        <v>3468.66569405337</v>
      </c>
      <c r="J158" s="180" t="n">
        <f aca="false">F158*$B$22</f>
        <v>60.9256575619751</v>
      </c>
      <c r="K158" s="180" t="n">
        <f aca="false">$B$23*MAX(0,I158-F158*$B$18)</f>
        <v>0</v>
      </c>
      <c r="L158" s="180" t="n">
        <f aca="false">IF(AND($B$27=1,OR(MONTH($B158)=5,MONTH($B158)=11)),MAX(0,$B$28*MAX(0,(F158+I158-J158-K158+G158-H158)+O157-N158)-O157),0)</f>
        <v>0</v>
      </c>
      <c r="M158" s="181" t="n">
        <f aca="false">F158+I158-J158-K158+G158-H158-L158</f>
        <v>368961.685408342</v>
      </c>
      <c r="N158" s="180" t="n">
        <f aca="false">N157+G158-H158</f>
        <v>150000</v>
      </c>
      <c r="O158" s="180" t="n">
        <f aca="false">O157+L158</f>
        <v>0</v>
      </c>
      <c r="P158" s="180" t="n">
        <f aca="false">M158+O158-N158</f>
        <v>218961.685408342</v>
      </c>
      <c r="Q158" s="180" t="n">
        <f aca="false">MAX(0,IFERROR(INDEX(TAB_IR,MATCH($C158,TAB_IR_DIAS,1),MATCH($B$8,TAB_IR_REGIMES,0)),0)*IF($B$26=2,M158,MAX(0,P158))-O158)</f>
        <v>32844.2528112513</v>
      </c>
      <c r="R158" s="181" t="n">
        <f aca="false">MAX(0,M158-Q158-M158*$B$25)</f>
        <v>336117.432597091</v>
      </c>
      <c r="S158" s="180" t="n">
        <f aca="false">R158/$D158</f>
        <v>244796.316289935</v>
      </c>
      <c r="U158" s="180" t="n">
        <f aca="false">AB157</f>
        <v>322041.497640846</v>
      </c>
      <c r="V158" s="180" t="n">
        <f aca="false">IF($C$9=0,0,IF($A158&gt;IN_PRAZO,0,IF(APORTE_CORRIGIDO="Sim",IN_APORTE*$D158,IN_APORTE))+IF(AND($C$35=1,PGBL_REINVESTE="Sim",$A158&gt;=13,$A158&lt;=IN_PRAZO,MONTH($B158)=5),PGBL_BENEFICIO,0))</f>
        <v>0</v>
      </c>
      <c r="W158" s="180" t="n">
        <f aca="false">V158*$C$24</f>
        <v>0</v>
      </c>
      <c r="X158" s="180" t="n">
        <f aca="false">U158*$C$19</f>
        <v>2626.96509776484</v>
      </c>
      <c r="Y158" s="180" t="n">
        <f aca="false">U158*$C$22</f>
        <v>53.673582940141</v>
      </c>
      <c r="Z158" s="180" t="n">
        <f aca="false">$C$23*MAX(0,X158-U158*$C$18)</f>
        <v>0</v>
      </c>
      <c r="AA158" s="180" t="n">
        <f aca="false">IF(AND($C$27=1,OR(MONTH($B158)=5,MONTH($B158)=11)),MAX(0,$C$28*MAX(0,(U158+X158-Y158-Z158+V158-W158)+AD157-AC158)-AD157),0)</f>
        <v>0</v>
      </c>
      <c r="AB158" s="181" t="n">
        <f aca="false">U158+X158-Y158-Z158+V158-W158-AA158</f>
        <v>324614.789155671</v>
      </c>
      <c r="AC158" s="180" t="n">
        <f aca="false">AC157+V158-W158</f>
        <v>150000</v>
      </c>
      <c r="AD158" s="180" t="n">
        <f aca="false">AD157+AA158</f>
        <v>0</v>
      </c>
      <c r="AE158" s="180" t="n">
        <f aca="false">AB158+AD158-AC158</f>
        <v>174614.789155671</v>
      </c>
      <c r="AF158" s="180" t="n">
        <f aca="false">MAX(0,IFERROR(INDEX(TAB_IR,MATCH($C158,TAB_IR_DIAS,1),MATCH($C$8,TAB_IR_REGIMES,0)),0)*IF($C$26=2,AB158,MAX(0,AE158))-AD158)</f>
        <v>26192.2183733506</v>
      </c>
      <c r="AG158" s="181" t="n">
        <f aca="false">MAX(0,AB158-AF158-AB158*$C$25)</f>
        <v>298422.57078232</v>
      </c>
      <c r="AH158" s="180" t="n">
        <f aca="false">AG158/$D158</f>
        <v>217342.92524141</v>
      </c>
      <c r="AJ158" s="180" t="n">
        <f aca="false">AQ157</f>
        <v>292759.675105218</v>
      </c>
      <c r="AK158" s="180" t="n">
        <f aca="false">IF($D$9=0,0,IF($A158&gt;IN_PRAZO,0,IF(APORTE_CORRIGIDO="Sim",IN_APORTE*$D158,IN_APORTE))+IF(AND($D$35=1,PGBL_REINVESTE="Sim",$A158&gt;=13,$A158&lt;=IN_PRAZO,MONTH($B158)=5),PGBL_BENEFICIO,0))</f>
        <v>0</v>
      </c>
      <c r="AL158" s="180" t="n">
        <f aca="false">AK158*$D$24</f>
        <v>0</v>
      </c>
      <c r="AM158" s="180" t="n">
        <f aca="false">AJ158*$D$19</f>
        <v>2631.52802784434</v>
      </c>
      <c r="AN158" s="180" t="n">
        <f aca="false">AJ158*$D$22</f>
        <v>243.966395921015</v>
      </c>
      <c r="AO158" s="180" t="n">
        <f aca="false">$D$23*MAX(0,AM158-AJ158*$D$18)</f>
        <v>0</v>
      </c>
      <c r="AP158" s="180" t="n">
        <f aca="false">IF(AND($D$27=1,OR(MONTH($B158)=5,MONTH($B158)=11)),MAX(0,$D$28*MAX(0,(AJ158+AM158-AN158-AO158+AK158-AL158)+AS157-AR158)-AS157),0)</f>
        <v>0</v>
      </c>
      <c r="AQ158" s="181" t="n">
        <f aca="false">AJ158+AM158-AN158-AO158+AK158-AL158-AP158</f>
        <v>295147.236737142</v>
      </c>
      <c r="AR158" s="180" t="n">
        <f aca="false">AR157+AK158-AL158</f>
        <v>150000</v>
      </c>
      <c r="AS158" s="180" t="n">
        <f aca="false">AS157+AP158</f>
        <v>23949.2205971474</v>
      </c>
      <c r="AT158" s="180" t="n">
        <f aca="false">AQ158+AS158-AR158</f>
        <v>169096.457334289</v>
      </c>
      <c r="AU158" s="180" t="n">
        <f aca="false">MAX(0,IFERROR(INDEX(TAB_IR,MATCH($C158,TAB_IR_DIAS,1),MATCH($D$8,TAB_IR_REGIMES,0)),0)*IF($D$26=2,AQ158,MAX(0,AT158))-AS158)</f>
        <v>1415.24800299596</v>
      </c>
      <c r="AV158" s="181" t="n">
        <f aca="false">MAX(0,AQ158-AU158-AQ158*$D$25)</f>
        <v>293731.988734146</v>
      </c>
      <c r="AW158" s="180" t="n">
        <f aca="false">AV158/$D158</f>
        <v>213926.746563093</v>
      </c>
      <c r="AY158" s="180" t="n">
        <f aca="false">BF157</f>
        <v>339296.703008438</v>
      </c>
      <c r="AZ158" s="180" t="n">
        <f aca="false">IF($E$9=0,0,IF($A158&gt;IN_PRAZO,0,IF(APORTE_CORRIGIDO="Sim",IN_APORTE*$D158,IN_APORTE))+IF(AND($E$35=1,PGBL_REINVESTE="Sim",$A158&gt;=13,$A158&lt;=IN_PRAZO,MONTH($B158)=5),PGBL_BENEFICIO,0))</f>
        <v>0</v>
      </c>
      <c r="BA158" s="180" t="n">
        <f aca="false">AZ158*$E$24</f>
        <v>0</v>
      </c>
      <c r="BB158" s="180" t="n">
        <f aca="false">AY158*$E$19</f>
        <v>3321.28902392203</v>
      </c>
      <c r="BC158" s="180" t="n">
        <f aca="false">AY158*$E$22</f>
        <v>424.120878760547</v>
      </c>
      <c r="BD158" s="180" t="n">
        <f aca="false">$E$23*MAX(0,BB158-AY158*$E$18)</f>
        <v>0</v>
      </c>
      <c r="BE158" s="180" t="n">
        <f aca="false">IF(AND($E$27=1,OR(MONTH($B158)=5,MONTH($B158)=11)),MAX(0,$E$28*MAX(0,(AY158+BB158-BC158-BD158+AZ158-BA158)+BH157-BG158)-BH157),0)</f>
        <v>0</v>
      </c>
      <c r="BF158" s="181" t="n">
        <f aca="false">AY158+BB158-BC158-BD158+AZ158-BA158-BE158</f>
        <v>342193.871153599</v>
      </c>
      <c r="BG158" s="180" t="n">
        <f aca="false">BG157+AZ158-BA158</f>
        <v>150000</v>
      </c>
      <c r="BH158" s="180" t="n">
        <f aca="false">BH157+BE158</f>
        <v>0</v>
      </c>
      <c r="BI158" s="180" t="n">
        <f aca="false">BF158+BH158-BG158</f>
        <v>192193.871153599</v>
      </c>
      <c r="BJ158" s="180" t="n">
        <f aca="false">MAX(0,IFERROR(INDEX(TAB_IR,MATCH($C158,TAB_IR_DIAS,1),MATCH($E$8,TAB_IR_REGIMES,0)),0)*IF($E$26=2,BF158,MAX(0,BI158))-BH158)</f>
        <v>28829.0806730399</v>
      </c>
      <c r="BK158" s="181" t="n">
        <f aca="false">MAX(0,BF158-BJ158-BF158*$E$25)</f>
        <v>313364.790480559</v>
      </c>
      <c r="BL158" s="180" t="n">
        <f aca="false">BK158/$D158</f>
        <v>228225.43231955</v>
      </c>
      <c r="BN158" s="180" t="n">
        <f aca="false">BU157</f>
        <v>339296.703008438</v>
      </c>
      <c r="BO158" s="180" t="n">
        <f aca="false">IF($F$9=0,0,IF($A158&gt;IN_PRAZO,0,IF(APORTE_CORRIGIDO="Sim",IN_APORTE*$D158,IN_APORTE))+IF(AND($F$35=1,PGBL_REINVESTE="Sim",$A158&gt;=13,$A158&lt;=IN_PRAZO,MONTH($B158)=5),PGBL_BENEFICIO,0))</f>
        <v>0</v>
      </c>
      <c r="BP158" s="180" t="n">
        <f aca="false">BO158*$F$24</f>
        <v>0</v>
      </c>
      <c r="BQ158" s="180" t="n">
        <f aca="false">BN158*$F$19</f>
        <v>3321.28902392203</v>
      </c>
      <c r="BR158" s="180" t="n">
        <f aca="false">BN158*$F$22</f>
        <v>424.120878760547</v>
      </c>
      <c r="BS158" s="180" t="n">
        <f aca="false">$F$23*MAX(0,BQ158-BN158*$F$18)</f>
        <v>0</v>
      </c>
      <c r="BT158" s="180" t="n">
        <f aca="false">IF(AND($F$27=1,OR(MONTH($B158)=5,MONTH($B158)=11)),MAX(0,$F$28*MAX(0,(BN158+BQ158-BR158-BS158+BO158-BP158)+BW157-BV158)-BW157),0)</f>
        <v>0</v>
      </c>
      <c r="BU158" s="181" t="n">
        <f aca="false">BN158+BQ158-BR158-BS158+BO158-BP158-BT158</f>
        <v>342193.871153599</v>
      </c>
      <c r="BV158" s="180" t="n">
        <f aca="false">BV157+BO158-BP158</f>
        <v>150000</v>
      </c>
      <c r="BW158" s="180" t="n">
        <f aca="false">BW157+BT158</f>
        <v>0</v>
      </c>
      <c r="BX158" s="180" t="n">
        <f aca="false">BU158+BW158-BV158</f>
        <v>192193.871153599</v>
      </c>
      <c r="BY158" s="180" t="n">
        <f aca="false">MAX(0,IFERROR(INDEX(TAB_IR,MATCH($C158,TAB_IR_DIAS,1),MATCH($F$8,TAB_IR_REGIMES,0)),0)*IF($F$26=2,BU158,MAX(0,BX158))-BW158)</f>
        <v>51329.0806730399</v>
      </c>
      <c r="BZ158" s="181" t="n">
        <f aca="false">MAX(0,BU158-BY158-BU158*$F$25)</f>
        <v>290864.790480559</v>
      </c>
      <c r="CA158" s="180" t="n">
        <f aca="false">BZ158/$D158</f>
        <v>211838.549098512</v>
      </c>
      <c r="CC158" s="180" t="n">
        <f aca="false">CJ157</f>
        <v>273476.477376833</v>
      </c>
      <c r="CD158" s="180" t="n">
        <f aca="false">IF($G$9=0,0,IF($A158&gt;IN_PRAZO,0,IF(APORTE_CORRIGIDO="Sim",IN_APORTE*$D158,IN_APORTE))+IF(AND($G$35=1,PGBL_REINVESTE="Sim",$A158&gt;=13,$A158&lt;=IN_PRAZO,MONTH($B158)=5),PGBL_BENEFICIO,0))</f>
        <v>0</v>
      </c>
      <c r="CE158" s="180" t="n">
        <f aca="false">CD158*$G$24</f>
        <v>0</v>
      </c>
      <c r="CF158" s="180" t="n">
        <f aca="false">CC158*$G$19</f>
        <v>2230.80927890175</v>
      </c>
      <c r="CG158" s="180" t="n">
        <f aca="false">CC158*$G$22</f>
        <v>227.897064480694</v>
      </c>
      <c r="CH158" s="180" t="n">
        <f aca="false">$G$23*MAX(0,CF158-CC158*$G$18)</f>
        <v>0</v>
      </c>
      <c r="CI158" s="180" t="n">
        <f aca="false">IF(AND($G$27=1,OR(MONTH($B158)=5,MONTH($B158)=11)),MAX(0,$G$28*MAX(0,(CC158+CF158-CG158-CH158+CD158-CE158)+CL157-CK158)-CL157),0)</f>
        <v>0</v>
      </c>
      <c r="CJ158" s="181" t="n">
        <f aca="false">CC158+CF158-CG158-CH158+CD158-CE158-CI158</f>
        <v>275479.389591254</v>
      </c>
      <c r="CK158" s="180" t="n">
        <f aca="false">CK157+CD158-CE158</f>
        <v>150000</v>
      </c>
      <c r="CL158" s="180" t="n">
        <f aca="false">CL157+CI158</f>
        <v>20744.9457783732</v>
      </c>
      <c r="CM158" s="180" t="n">
        <f aca="false">CJ158+CL158-CK158</f>
        <v>146224.335369627</v>
      </c>
      <c r="CN158" s="180" t="n">
        <f aca="false">MAX(0,IFERROR(INDEX(TAB_IR,MATCH($C158,TAB_IR_DIAS,1),MATCH($G$8,TAB_IR_REGIMES,0)),0)*IF($G$26=2,CJ158,MAX(0,CM158))-CL158)</f>
        <v>1188.70452707091</v>
      </c>
      <c r="CO158" s="181" t="n">
        <f aca="false">MAX(0,CJ158-CN158-CJ158*$G$25)</f>
        <v>274290.685064183</v>
      </c>
      <c r="CP158" s="180" t="n">
        <f aca="false">CO158/$D158</f>
        <v>199767.529989564</v>
      </c>
    </row>
    <row r="159" customFormat="false" ht="12" hidden="false" customHeight="true" outlineLevel="0" collapsed="false">
      <c r="A159" s="177" t="n">
        <v>98</v>
      </c>
      <c r="B159" s="178" t="n">
        <f aca="false">EDATE(DATA_INICIO,$A159)</f>
        <v>49240</v>
      </c>
      <c r="C159" s="177" t="n">
        <f aca="false">$A159*30</f>
        <v>2940</v>
      </c>
      <c r="D159" s="179" t="n">
        <f aca="false">(1+IPCA_CENARIO)^($A159/12)</f>
        <v>1.37754439575911</v>
      </c>
      <c r="F159" s="180" t="n">
        <f aca="false">M158</f>
        <v>368961.685408342</v>
      </c>
      <c r="G159" s="180" t="n">
        <f aca="false">IF($B$9=0,0,IF($A159&gt;IN_PRAZO,0,IF(APORTE_CORRIGIDO="Sim",IN_APORTE*$D159,IN_APORTE))+IF(AND($B$35=1,PGBL_REINVESTE="Sim",$A159&gt;=13,$A159&lt;=IN_PRAZO,MONTH($B159)=5),PGBL_BENEFICIO,0))</f>
        <v>0</v>
      </c>
      <c r="H159" s="180" t="n">
        <f aca="false">G159*$B$24</f>
        <v>0</v>
      </c>
      <c r="I159" s="180" t="n">
        <f aca="false">F159*$B$19</f>
        <v>3501.00103363453</v>
      </c>
      <c r="J159" s="180" t="n">
        <f aca="false">F159*$B$22</f>
        <v>61.4936142347237</v>
      </c>
      <c r="K159" s="180" t="n">
        <f aca="false">$B$23*MAX(0,I159-F159*$B$18)</f>
        <v>0</v>
      </c>
      <c r="L159" s="180" t="n">
        <f aca="false">IF(AND($B$27=1,OR(MONTH($B159)=5,MONTH($B159)=11)),MAX(0,$B$28*MAX(0,(F159+I159-J159-K159+G159-H159)+O158-N159)-O158),0)</f>
        <v>0</v>
      </c>
      <c r="M159" s="181" t="n">
        <f aca="false">F159+I159-J159-K159+G159-H159-L159</f>
        <v>372401.192827742</v>
      </c>
      <c r="N159" s="180" t="n">
        <f aca="false">N158+G159-H159</f>
        <v>150000</v>
      </c>
      <c r="O159" s="180" t="n">
        <f aca="false">O158+L159</f>
        <v>0</v>
      </c>
      <c r="P159" s="180" t="n">
        <f aca="false">M159+O159-N159</f>
        <v>222401.192827742</v>
      </c>
      <c r="Q159" s="180" t="n">
        <f aca="false">MAX(0,IFERROR(INDEX(TAB_IR,MATCH($C159,TAB_IR_DIAS,1),MATCH($B$8,TAB_IR_REGIMES,0)),0)*IF($B$26=2,M159,MAX(0,P159))-O159)</f>
        <v>33360.1789241613</v>
      </c>
      <c r="R159" s="181" t="n">
        <f aca="false">MAX(0,M159-Q159-M159*$B$25)</f>
        <v>339041.013903581</v>
      </c>
      <c r="S159" s="180" t="n">
        <f aca="false">R159/$D159</f>
        <v>246119.845536265</v>
      </c>
      <c r="U159" s="180" t="n">
        <f aca="false">AB158</f>
        <v>324614.789155671</v>
      </c>
      <c r="V159" s="180" t="n">
        <f aca="false">IF($C$9=0,0,IF($A159&gt;IN_PRAZO,0,IF(APORTE_CORRIGIDO="Sim",IN_APORTE*$D159,IN_APORTE))+IF(AND($C$35=1,PGBL_REINVESTE="Sim",$A159&gt;=13,$A159&lt;=IN_PRAZO,MONTH($B159)=5),PGBL_BENEFICIO,0))</f>
        <v>0</v>
      </c>
      <c r="W159" s="180" t="n">
        <f aca="false">V159*$C$24</f>
        <v>0</v>
      </c>
      <c r="X159" s="180" t="n">
        <f aca="false">U159*$C$19</f>
        <v>2647.95601677788</v>
      </c>
      <c r="Y159" s="180" t="n">
        <f aca="false">U159*$C$22</f>
        <v>54.1024648592785</v>
      </c>
      <c r="Z159" s="180" t="n">
        <f aca="false">$C$23*MAX(0,X159-U159*$C$18)</f>
        <v>0</v>
      </c>
      <c r="AA159" s="180" t="n">
        <f aca="false">IF(AND($C$27=1,OR(MONTH($B159)=5,MONTH($B159)=11)),MAX(0,$C$28*MAX(0,(U159+X159-Y159-Z159+V159-W159)+AD158-AC159)-AD158),0)</f>
        <v>0</v>
      </c>
      <c r="AB159" s="181" t="n">
        <f aca="false">U159+X159-Y159-Z159+V159-W159-AA159</f>
        <v>327208.64270759</v>
      </c>
      <c r="AC159" s="180" t="n">
        <f aca="false">AC158+V159-W159</f>
        <v>150000</v>
      </c>
      <c r="AD159" s="180" t="n">
        <f aca="false">AD158+AA159</f>
        <v>0</v>
      </c>
      <c r="AE159" s="180" t="n">
        <f aca="false">AB159+AD159-AC159</f>
        <v>177208.64270759</v>
      </c>
      <c r="AF159" s="180" t="n">
        <f aca="false">MAX(0,IFERROR(INDEX(TAB_IR,MATCH($C159,TAB_IR_DIAS,1),MATCH($C$8,TAB_IR_REGIMES,0)),0)*IF($C$26=2,AB159,MAX(0,AE159))-AD159)</f>
        <v>26581.2964061384</v>
      </c>
      <c r="AG159" s="181" t="n">
        <f aca="false">MAX(0,AB159-AF159-AB159*$C$25)</f>
        <v>300627.346301451</v>
      </c>
      <c r="AH159" s="180" t="n">
        <f aca="false">AG159/$D159</f>
        <v>218234.234211949</v>
      </c>
      <c r="AJ159" s="180" t="n">
        <f aca="false">AQ158</f>
        <v>295147.236737142</v>
      </c>
      <c r="AK159" s="180" t="n">
        <f aca="false">IF($D$9=0,0,IF($A159&gt;IN_PRAZO,0,IF(APORTE_CORRIGIDO="Sim",IN_APORTE*$D159,IN_APORTE))+IF(AND($D$35=1,PGBL_REINVESTE="Sim",$A159&gt;=13,$A159&lt;=IN_PRAZO,MONTH($B159)=5),PGBL_BENEFICIO,0))</f>
        <v>0</v>
      </c>
      <c r="AL159" s="180" t="n">
        <f aca="false">AK159*$D$24</f>
        <v>0</v>
      </c>
      <c r="AM159" s="180" t="n">
        <f aca="false">AJ159*$D$19</f>
        <v>2652.98909604082</v>
      </c>
      <c r="AN159" s="180" t="n">
        <f aca="false">AJ159*$D$22</f>
        <v>245.956030614285</v>
      </c>
      <c r="AO159" s="180" t="n">
        <f aca="false">$D$23*MAX(0,AM159-AJ159*$D$18)</f>
        <v>0</v>
      </c>
      <c r="AP159" s="180" t="n">
        <f aca="false">IF(AND($D$27=1,OR(MONTH($B159)=5,MONTH($B159)=11)),MAX(0,$D$28*MAX(0,(AJ159+AM159-AN159-AO159+AK159-AL159)+AS158-AR159)-AS158),0)</f>
        <v>0</v>
      </c>
      <c r="AQ159" s="181" t="n">
        <f aca="false">AJ159+AM159-AN159-AO159+AK159-AL159-AP159</f>
        <v>297554.269802568</v>
      </c>
      <c r="AR159" s="180" t="n">
        <f aca="false">AR158+AK159-AL159</f>
        <v>150000</v>
      </c>
      <c r="AS159" s="180" t="n">
        <f aca="false">AS158+AP159</f>
        <v>23949.2205971474</v>
      </c>
      <c r="AT159" s="180" t="n">
        <f aca="false">AQ159+AS159-AR159</f>
        <v>171503.490399715</v>
      </c>
      <c r="AU159" s="180" t="n">
        <f aca="false">MAX(0,IFERROR(INDEX(TAB_IR,MATCH($C159,TAB_IR_DIAS,1),MATCH($D$8,TAB_IR_REGIMES,0)),0)*IF($D$26=2,AQ159,MAX(0,AT159))-AS159)</f>
        <v>1776.30296280994</v>
      </c>
      <c r="AV159" s="181" t="n">
        <f aca="false">MAX(0,AQ159-AU159-AQ159*$D$25)</f>
        <v>295777.966839758</v>
      </c>
      <c r="AW159" s="180" t="n">
        <f aca="false">AV159/$D159</f>
        <v>214713.92700688</v>
      </c>
      <c r="AY159" s="180" t="n">
        <f aca="false">BF158</f>
        <v>342193.871153599</v>
      </c>
      <c r="AZ159" s="180" t="n">
        <f aca="false">IF($E$9=0,0,IF($A159&gt;IN_PRAZO,0,IF(APORTE_CORRIGIDO="Sim",IN_APORTE*$D159,IN_APORTE))+IF(AND($E$35=1,PGBL_REINVESTE="Sim",$A159&gt;=13,$A159&lt;=IN_PRAZO,MONTH($B159)=5),PGBL_BENEFICIO,0))</f>
        <v>0</v>
      </c>
      <c r="BA159" s="180" t="n">
        <f aca="false">AZ159*$E$24</f>
        <v>0</v>
      </c>
      <c r="BB159" s="180" t="n">
        <f aca="false">AY159*$E$19</f>
        <v>3349.64866513181</v>
      </c>
      <c r="BC159" s="180" t="n">
        <f aca="false">AY159*$E$22</f>
        <v>427.742338941999</v>
      </c>
      <c r="BD159" s="180" t="n">
        <f aca="false">$E$23*MAX(0,BB159-AY159*$E$18)</f>
        <v>0</v>
      </c>
      <c r="BE159" s="180" t="n">
        <f aca="false">IF(AND($E$27=1,OR(MONTH($B159)=5,MONTH($B159)=11)),MAX(0,$E$28*MAX(0,(AY159+BB159-BC159-BD159+AZ159-BA159)+BH158-BG159)-BH158),0)</f>
        <v>0</v>
      </c>
      <c r="BF159" s="181" t="n">
        <f aca="false">AY159+BB159-BC159-BD159+AZ159-BA159-BE159</f>
        <v>345115.777479789</v>
      </c>
      <c r="BG159" s="180" t="n">
        <f aca="false">BG158+AZ159-BA159</f>
        <v>150000</v>
      </c>
      <c r="BH159" s="180" t="n">
        <f aca="false">BH158+BE159</f>
        <v>0</v>
      </c>
      <c r="BI159" s="180" t="n">
        <f aca="false">BF159+BH159-BG159</f>
        <v>195115.777479789</v>
      </c>
      <c r="BJ159" s="180" t="n">
        <f aca="false">MAX(0,IFERROR(INDEX(TAB_IR,MATCH($C159,TAB_IR_DIAS,1),MATCH($E$8,TAB_IR_REGIMES,0)),0)*IF($E$26=2,BF159,MAX(0,BI159))-BH159)</f>
        <v>29267.3666219684</v>
      </c>
      <c r="BK159" s="181" t="n">
        <f aca="false">MAX(0,BF159-BJ159-BF159*$E$25)</f>
        <v>315848.410857821</v>
      </c>
      <c r="BL159" s="180" t="n">
        <f aca="false">BK159/$D159</f>
        <v>229283.652730313</v>
      </c>
      <c r="BN159" s="180" t="n">
        <f aca="false">BU158</f>
        <v>342193.871153599</v>
      </c>
      <c r="BO159" s="180" t="n">
        <f aca="false">IF($F$9=0,0,IF($A159&gt;IN_PRAZO,0,IF(APORTE_CORRIGIDO="Sim",IN_APORTE*$D159,IN_APORTE))+IF(AND($F$35=1,PGBL_REINVESTE="Sim",$A159&gt;=13,$A159&lt;=IN_PRAZO,MONTH($B159)=5),PGBL_BENEFICIO,0))</f>
        <v>0</v>
      </c>
      <c r="BP159" s="180" t="n">
        <f aca="false">BO159*$F$24</f>
        <v>0</v>
      </c>
      <c r="BQ159" s="180" t="n">
        <f aca="false">BN159*$F$19</f>
        <v>3349.64866513181</v>
      </c>
      <c r="BR159" s="180" t="n">
        <f aca="false">BN159*$F$22</f>
        <v>427.742338941999</v>
      </c>
      <c r="BS159" s="180" t="n">
        <f aca="false">$F$23*MAX(0,BQ159-BN159*$F$18)</f>
        <v>0</v>
      </c>
      <c r="BT159" s="180" t="n">
        <f aca="false">IF(AND($F$27=1,OR(MONTH($B159)=5,MONTH($B159)=11)),MAX(0,$F$28*MAX(0,(BN159+BQ159-BR159-BS159+BO159-BP159)+BW158-BV159)-BW158),0)</f>
        <v>0</v>
      </c>
      <c r="BU159" s="181" t="n">
        <f aca="false">BN159+BQ159-BR159-BS159+BO159-BP159-BT159</f>
        <v>345115.777479789</v>
      </c>
      <c r="BV159" s="180" t="n">
        <f aca="false">BV158+BO159-BP159</f>
        <v>150000</v>
      </c>
      <c r="BW159" s="180" t="n">
        <f aca="false">BW158+BT159</f>
        <v>0</v>
      </c>
      <c r="BX159" s="180" t="n">
        <f aca="false">BU159+BW159-BV159</f>
        <v>195115.777479789</v>
      </c>
      <c r="BY159" s="180" t="n">
        <f aca="false">MAX(0,IFERROR(INDEX(TAB_IR,MATCH($C159,TAB_IR_DIAS,1),MATCH($F$8,TAB_IR_REGIMES,0)),0)*IF($F$26=2,BU159,MAX(0,BX159))-BW159)</f>
        <v>51767.3666219684</v>
      </c>
      <c r="BZ159" s="181" t="n">
        <f aca="false">MAX(0,BU159-BY159-BU159*$F$25)</f>
        <v>293348.410857821</v>
      </c>
      <c r="CA159" s="180" t="n">
        <f aca="false">BZ159/$D159</f>
        <v>212950.240849528</v>
      </c>
      <c r="CC159" s="180" t="n">
        <f aca="false">CJ158</f>
        <v>275479.389591254</v>
      </c>
      <c r="CD159" s="180" t="n">
        <f aca="false">IF($G$9=0,0,IF($A159&gt;IN_PRAZO,0,IF(APORTE_CORRIGIDO="Sim",IN_APORTE*$D159,IN_APORTE))+IF(AND($G$35=1,PGBL_REINVESTE="Sim",$A159&gt;=13,$A159&lt;=IN_PRAZO,MONTH($B159)=5),PGBL_BENEFICIO,0))</f>
        <v>0</v>
      </c>
      <c r="CE159" s="180" t="n">
        <f aca="false">CD159*$G$24</f>
        <v>0</v>
      </c>
      <c r="CF159" s="180" t="n">
        <f aca="false">CC159*$G$19</f>
        <v>2247.14748537426</v>
      </c>
      <c r="CG159" s="180" t="n">
        <f aca="false">CC159*$G$22</f>
        <v>229.566157992712</v>
      </c>
      <c r="CH159" s="180" t="n">
        <f aca="false">$G$23*MAX(0,CF159-CC159*$G$18)</f>
        <v>0</v>
      </c>
      <c r="CI159" s="180" t="n">
        <f aca="false">IF(AND($G$27=1,OR(MONTH($B159)=5,MONTH($B159)=11)),MAX(0,$G$28*MAX(0,(CC159+CF159-CG159-CH159+CD159-CE159)+CL158-CK159)-CL158),0)</f>
        <v>0</v>
      </c>
      <c r="CJ159" s="181" t="n">
        <f aca="false">CC159+CF159-CG159-CH159+CD159-CE159-CI159</f>
        <v>277496.970918636</v>
      </c>
      <c r="CK159" s="180" t="n">
        <f aca="false">CK158+CD159-CE159</f>
        <v>150000</v>
      </c>
      <c r="CL159" s="180" t="n">
        <f aca="false">CL158+CI159</f>
        <v>20744.9457783732</v>
      </c>
      <c r="CM159" s="180" t="n">
        <f aca="false">CJ159+CL159-CK159</f>
        <v>148241.916697009</v>
      </c>
      <c r="CN159" s="180" t="n">
        <f aca="false">MAX(0,IFERROR(INDEX(TAB_IR,MATCH($C159,TAB_IR_DIAS,1),MATCH($G$8,TAB_IR_REGIMES,0)),0)*IF($G$26=2,CJ159,MAX(0,CM159))-CL159)</f>
        <v>1491.34172617814</v>
      </c>
      <c r="CO159" s="181" t="n">
        <f aca="false">MAX(0,CJ159-CN159-CJ159*$G$25)</f>
        <v>276005.629192458</v>
      </c>
      <c r="CP159" s="180" t="n">
        <f aca="false">CO159/$D159</f>
        <v>200360.605467355</v>
      </c>
    </row>
    <row r="160" customFormat="false" ht="12" hidden="false" customHeight="true" outlineLevel="0" collapsed="false">
      <c r="A160" s="177" t="n">
        <v>99</v>
      </c>
      <c r="B160" s="178" t="n">
        <f aca="false">EDATE(DATA_INICIO,$A160)</f>
        <v>49271</v>
      </c>
      <c r="C160" s="177" t="n">
        <f aca="false">$A160*30</f>
        <v>2970</v>
      </c>
      <c r="D160" s="179" t="n">
        <f aca="false">(1+IPCA_CENARIO)^($A160/12)</f>
        <v>1.38205411764925</v>
      </c>
      <c r="F160" s="180" t="n">
        <f aca="false">M159</f>
        <v>372401.192827742</v>
      </c>
      <c r="G160" s="180" t="n">
        <f aca="false">IF($B$9=0,0,IF($A160&gt;IN_PRAZO,0,IF(APORTE_CORRIGIDO="Sim",IN_APORTE*$D160,IN_APORTE))+IF(AND($B$35=1,PGBL_REINVESTE="Sim",$A160&gt;=13,$A160&lt;=IN_PRAZO,MONTH($B160)=5),PGBL_BENEFICIO,0))</f>
        <v>0</v>
      </c>
      <c r="H160" s="180" t="n">
        <f aca="false">G160*$B$24</f>
        <v>0</v>
      </c>
      <c r="I160" s="180" t="n">
        <f aca="false">F160*$B$19</f>
        <v>3533.63780733418</v>
      </c>
      <c r="J160" s="180" t="n">
        <f aca="false">F160*$B$22</f>
        <v>62.0668654712903</v>
      </c>
      <c r="K160" s="180" t="n">
        <f aca="false">$B$23*MAX(0,I160-F160*$B$18)</f>
        <v>0</v>
      </c>
      <c r="L160" s="180" t="n">
        <f aca="false">IF(AND($B$27=1,OR(MONTH($B160)=5,MONTH($B160)=11)),MAX(0,$B$28*MAX(0,(F160+I160-J160-K160+G160-H160)+O159-N160)-O159),0)</f>
        <v>0</v>
      </c>
      <c r="M160" s="181" t="n">
        <f aca="false">F160+I160-J160-K160+G160-H160-L160</f>
        <v>375872.763769605</v>
      </c>
      <c r="N160" s="180" t="n">
        <f aca="false">N159+G160-H160</f>
        <v>150000</v>
      </c>
      <c r="O160" s="180" t="n">
        <f aca="false">O159+L160</f>
        <v>0</v>
      </c>
      <c r="P160" s="180" t="n">
        <f aca="false">M160+O160-N160</f>
        <v>225872.763769605</v>
      </c>
      <c r="Q160" s="180" t="n">
        <f aca="false">MAX(0,IFERROR(INDEX(TAB_IR,MATCH($C160,TAB_IR_DIAS,1),MATCH($B$8,TAB_IR_REGIMES,0)),0)*IF($B$26=2,M160,MAX(0,P160))-O160)</f>
        <v>33880.9145654407</v>
      </c>
      <c r="R160" s="181" t="n">
        <f aca="false">MAX(0,M160-Q160-M160*$B$25)</f>
        <v>341991.849204164</v>
      </c>
      <c r="S160" s="180" t="n">
        <f aca="false">R160/$D160</f>
        <v>247451.850717583</v>
      </c>
      <c r="U160" s="180" t="n">
        <f aca="false">AB159</f>
        <v>327208.64270759</v>
      </c>
      <c r="V160" s="180" t="n">
        <f aca="false">IF($C$9=0,0,IF($A160&gt;IN_PRAZO,0,IF(APORTE_CORRIGIDO="Sim",IN_APORTE*$D160,IN_APORTE))+IF(AND($C$35=1,PGBL_REINVESTE="Sim",$A160&gt;=13,$A160&lt;=IN_PRAZO,MONTH($B160)=5),PGBL_BENEFICIO,0))</f>
        <v>0</v>
      </c>
      <c r="W160" s="180" t="n">
        <f aca="false">V160*$C$24</f>
        <v>0</v>
      </c>
      <c r="X160" s="180" t="n">
        <f aca="false">U160*$C$19</f>
        <v>2669.11466496304</v>
      </c>
      <c r="Y160" s="180" t="n">
        <f aca="false">U160*$C$22</f>
        <v>54.5347737845983</v>
      </c>
      <c r="Z160" s="180" t="n">
        <f aca="false">$C$23*MAX(0,X160-U160*$C$18)</f>
        <v>0</v>
      </c>
      <c r="AA160" s="180" t="n">
        <f aca="false">IF(AND($C$27=1,OR(MONTH($B160)=5,MONTH($B160)=11)),MAX(0,$C$28*MAX(0,(U160+X160-Y160-Z160+V160-W160)+AD159-AC160)-AD159),0)</f>
        <v>0</v>
      </c>
      <c r="AB160" s="181" t="n">
        <f aca="false">U160+X160-Y160-Z160+V160-W160-AA160</f>
        <v>329823.222598768</v>
      </c>
      <c r="AC160" s="180" t="n">
        <f aca="false">AC159+V160-W160</f>
        <v>150000</v>
      </c>
      <c r="AD160" s="180" t="n">
        <f aca="false">AD159+AA160</f>
        <v>0</v>
      </c>
      <c r="AE160" s="180" t="n">
        <f aca="false">AB160+AD160-AC160</f>
        <v>179823.222598768</v>
      </c>
      <c r="AF160" s="180" t="n">
        <f aca="false">MAX(0,IFERROR(INDEX(TAB_IR,MATCH($C160,TAB_IR_DIAS,1),MATCH($C$8,TAB_IR_REGIMES,0)),0)*IF($C$26=2,AB160,MAX(0,AE160))-AD160)</f>
        <v>26973.4833898152</v>
      </c>
      <c r="AG160" s="181" t="n">
        <f aca="false">MAX(0,AB160-AF160-AB160*$C$25)</f>
        <v>302849.739208953</v>
      </c>
      <c r="AH160" s="180" t="n">
        <f aca="false">AG160/$D160</f>
        <v>219130.159478901</v>
      </c>
      <c r="AJ160" s="180" t="n">
        <f aca="false">AQ159</f>
        <v>297554.269802568</v>
      </c>
      <c r="AK160" s="180" t="n">
        <f aca="false">IF($D$9=0,0,IF($A160&gt;IN_PRAZO,0,IF(APORTE_CORRIGIDO="Sim",IN_APORTE*$D160,IN_APORTE))+IF(AND($D$35=1,PGBL_REINVESTE="Sim",$A160&gt;=13,$A160&lt;=IN_PRAZO,MONTH($B160)=5),PGBL_BENEFICIO,0))</f>
        <v>0</v>
      </c>
      <c r="AL160" s="180" t="n">
        <f aca="false">AK160*$D$24</f>
        <v>0</v>
      </c>
      <c r="AM160" s="180" t="n">
        <f aca="false">AJ160*$D$19</f>
        <v>2674.62518705418</v>
      </c>
      <c r="AN160" s="180" t="n">
        <f aca="false">AJ160*$D$22</f>
        <v>247.96189150214</v>
      </c>
      <c r="AO160" s="180" t="n">
        <f aca="false">$D$23*MAX(0,AM160-AJ160*$D$18)</f>
        <v>0</v>
      </c>
      <c r="AP160" s="180" t="n">
        <f aca="false">IF(AND($D$27=1,OR(MONTH($B160)=5,MONTH($B160)=11)),MAX(0,$D$28*MAX(0,(AJ160+AM160-AN160-AO160+AK160-AL160)+AS159-AR160)-AS159),0)</f>
        <v>2140.30245714275</v>
      </c>
      <c r="AQ160" s="181" t="n">
        <f aca="false">AJ160+AM160-AN160-AO160+AK160-AL160-AP160</f>
        <v>297840.630640977</v>
      </c>
      <c r="AR160" s="180" t="n">
        <f aca="false">AR159+AK160-AL160</f>
        <v>150000</v>
      </c>
      <c r="AS160" s="180" t="n">
        <f aca="false">AS159+AP160</f>
        <v>26089.5230542901</v>
      </c>
      <c r="AT160" s="180" t="n">
        <f aca="false">AQ160+AS160-AR160</f>
        <v>173930.153695267</v>
      </c>
      <c r="AU160" s="180" t="n">
        <f aca="false">MAX(0,IFERROR(INDEX(TAB_IR,MATCH($C160,TAB_IR_DIAS,1),MATCH($D$8,TAB_IR_REGIMES,0)),0)*IF($D$26=2,AQ160,MAX(0,AT160))-AS160)</f>
        <v>0</v>
      </c>
      <c r="AV160" s="181" t="n">
        <f aca="false">MAX(0,AQ160-AU160-AQ160*$D$25)</f>
        <v>297840.630640977</v>
      </c>
      <c r="AW160" s="180" t="n">
        <f aca="false">AV160/$D160</f>
        <v>215505.765539469</v>
      </c>
      <c r="AY160" s="180" t="n">
        <f aca="false">BF159</f>
        <v>345115.777479789</v>
      </c>
      <c r="AZ160" s="180" t="n">
        <f aca="false">IF($E$9=0,0,IF($A160&gt;IN_PRAZO,0,IF(APORTE_CORRIGIDO="Sim",IN_APORTE*$D160,IN_APORTE))+IF(AND($E$35=1,PGBL_REINVESTE="Sim",$A160&gt;=13,$A160&lt;=IN_PRAZO,MONTH($B160)=5),PGBL_BENEFICIO,0))</f>
        <v>0</v>
      </c>
      <c r="BA160" s="180" t="n">
        <f aca="false">AZ160*$E$24</f>
        <v>0</v>
      </c>
      <c r="BB160" s="180" t="n">
        <f aca="false">AY160*$E$19</f>
        <v>3378.25046209611</v>
      </c>
      <c r="BC160" s="180" t="n">
        <f aca="false">AY160*$E$22</f>
        <v>431.394721849736</v>
      </c>
      <c r="BD160" s="180" t="n">
        <f aca="false">$E$23*MAX(0,BB160-AY160*$E$18)</f>
        <v>0</v>
      </c>
      <c r="BE160" s="180" t="n">
        <f aca="false">IF(AND($E$27=1,OR(MONTH($B160)=5,MONTH($B160)=11)),MAX(0,$E$28*MAX(0,(AY160+BB160-BC160-BD160+AZ160-BA160)+BH159-BG160)-BH159),0)</f>
        <v>0</v>
      </c>
      <c r="BF160" s="181" t="n">
        <f aca="false">AY160+BB160-BC160-BD160+AZ160-BA160-BE160</f>
        <v>348062.633220036</v>
      </c>
      <c r="BG160" s="180" t="n">
        <f aca="false">BG159+AZ160-BA160</f>
        <v>150000</v>
      </c>
      <c r="BH160" s="180" t="n">
        <f aca="false">BH159+BE160</f>
        <v>0</v>
      </c>
      <c r="BI160" s="180" t="n">
        <f aca="false">BF160+BH160-BG160</f>
        <v>198062.633220036</v>
      </c>
      <c r="BJ160" s="180" t="n">
        <f aca="false">MAX(0,IFERROR(INDEX(TAB_IR,MATCH($C160,TAB_IR_DIAS,1),MATCH($E$8,TAB_IR_REGIMES,0)),0)*IF($E$26=2,BF160,MAX(0,BI160))-BH160)</f>
        <v>29709.3949830053</v>
      </c>
      <c r="BK160" s="181" t="n">
        <f aca="false">MAX(0,BF160-BJ160-BF160*$E$25)</f>
        <v>318353.23823703</v>
      </c>
      <c r="BL160" s="180" t="n">
        <f aca="false">BK160/$D160</f>
        <v>230347.881585505</v>
      </c>
      <c r="BN160" s="180" t="n">
        <f aca="false">BU159</f>
        <v>345115.777479789</v>
      </c>
      <c r="BO160" s="180" t="n">
        <f aca="false">IF($F$9=0,0,IF($A160&gt;IN_PRAZO,0,IF(APORTE_CORRIGIDO="Sim",IN_APORTE*$D160,IN_APORTE))+IF(AND($F$35=1,PGBL_REINVESTE="Sim",$A160&gt;=13,$A160&lt;=IN_PRAZO,MONTH($B160)=5),PGBL_BENEFICIO,0))</f>
        <v>0</v>
      </c>
      <c r="BP160" s="180" t="n">
        <f aca="false">BO160*$F$24</f>
        <v>0</v>
      </c>
      <c r="BQ160" s="180" t="n">
        <f aca="false">BN160*$F$19</f>
        <v>3378.25046209611</v>
      </c>
      <c r="BR160" s="180" t="n">
        <f aca="false">BN160*$F$22</f>
        <v>431.394721849736</v>
      </c>
      <c r="BS160" s="180" t="n">
        <f aca="false">$F$23*MAX(0,BQ160-BN160*$F$18)</f>
        <v>0</v>
      </c>
      <c r="BT160" s="180" t="n">
        <f aca="false">IF(AND($F$27=1,OR(MONTH($B160)=5,MONTH($B160)=11)),MAX(0,$F$28*MAX(0,(BN160+BQ160-BR160-BS160+BO160-BP160)+BW159-BV160)-BW159),0)</f>
        <v>0</v>
      </c>
      <c r="BU160" s="181" t="n">
        <f aca="false">BN160+BQ160-BR160-BS160+BO160-BP160-BT160</f>
        <v>348062.633220036</v>
      </c>
      <c r="BV160" s="180" t="n">
        <f aca="false">BV159+BO160-BP160</f>
        <v>150000</v>
      </c>
      <c r="BW160" s="180" t="n">
        <f aca="false">BW159+BT160</f>
        <v>0</v>
      </c>
      <c r="BX160" s="180" t="n">
        <f aca="false">BU160+BW160-BV160</f>
        <v>198062.633220036</v>
      </c>
      <c r="BY160" s="180" t="n">
        <f aca="false">MAX(0,IFERROR(INDEX(TAB_IR,MATCH($C160,TAB_IR_DIAS,1),MATCH($F$8,TAB_IR_REGIMES,0)),0)*IF($F$26=2,BU160,MAX(0,BX160))-BW160)</f>
        <v>52209.3949830053</v>
      </c>
      <c r="BZ160" s="181" t="n">
        <f aca="false">MAX(0,BU160-BY160-BU160*$F$25)</f>
        <v>295853.23823703</v>
      </c>
      <c r="CA160" s="180" t="n">
        <f aca="false">BZ160/$D160</f>
        <v>214067.766564922</v>
      </c>
      <c r="CC160" s="180" t="n">
        <f aca="false">CJ159</f>
        <v>277496.970918636</v>
      </c>
      <c r="CD160" s="180" t="n">
        <f aca="false">IF($G$9=0,0,IF($A160&gt;IN_PRAZO,0,IF(APORTE_CORRIGIDO="Sim",IN_APORTE*$D160,IN_APORTE))+IF(AND($G$35=1,PGBL_REINVESTE="Sim",$A160&gt;=13,$A160&lt;=IN_PRAZO,MONTH($B160)=5),PGBL_BENEFICIO,0))</f>
        <v>0</v>
      </c>
      <c r="CE160" s="180" t="n">
        <f aca="false">CD160*$G$24</f>
        <v>0</v>
      </c>
      <c r="CF160" s="180" t="n">
        <f aca="false">CC160*$G$19</f>
        <v>2263.60535110821</v>
      </c>
      <c r="CG160" s="180" t="n">
        <f aca="false">CC160*$G$22</f>
        <v>231.24747576553</v>
      </c>
      <c r="CH160" s="180" t="n">
        <f aca="false">$G$23*MAX(0,CF160-CC160*$G$18)</f>
        <v>0</v>
      </c>
      <c r="CI160" s="180" t="n">
        <f aca="false">IF(AND($G$27=1,OR(MONTH($B160)=5,MONTH($B160)=11)),MAX(0,$G$28*MAX(0,(CC160+CF160-CG160-CH160+CD160-CE160)+CL159-CK160)-CL159),0)</f>
        <v>1796.19540747953</v>
      </c>
      <c r="CJ160" s="181" t="n">
        <f aca="false">CC160+CF160-CG160-CH160+CD160-CE160-CI160</f>
        <v>277733.133386499</v>
      </c>
      <c r="CK160" s="180" t="n">
        <f aca="false">CK159+CD160-CE160</f>
        <v>150000</v>
      </c>
      <c r="CL160" s="180" t="n">
        <f aca="false">CL159+CI160</f>
        <v>22541.1411858527</v>
      </c>
      <c r="CM160" s="180" t="n">
        <f aca="false">CJ160+CL160-CK160</f>
        <v>150274.274572351</v>
      </c>
      <c r="CN160" s="180" t="n">
        <f aca="false">MAX(0,IFERROR(INDEX(TAB_IR,MATCH($C160,TAB_IR_DIAS,1),MATCH($G$8,TAB_IR_REGIMES,0)),0)*IF($G$26=2,CJ160,MAX(0,CM160))-CL160)</f>
        <v>0</v>
      </c>
      <c r="CO160" s="181" t="n">
        <f aca="false">MAX(0,CJ160-CN160-CJ160*$G$25)</f>
        <v>277733.133386499</v>
      </c>
      <c r="CP160" s="180" t="n">
        <f aca="false">CO160/$D160</f>
        <v>200956.771402626</v>
      </c>
    </row>
    <row r="161" customFormat="false" ht="12" hidden="false" customHeight="true" outlineLevel="0" collapsed="false">
      <c r="A161" s="177" t="n">
        <v>100</v>
      </c>
      <c r="B161" s="178" t="n">
        <f aca="false">EDATE(DATA_INICIO,$A161)</f>
        <v>49301</v>
      </c>
      <c r="C161" s="177" t="n">
        <f aca="false">$A161*30</f>
        <v>3000</v>
      </c>
      <c r="D161" s="179" t="n">
        <f aca="false">(1+IPCA_CENARIO)^($A161/12)</f>
        <v>1.38657860319535</v>
      </c>
      <c r="F161" s="180" t="n">
        <f aca="false">M160</f>
        <v>375872.763769605</v>
      </c>
      <c r="G161" s="180" t="n">
        <f aca="false">IF($B$9=0,0,IF($A161&gt;IN_PRAZO,0,IF(APORTE_CORRIGIDO="Sim",IN_APORTE*$D161,IN_APORTE))+IF(AND($B$35=1,PGBL_REINVESTE="Sim",$A161&gt;=13,$A161&lt;=IN_PRAZO,MONTH($B161)=5),PGBL_BENEFICIO,0))</f>
        <v>0</v>
      </c>
      <c r="H161" s="180" t="n">
        <f aca="false">G161*$B$24</f>
        <v>0</v>
      </c>
      <c r="I161" s="180" t="n">
        <f aca="false">F161*$B$19</f>
        <v>3566.57882515923</v>
      </c>
      <c r="J161" s="180" t="n">
        <f aca="false">F161*$B$22</f>
        <v>62.6454606282675</v>
      </c>
      <c r="K161" s="180" t="n">
        <f aca="false">$B$23*MAX(0,I161-F161*$B$18)</f>
        <v>0</v>
      </c>
      <c r="L161" s="180" t="n">
        <f aca="false">IF(AND($B$27=1,OR(MONTH($B161)=5,MONTH($B161)=11)),MAX(0,$B$28*MAX(0,(F161+I161-J161-K161+G161-H161)+O160-N161)-O160),0)</f>
        <v>0</v>
      </c>
      <c r="M161" s="181" t="n">
        <f aca="false">F161+I161-J161-K161+G161-H161-L161</f>
        <v>379376.697134136</v>
      </c>
      <c r="N161" s="180" t="n">
        <f aca="false">N160+G161-H161</f>
        <v>150000</v>
      </c>
      <c r="O161" s="180" t="n">
        <f aca="false">O160+L161</f>
        <v>0</v>
      </c>
      <c r="P161" s="180" t="n">
        <f aca="false">M161+O161-N161</f>
        <v>229376.697134136</v>
      </c>
      <c r="Q161" s="180" t="n">
        <f aca="false">MAX(0,IFERROR(INDEX(TAB_IR,MATCH($C161,TAB_IR_DIAS,1),MATCH($B$8,TAB_IR_REGIMES,0)),0)*IF($B$26=2,M161,MAX(0,P161))-O161)</f>
        <v>34406.5045701204</v>
      </c>
      <c r="R161" s="181" t="n">
        <f aca="false">MAX(0,M161-Q161-M161*$B$25)</f>
        <v>344970.192564015</v>
      </c>
      <c r="S161" s="180" t="n">
        <f aca="false">R161/$D161</f>
        <v>248792.381311118</v>
      </c>
      <c r="U161" s="180" t="n">
        <f aca="false">AB160</f>
        <v>329823.222598768</v>
      </c>
      <c r="V161" s="180" t="n">
        <f aca="false">IF($C$9=0,0,IF($A161&gt;IN_PRAZO,0,IF(APORTE_CORRIGIDO="Sim",IN_APORTE*$D161,IN_APORTE))+IF(AND($C$35=1,PGBL_REINVESTE="Sim",$A161&gt;=13,$A161&lt;=IN_PRAZO,MONTH($B161)=5),PGBL_BENEFICIO,0))</f>
        <v>0</v>
      </c>
      <c r="W161" s="180" t="n">
        <f aca="false">V161*$C$24</f>
        <v>0</v>
      </c>
      <c r="X161" s="180" t="n">
        <f aca="false">U161*$C$19</f>
        <v>2690.44238257012</v>
      </c>
      <c r="Y161" s="180" t="n">
        <f aca="false">U161*$C$22</f>
        <v>54.9705370997947</v>
      </c>
      <c r="Z161" s="180" t="n">
        <f aca="false">$C$23*MAX(0,X161-U161*$C$18)</f>
        <v>0</v>
      </c>
      <c r="AA161" s="180" t="n">
        <f aca="false">IF(AND($C$27=1,OR(MONTH($B161)=5,MONTH($B161)=11)),MAX(0,$C$28*MAX(0,(U161+X161-Y161-Z161+V161-W161)+AD160-AC161)-AD160),0)</f>
        <v>0</v>
      </c>
      <c r="AB161" s="181" t="n">
        <f aca="false">U161+X161-Y161-Z161+V161-W161-AA161</f>
        <v>332458.694444238</v>
      </c>
      <c r="AC161" s="180" t="n">
        <f aca="false">AC160+V161-W161</f>
        <v>150000</v>
      </c>
      <c r="AD161" s="180" t="n">
        <f aca="false">AD160+AA161</f>
        <v>0</v>
      </c>
      <c r="AE161" s="180" t="n">
        <f aca="false">AB161+AD161-AC161</f>
        <v>182458.694444238</v>
      </c>
      <c r="AF161" s="180" t="n">
        <f aca="false">MAX(0,IFERROR(INDEX(TAB_IR,MATCH($C161,TAB_IR_DIAS,1),MATCH($C$8,TAB_IR_REGIMES,0)),0)*IF($C$26=2,AB161,MAX(0,AE161))-AD161)</f>
        <v>27368.8041666358</v>
      </c>
      <c r="AG161" s="181" t="n">
        <f aca="false">MAX(0,AB161-AF161-AB161*$C$25)</f>
        <v>305089.890277603</v>
      </c>
      <c r="AH161" s="180" t="n">
        <f aca="false">AG161/$D161</f>
        <v>220030.721355808</v>
      </c>
      <c r="AJ161" s="180" t="n">
        <f aca="false">AQ160</f>
        <v>297840.630640977</v>
      </c>
      <c r="AK161" s="180" t="n">
        <f aca="false">IF($D$9=0,0,IF($A161&gt;IN_PRAZO,0,IF(APORTE_CORRIGIDO="Sim",IN_APORTE*$D161,IN_APORTE))+IF(AND($D$35=1,PGBL_REINVESTE="Sim",$A161&gt;=13,$A161&lt;=IN_PRAZO,MONTH($B161)=5),PGBL_BENEFICIO,0))</f>
        <v>0</v>
      </c>
      <c r="AL161" s="180" t="n">
        <f aca="false">AK161*$D$24</f>
        <v>0</v>
      </c>
      <c r="AM161" s="180" t="n">
        <f aca="false">AJ161*$D$19</f>
        <v>2677.1991978775</v>
      </c>
      <c r="AN161" s="180" t="n">
        <f aca="false">AJ161*$D$22</f>
        <v>248.200525534148</v>
      </c>
      <c r="AO161" s="180" t="n">
        <f aca="false">$D$23*MAX(0,AM161-AJ161*$D$18)</f>
        <v>0</v>
      </c>
      <c r="AP161" s="180" t="n">
        <f aca="false">IF(AND($D$27=1,OR(MONTH($B161)=5,MONTH($B161)=11)),MAX(0,$D$28*MAX(0,(AJ161+AM161-AN161-AO161+AK161-AL161)+AS160-AR161)-AS160),0)</f>
        <v>0</v>
      </c>
      <c r="AQ161" s="181" t="n">
        <f aca="false">AJ161+AM161-AN161-AO161+AK161-AL161-AP161</f>
        <v>300269.629313321</v>
      </c>
      <c r="AR161" s="180" t="n">
        <f aca="false">AR160+AK161-AL161</f>
        <v>150000</v>
      </c>
      <c r="AS161" s="180" t="n">
        <f aca="false">AS160+AP161</f>
        <v>26089.5230542901</v>
      </c>
      <c r="AT161" s="180" t="n">
        <f aca="false">AQ161+AS161-AR161</f>
        <v>176359.152367611</v>
      </c>
      <c r="AU161" s="180" t="n">
        <f aca="false">MAX(0,IFERROR(INDEX(TAB_IR,MATCH($C161,TAB_IR_DIAS,1),MATCH($D$8,TAB_IR_REGIMES,0)),0)*IF($D$26=2,AQ161,MAX(0,AT161))-AS161)</f>
        <v>364.349800851502</v>
      </c>
      <c r="AV161" s="181" t="n">
        <f aca="false">MAX(0,AQ161-AU161-AQ161*$D$25)</f>
        <v>299905.279512469</v>
      </c>
      <c r="AW161" s="180" t="n">
        <f aca="false">AV161/$D161</f>
        <v>216291.581899029</v>
      </c>
      <c r="AY161" s="180" t="n">
        <f aca="false">BF160</f>
        <v>348062.633220036</v>
      </c>
      <c r="AZ161" s="180" t="n">
        <f aca="false">IF($E$9=0,0,IF($A161&gt;IN_PRAZO,0,IF(APORTE_CORRIGIDO="Sim",IN_APORTE*$D161,IN_APORTE))+IF(AND($E$35=1,PGBL_REINVESTE="Sim",$A161&gt;=13,$A161&lt;=IN_PRAZO,MONTH($B161)=5),PGBL_BENEFICIO,0))</f>
        <v>0</v>
      </c>
      <c r="BA161" s="180" t="n">
        <f aca="false">AZ161*$E$24</f>
        <v>0</v>
      </c>
      <c r="BB161" s="180" t="n">
        <f aca="false">AY161*$E$19</f>
        <v>3407.09648252124</v>
      </c>
      <c r="BC161" s="180" t="n">
        <f aca="false">AY161*$E$22</f>
        <v>435.078291525044</v>
      </c>
      <c r="BD161" s="180" t="n">
        <f aca="false">$E$23*MAX(0,BB161-AY161*$E$18)</f>
        <v>0</v>
      </c>
      <c r="BE161" s="180" t="n">
        <f aca="false">IF(AND($E$27=1,OR(MONTH($B161)=5,MONTH($B161)=11)),MAX(0,$E$28*MAX(0,(AY161+BB161-BC161-BD161+AZ161-BA161)+BH160-BG161)-BH160),0)</f>
        <v>0</v>
      </c>
      <c r="BF161" s="181" t="n">
        <f aca="false">AY161+BB161-BC161-BD161+AZ161-BA161-BE161</f>
        <v>351034.651411032</v>
      </c>
      <c r="BG161" s="180" t="n">
        <f aca="false">BG160+AZ161-BA161</f>
        <v>150000</v>
      </c>
      <c r="BH161" s="180" t="n">
        <f aca="false">BH160+BE161</f>
        <v>0</v>
      </c>
      <c r="BI161" s="180" t="n">
        <f aca="false">BF161+BH161-BG161</f>
        <v>201034.651411032</v>
      </c>
      <c r="BJ161" s="180" t="n">
        <f aca="false">MAX(0,IFERROR(INDEX(TAB_IR,MATCH($C161,TAB_IR_DIAS,1),MATCH($E$8,TAB_IR_REGIMES,0)),0)*IF($E$26=2,BF161,MAX(0,BI161))-BH161)</f>
        <v>30155.1977116548</v>
      </c>
      <c r="BK161" s="181" t="n">
        <f aca="false">MAX(0,BF161-BJ161-BF161*$E$25)</f>
        <v>320879.453699377</v>
      </c>
      <c r="BL161" s="180" t="n">
        <f aca="false">BK161/$D161</f>
        <v>231418.148931416</v>
      </c>
      <c r="BN161" s="180" t="n">
        <f aca="false">BU160</f>
        <v>348062.633220036</v>
      </c>
      <c r="BO161" s="180" t="n">
        <f aca="false">IF($F$9=0,0,IF($A161&gt;IN_PRAZO,0,IF(APORTE_CORRIGIDO="Sim",IN_APORTE*$D161,IN_APORTE))+IF(AND($F$35=1,PGBL_REINVESTE="Sim",$A161&gt;=13,$A161&lt;=IN_PRAZO,MONTH($B161)=5),PGBL_BENEFICIO,0))</f>
        <v>0</v>
      </c>
      <c r="BP161" s="180" t="n">
        <f aca="false">BO161*$F$24</f>
        <v>0</v>
      </c>
      <c r="BQ161" s="180" t="n">
        <f aca="false">BN161*$F$19</f>
        <v>3407.09648252124</v>
      </c>
      <c r="BR161" s="180" t="n">
        <f aca="false">BN161*$F$22</f>
        <v>435.078291525044</v>
      </c>
      <c r="BS161" s="180" t="n">
        <f aca="false">$F$23*MAX(0,BQ161-BN161*$F$18)</f>
        <v>0</v>
      </c>
      <c r="BT161" s="180" t="n">
        <f aca="false">IF(AND($F$27=1,OR(MONTH($B161)=5,MONTH($B161)=11)),MAX(0,$F$28*MAX(0,(BN161+BQ161-BR161-BS161+BO161-BP161)+BW160-BV161)-BW160),0)</f>
        <v>0</v>
      </c>
      <c r="BU161" s="181" t="n">
        <f aca="false">BN161+BQ161-BR161-BS161+BO161-BP161-BT161</f>
        <v>351034.651411032</v>
      </c>
      <c r="BV161" s="180" t="n">
        <f aca="false">BV160+BO161-BP161</f>
        <v>150000</v>
      </c>
      <c r="BW161" s="180" t="n">
        <f aca="false">BW160+BT161</f>
        <v>0</v>
      </c>
      <c r="BX161" s="180" t="n">
        <f aca="false">BU161+BW161-BV161</f>
        <v>201034.651411032</v>
      </c>
      <c r="BY161" s="180" t="n">
        <f aca="false">MAX(0,IFERROR(INDEX(TAB_IR,MATCH($C161,TAB_IR_DIAS,1),MATCH($F$8,TAB_IR_REGIMES,0)),0)*IF($F$26=2,BU161,MAX(0,BX161))-BW161)</f>
        <v>52655.1977116548</v>
      </c>
      <c r="BZ161" s="181" t="n">
        <f aca="false">MAX(0,BU161-BY161-BU161*$F$25)</f>
        <v>298379.453699377</v>
      </c>
      <c r="CA161" s="180" t="n">
        <f aca="false">BZ161/$D161</f>
        <v>215191.156860322</v>
      </c>
      <c r="CC161" s="180" t="n">
        <f aca="false">CJ160</f>
        <v>277733.133386499</v>
      </c>
      <c r="CD161" s="180" t="n">
        <f aca="false">IF($G$9=0,0,IF($A161&gt;IN_PRAZO,0,IF(APORTE_CORRIGIDO="Sim",IN_APORTE*$D161,IN_APORTE))+IF(AND($G$35=1,PGBL_REINVESTE="Sim",$A161&gt;=13,$A161&lt;=IN_PRAZO,MONTH($B161)=5),PGBL_BENEFICIO,0))</f>
        <v>0</v>
      </c>
      <c r="CE161" s="180" t="n">
        <f aca="false">CD161*$G$24</f>
        <v>0</v>
      </c>
      <c r="CF161" s="180" t="n">
        <f aca="false">CC161*$G$19</f>
        <v>2265.53178159938</v>
      </c>
      <c r="CG161" s="180" t="n">
        <f aca="false">CC161*$G$22</f>
        <v>231.444277822082</v>
      </c>
      <c r="CH161" s="180" t="n">
        <f aca="false">$G$23*MAX(0,CF161-CC161*$G$18)</f>
        <v>0</v>
      </c>
      <c r="CI161" s="180" t="n">
        <f aca="false">IF(AND($G$27=1,OR(MONTH($B161)=5,MONTH($B161)=11)),MAX(0,$G$28*MAX(0,(CC161+CF161-CG161-CH161+CD161-CE161)+CL160-CK161)-CL160),0)</f>
        <v>0</v>
      </c>
      <c r="CJ161" s="181" t="n">
        <f aca="false">CC161+CF161-CG161-CH161+CD161-CE161-CI161</f>
        <v>279767.220890276</v>
      </c>
      <c r="CK161" s="180" t="n">
        <f aca="false">CK160+CD161-CE161</f>
        <v>150000</v>
      </c>
      <c r="CL161" s="180" t="n">
        <f aca="false">CL160+CI161</f>
        <v>22541.1411858527</v>
      </c>
      <c r="CM161" s="180" t="n">
        <f aca="false">CJ161+CL161-CK161</f>
        <v>152308.362076129</v>
      </c>
      <c r="CN161" s="180" t="n">
        <f aca="false">MAX(0,IFERROR(INDEX(TAB_IR,MATCH($C161,TAB_IR_DIAS,1),MATCH($G$8,TAB_IR_REGIMES,0)),0)*IF($G$26=2,CJ161,MAX(0,CM161))-CL161)</f>
        <v>305.113125566593</v>
      </c>
      <c r="CO161" s="181" t="n">
        <f aca="false">MAX(0,CJ161-CN161-CJ161*$G$25)</f>
        <v>279462.10776471</v>
      </c>
      <c r="CP161" s="180" t="n">
        <f aca="false">CO161/$D161</f>
        <v>201547.973638633</v>
      </c>
    </row>
    <row r="162" customFormat="false" ht="12" hidden="false" customHeight="true" outlineLevel="0" collapsed="false">
      <c r="A162" s="177" t="n">
        <v>101</v>
      </c>
      <c r="B162" s="178" t="n">
        <f aca="false">EDATE(DATA_INICIO,$A162)</f>
        <v>49332</v>
      </c>
      <c r="C162" s="177" t="n">
        <f aca="false">$A162*30</f>
        <v>3030</v>
      </c>
      <c r="D162" s="179" t="n">
        <f aca="false">(1+IPCA_CENARIO)^($A162/12)</f>
        <v>1.39111790072978</v>
      </c>
      <c r="F162" s="180" t="n">
        <f aca="false">M161</f>
        <v>379376.697134136</v>
      </c>
      <c r="G162" s="180" t="n">
        <f aca="false">IF($B$9=0,0,IF($A162&gt;IN_PRAZO,0,IF(APORTE_CORRIGIDO="Sim",IN_APORTE*$D162,IN_APORTE))+IF(AND($B$35=1,PGBL_REINVESTE="Sim",$A162&gt;=13,$A162&lt;=IN_PRAZO,MONTH($B162)=5),PGBL_BENEFICIO,0))</f>
        <v>0</v>
      </c>
      <c r="H162" s="180" t="n">
        <f aca="false">G162*$B$24</f>
        <v>0</v>
      </c>
      <c r="I162" s="180" t="n">
        <f aca="false">F162*$B$19</f>
        <v>3599.82692331184</v>
      </c>
      <c r="J162" s="180" t="n">
        <f aca="false">F162*$B$22</f>
        <v>63.229449522356</v>
      </c>
      <c r="K162" s="180" t="n">
        <f aca="false">$B$23*MAX(0,I162-F162*$B$18)</f>
        <v>0</v>
      </c>
      <c r="L162" s="180" t="n">
        <f aca="false">IF(AND($B$27=1,OR(MONTH($B162)=5,MONTH($B162)=11)),MAX(0,$B$28*MAX(0,(F162+I162-J162-K162+G162-H162)+O161-N162)-O161),0)</f>
        <v>0</v>
      </c>
      <c r="M162" s="181" t="n">
        <f aca="false">F162+I162-J162-K162+G162-H162-L162</f>
        <v>382913.294607925</v>
      </c>
      <c r="N162" s="180" t="n">
        <f aca="false">N161+G162-H162</f>
        <v>150000</v>
      </c>
      <c r="O162" s="180" t="n">
        <f aca="false">O161+L162</f>
        <v>0</v>
      </c>
      <c r="P162" s="180" t="n">
        <f aca="false">M162+O162-N162</f>
        <v>232913.294607925</v>
      </c>
      <c r="Q162" s="180" t="n">
        <f aca="false">MAX(0,IFERROR(INDEX(TAB_IR,MATCH($C162,TAB_IR_DIAS,1),MATCH($B$8,TAB_IR_REGIMES,0)),0)*IF($B$26=2,M162,MAX(0,P162))-O162)</f>
        <v>34936.9941911888</v>
      </c>
      <c r="R162" s="181" t="n">
        <f aca="false">MAX(0,M162-Q162-M162*$B$25)</f>
        <v>347976.300416737</v>
      </c>
      <c r="S162" s="180" t="n">
        <f aca="false">R162/$D162</f>
        <v>250141.48709767</v>
      </c>
      <c r="U162" s="180" t="n">
        <f aca="false">AB161</f>
        <v>332458.694444238</v>
      </c>
      <c r="V162" s="180" t="n">
        <f aca="false">IF($C$9=0,0,IF($A162&gt;IN_PRAZO,0,IF(APORTE_CORRIGIDO="Sim",IN_APORTE*$D162,IN_APORTE))+IF(AND($C$35=1,PGBL_REINVESTE="Sim",$A162&gt;=13,$A162&lt;=IN_PRAZO,MONTH($B162)=5),PGBL_BENEFICIO,0))</f>
        <v>0</v>
      </c>
      <c r="W162" s="180" t="n">
        <f aca="false">V162*$C$24</f>
        <v>0</v>
      </c>
      <c r="X162" s="180" t="n">
        <f aca="false">U162*$C$19</f>
        <v>2711.94052055826</v>
      </c>
      <c r="Y162" s="180" t="n">
        <f aca="false">U162*$C$22</f>
        <v>55.4097824073731</v>
      </c>
      <c r="Z162" s="180" t="n">
        <f aca="false">$C$23*MAX(0,X162-U162*$C$18)</f>
        <v>0</v>
      </c>
      <c r="AA162" s="180" t="n">
        <f aca="false">IF(AND($C$27=1,OR(MONTH($B162)=5,MONTH($B162)=11)),MAX(0,$C$28*MAX(0,(U162+X162-Y162-Z162+V162-W162)+AD161-AC162)-AD161),0)</f>
        <v>0</v>
      </c>
      <c r="AB162" s="181" t="n">
        <f aca="false">U162+X162-Y162-Z162+V162-W162-AA162</f>
        <v>335115.225182389</v>
      </c>
      <c r="AC162" s="180" t="n">
        <f aca="false">AC161+V162-W162</f>
        <v>150000</v>
      </c>
      <c r="AD162" s="180" t="n">
        <f aca="false">AD161+AA162</f>
        <v>0</v>
      </c>
      <c r="AE162" s="180" t="n">
        <f aca="false">AB162+AD162-AC162</f>
        <v>185115.225182389</v>
      </c>
      <c r="AF162" s="180" t="n">
        <f aca="false">MAX(0,IFERROR(INDEX(TAB_IR,MATCH($C162,TAB_IR_DIAS,1),MATCH($C$8,TAB_IR_REGIMES,0)),0)*IF($C$26=2,AB162,MAX(0,AE162))-AD162)</f>
        <v>27767.2837773584</v>
      </c>
      <c r="AG162" s="181" t="n">
        <f aca="false">MAX(0,AB162-AF162-AB162*$C$25)</f>
        <v>307347.941405031</v>
      </c>
      <c r="AH162" s="180" t="n">
        <f aca="false">AG162/$D162</f>
        <v>220935.940256247</v>
      </c>
      <c r="AJ162" s="180" t="n">
        <f aca="false">AQ161</f>
        <v>300269.629313321</v>
      </c>
      <c r="AK162" s="180" t="n">
        <f aca="false">IF($D$9=0,0,IF($A162&gt;IN_PRAZO,0,IF(APORTE_CORRIGIDO="Sim",IN_APORTE*$D162,IN_APORTE))+IF(AND($D$35=1,PGBL_REINVESTE="Sim",$A162&gt;=13,$A162&lt;=IN_PRAZO,MONTH($B162)=5),PGBL_BENEFICIO,0))</f>
        <v>0</v>
      </c>
      <c r="AL162" s="180" t="n">
        <f aca="false">AK162*$D$24</f>
        <v>0</v>
      </c>
      <c r="AM162" s="180" t="n">
        <f aca="false">AJ162*$D$19</f>
        <v>2699.03273107694</v>
      </c>
      <c r="AN162" s="180" t="n">
        <f aca="false">AJ162*$D$22</f>
        <v>250.224691094434</v>
      </c>
      <c r="AO162" s="180" t="n">
        <f aca="false">$D$23*MAX(0,AM162-AJ162*$D$18)</f>
        <v>0</v>
      </c>
      <c r="AP162" s="180" t="n">
        <f aca="false">IF(AND($D$27=1,OR(MONTH($B162)=5,MONTH($B162)=11)),MAX(0,$D$28*MAX(0,(AJ162+AM162-AN162-AO162+AK162-AL162)+AS161-AR162)-AS161),0)</f>
        <v>0</v>
      </c>
      <c r="AQ162" s="181" t="n">
        <f aca="false">AJ162+AM162-AN162-AO162+AK162-AL162-AP162</f>
        <v>302718.437353303</v>
      </c>
      <c r="AR162" s="180" t="n">
        <f aca="false">AR161+AK162-AL162</f>
        <v>150000</v>
      </c>
      <c r="AS162" s="180" t="n">
        <f aca="false">AS161+AP162</f>
        <v>26089.5230542901</v>
      </c>
      <c r="AT162" s="180" t="n">
        <f aca="false">AQ162+AS162-AR162</f>
        <v>178807.960407593</v>
      </c>
      <c r="AU162" s="180" t="n">
        <f aca="false">MAX(0,IFERROR(INDEX(TAB_IR,MATCH($C162,TAB_IR_DIAS,1),MATCH($D$8,TAB_IR_REGIMES,0)),0)*IF($D$26=2,AQ162,MAX(0,AT162))-AS162)</f>
        <v>731.671006848876</v>
      </c>
      <c r="AV162" s="181" t="n">
        <f aca="false">MAX(0,AQ162-AU162-AQ162*$D$25)</f>
        <v>301986.766346454</v>
      </c>
      <c r="AW162" s="180" t="n">
        <f aca="false">AV162/$D162</f>
        <v>217082.07923141</v>
      </c>
      <c r="AY162" s="180" t="n">
        <f aca="false">BF161</f>
        <v>351034.651411032</v>
      </c>
      <c r="AZ162" s="180" t="n">
        <f aca="false">IF($E$9=0,0,IF($A162&gt;IN_PRAZO,0,IF(APORTE_CORRIGIDO="Sim",IN_APORTE*$D162,IN_APORTE))+IF(AND($E$35=1,PGBL_REINVESTE="Sim",$A162&gt;=13,$A162&lt;=IN_PRAZO,MONTH($B162)=5),PGBL_BENEFICIO,0))</f>
        <v>0</v>
      </c>
      <c r="BA162" s="180" t="n">
        <f aca="false">AZ162*$E$24</f>
        <v>0</v>
      </c>
      <c r="BB162" s="180" t="n">
        <f aca="false">AY162*$E$19</f>
        <v>3436.18881176915</v>
      </c>
      <c r="BC162" s="180" t="n">
        <f aca="false">AY162*$E$22</f>
        <v>438.79331426379</v>
      </c>
      <c r="BD162" s="180" t="n">
        <f aca="false">$E$23*MAX(0,BB162-AY162*$E$18)</f>
        <v>0</v>
      </c>
      <c r="BE162" s="180" t="n">
        <f aca="false">IF(AND($E$27=1,OR(MONTH($B162)=5,MONTH($B162)=11)),MAX(0,$E$28*MAX(0,(AY162+BB162-BC162-BD162+AZ162-BA162)+BH161-BG162)-BH161),0)</f>
        <v>0</v>
      </c>
      <c r="BF162" s="181" t="n">
        <f aca="false">AY162+BB162-BC162-BD162+AZ162-BA162-BE162</f>
        <v>354032.046908537</v>
      </c>
      <c r="BG162" s="180" t="n">
        <f aca="false">BG161+AZ162-BA162</f>
        <v>150000</v>
      </c>
      <c r="BH162" s="180" t="n">
        <f aca="false">BH161+BE162</f>
        <v>0</v>
      </c>
      <c r="BI162" s="180" t="n">
        <f aca="false">BF162+BH162-BG162</f>
        <v>204032.046908537</v>
      </c>
      <c r="BJ162" s="180" t="n">
        <f aca="false">MAX(0,IFERROR(INDEX(TAB_IR,MATCH($C162,TAB_IR_DIAS,1),MATCH($E$8,TAB_IR_REGIMES,0)),0)*IF($E$26=2,BF162,MAX(0,BI162))-BH162)</f>
        <v>30604.8070362806</v>
      </c>
      <c r="BK162" s="181" t="n">
        <f aca="false">MAX(0,BF162-BJ162-BF162*$E$25)</f>
        <v>323427.239872256</v>
      </c>
      <c r="BL162" s="180" t="n">
        <f aca="false">BK162/$D162</f>
        <v>232494.484976857</v>
      </c>
      <c r="BN162" s="180" t="n">
        <f aca="false">BU161</f>
        <v>351034.651411032</v>
      </c>
      <c r="BO162" s="180" t="n">
        <f aca="false">IF($F$9=0,0,IF($A162&gt;IN_PRAZO,0,IF(APORTE_CORRIGIDO="Sim",IN_APORTE*$D162,IN_APORTE))+IF(AND($F$35=1,PGBL_REINVESTE="Sim",$A162&gt;=13,$A162&lt;=IN_PRAZO,MONTH($B162)=5),PGBL_BENEFICIO,0))</f>
        <v>0</v>
      </c>
      <c r="BP162" s="180" t="n">
        <f aca="false">BO162*$F$24</f>
        <v>0</v>
      </c>
      <c r="BQ162" s="180" t="n">
        <f aca="false">BN162*$F$19</f>
        <v>3436.18881176915</v>
      </c>
      <c r="BR162" s="180" t="n">
        <f aca="false">BN162*$F$22</f>
        <v>438.79331426379</v>
      </c>
      <c r="BS162" s="180" t="n">
        <f aca="false">$F$23*MAX(0,BQ162-BN162*$F$18)</f>
        <v>0</v>
      </c>
      <c r="BT162" s="180" t="n">
        <f aca="false">IF(AND($F$27=1,OR(MONTH($B162)=5,MONTH($B162)=11)),MAX(0,$F$28*MAX(0,(BN162+BQ162-BR162-BS162+BO162-BP162)+BW161-BV162)-BW161),0)</f>
        <v>0</v>
      </c>
      <c r="BU162" s="181" t="n">
        <f aca="false">BN162+BQ162-BR162-BS162+BO162-BP162-BT162</f>
        <v>354032.046908537</v>
      </c>
      <c r="BV162" s="180" t="n">
        <f aca="false">BV161+BO162-BP162</f>
        <v>150000</v>
      </c>
      <c r="BW162" s="180" t="n">
        <f aca="false">BW161+BT162</f>
        <v>0</v>
      </c>
      <c r="BX162" s="180" t="n">
        <f aca="false">BU162+BW162-BV162</f>
        <v>204032.046908537</v>
      </c>
      <c r="BY162" s="180" t="n">
        <f aca="false">MAX(0,IFERROR(INDEX(TAB_IR,MATCH($C162,TAB_IR_DIAS,1),MATCH($F$8,TAB_IR_REGIMES,0)),0)*IF($F$26=2,BU162,MAX(0,BX162))-BW162)</f>
        <v>53104.8070362806</v>
      </c>
      <c r="BZ162" s="181" t="n">
        <f aca="false">MAX(0,BU162-BY162-BU162*$F$25)</f>
        <v>300927.239872256</v>
      </c>
      <c r="CA162" s="180" t="n">
        <f aca="false">BZ162/$D162</f>
        <v>216320.442512019</v>
      </c>
      <c r="CC162" s="180" t="n">
        <f aca="false">CJ161</f>
        <v>279767.220890276</v>
      </c>
      <c r="CD162" s="180" t="n">
        <f aca="false">IF($G$9=0,0,IF($A162&gt;IN_PRAZO,0,IF(APORTE_CORRIGIDO="Sim",IN_APORTE*$D162,IN_APORTE))+IF(AND($G$35=1,PGBL_REINVESTE="Sim",$A162&gt;=13,$A162&lt;=IN_PRAZO,MONTH($B162)=5),PGBL_BENEFICIO,0))</f>
        <v>0</v>
      </c>
      <c r="CE162" s="180" t="n">
        <f aca="false">CD162*$G$24</f>
        <v>0</v>
      </c>
      <c r="CF162" s="180" t="n">
        <f aca="false">CC162*$G$19</f>
        <v>2282.12429193537</v>
      </c>
      <c r="CG162" s="180" t="n">
        <f aca="false">CC162*$G$22</f>
        <v>233.139350741897</v>
      </c>
      <c r="CH162" s="180" t="n">
        <f aca="false">$G$23*MAX(0,CF162-CC162*$G$18)</f>
        <v>0</v>
      </c>
      <c r="CI162" s="180" t="n">
        <f aca="false">IF(AND($G$27=1,OR(MONTH($B162)=5,MONTH($B162)=11)),MAX(0,$G$28*MAX(0,(CC162+CF162-CG162-CH162+CD162-CE162)+CL161-CK162)-CL161),0)</f>
        <v>0</v>
      </c>
      <c r="CJ162" s="181" t="n">
        <f aca="false">CC162+CF162-CG162-CH162+CD162-CE162-CI162</f>
        <v>281816.20583147</v>
      </c>
      <c r="CK162" s="180" t="n">
        <f aca="false">CK161+CD162-CE162</f>
        <v>150000</v>
      </c>
      <c r="CL162" s="180" t="n">
        <f aca="false">CL161+CI162</f>
        <v>22541.1411858527</v>
      </c>
      <c r="CM162" s="180" t="n">
        <f aca="false">CJ162+CL162-CK162</f>
        <v>154357.347017322</v>
      </c>
      <c r="CN162" s="180" t="n">
        <f aca="false">MAX(0,IFERROR(INDEX(TAB_IR,MATCH($C162,TAB_IR_DIAS,1),MATCH($G$8,TAB_IR_REGIMES,0)),0)*IF($G$26=2,CJ162,MAX(0,CM162))-CL162)</f>
        <v>612.460866745616</v>
      </c>
      <c r="CO162" s="181" t="n">
        <f aca="false">MAX(0,CJ162-CN162-CJ162*$G$25)</f>
        <v>281203.744964724</v>
      </c>
      <c r="CP162" s="180" t="n">
        <f aca="false">CO162/$D162</f>
        <v>202142.280548043</v>
      </c>
    </row>
    <row r="163" customFormat="false" ht="12" hidden="false" customHeight="true" outlineLevel="0" collapsed="false">
      <c r="A163" s="177" t="n">
        <v>102</v>
      </c>
      <c r="B163" s="178" t="n">
        <f aca="false">EDATE(DATA_INICIO,$A163)</f>
        <v>49363</v>
      </c>
      <c r="C163" s="177" t="n">
        <f aca="false">$A163*30</f>
        <v>3060</v>
      </c>
      <c r="D163" s="179" t="n">
        <f aca="false">(1+IPCA_CENARIO)^($A163/12)</f>
        <v>1.39567205874313</v>
      </c>
      <c r="F163" s="180" t="n">
        <f aca="false">M162</f>
        <v>382913.294607925</v>
      </c>
      <c r="G163" s="180" t="n">
        <f aca="false">IF($B$9=0,0,IF($A163&gt;IN_PRAZO,0,IF(APORTE_CORRIGIDO="Sim",IN_APORTE*$D163,IN_APORTE))+IF(AND($B$35=1,PGBL_REINVESTE="Sim",$A163&gt;=13,$A163&lt;=IN_PRAZO,MONTH($B163)=5),PGBL_BENEFICIO,0))</f>
        <v>0</v>
      </c>
      <c r="H163" s="180" t="n">
        <f aca="false">G163*$B$24</f>
        <v>0</v>
      </c>
      <c r="I163" s="180" t="n">
        <f aca="false">F163*$B$19</f>
        <v>3633.3849644336</v>
      </c>
      <c r="J163" s="180" t="n">
        <f aca="false">F163*$B$22</f>
        <v>63.8188824346542</v>
      </c>
      <c r="K163" s="180" t="n">
        <f aca="false">$B$23*MAX(0,I163-F163*$B$18)</f>
        <v>0</v>
      </c>
      <c r="L163" s="180" t="n">
        <f aca="false">IF(AND($B$27=1,OR(MONTH($B163)=5,MONTH($B163)=11)),MAX(0,$B$28*MAX(0,(F163+I163-J163-K163+G163-H163)+O162-N163)-O162),0)</f>
        <v>0</v>
      </c>
      <c r="M163" s="181" t="n">
        <f aca="false">F163+I163-J163-K163+G163-H163-L163</f>
        <v>386482.860689924</v>
      </c>
      <c r="N163" s="180" t="n">
        <f aca="false">N162+G163-H163</f>
        <v>150000</v>
      </c>
      <c r="O163" s="180" t="n">
        <f aca="false">O162+L163</f>
        <v>0</v>
      </c>
      <c r="P163" s="180" t="n">
        <f aca="false">M163+O163-N163</f>
        <v>236482.860689924</v>
      </c>
      <c r="Q163" s="180" t="n">
        <f aca="false">MAX(0,IFERROR(INDEX(TAB_IR,MATCH($C163,TAB_IR_DIAS,1),MATCH($B$8,TAB_IR_REGIMES,0)),0)*IF($B$26=2,M163,MAX(0,P163))-O163)</f>
        <v>35472.4291034886</v>
      </c>
      <c r="R163" s="181" t="n">
        <f aca="false">MAX(0,M163-Q163-M163*$B$25)</f>
        <v>351010.431586436</v>
      </c>
      <c r="S163" s="180" t="n">
        <f aca="false">R163/$D163</f>
        <v>251499.218163426</v>
      </c>
      <c r="U163" s="180" t="n">
        <f aca="false">AB162</f>
        <v>335115.225182389</v>
      </c>
      <c r="V163" s="180" t="n">
        <f aca="false">IF($C$9=0,0,IF($A163&gt;IN_PRAZO,0,IF(APORTE_CORRIGIDO="Sim",IN_APORTE*$D163,IN_APORTE))+IF(AND($C$35=1,PGBL_REINVESTE="Sim",$A163&gt;=13,$A163&lt;=IN_PRAZO,MONTH($B163)=5),PGBL_BENEFICIO,0))</f>
        <v>0</v>
      </c>
      <c r="W163" s="180" t="n">
        <f aca="false">V163*$C$24</f>
        <v>0</v>
      </c>
      <c r="X163" s="180" t="n">
        <f aca="false">U163*$C$19</f>
        <v>2733.61044068155</v>
      </c>
      <c r="Y163" s="180" t="n">
        <f aca="false">U163*$C$22</f>
        <v>55.8525375303982</v>
      </c>
      <c r="Z163" s="180" t="n">
        <f aca="false">$C$23*MAX(0,X163-U163*$C$18)</f>
        <v>0</v>
      </c>
      <c r="AA163" s="180" t="n">
        <f aca="false">IF(AND($C$27=1,OR(MONTH($B163)=5,MONTH($B163)=11)),MAX(0,$C$28*MAX(0,(U163+X163-Y163-Z163+V163-W163)+AD162-AC163)-AD162),0)</f>
        <v>0</v>
      </c>
      <c r="AB163" s="181" t="n">
        <f aca="false">U163+X163-Y163-Z163+V163-W163-AA163</f>
        <v>337792.98308554</v>
      </c>
      <c r="AC163" s="180" t="n">
        <f aca="false">AC162+V163-W163</f>
        <v>150000</v>
      </c>
      <c r="AD163" s="180" t="n">
        <f aca="false">AD162+AA163</f>
        <v>0</v>
      </c>
      <c r="AE163" s="180" t="n">
        <f aca="false">AB163+AD163-AC163</f>
        <v>187792.98308554</v>
      </c>
      <c r="AF163" s="180" t="n">
        <f aca="false">MAX(0,IFERROR(INDEX(TAB_IR,MATCH($C163,TAB_IR_DIAS,1),MATCH($C$8,TAB_IR_REGIMES,0)),0)*IF($C$26=2,AB163,MAX(0,AE163))-AD163)</f>
        <v>28168.9474628311</v>
      </c>
      <c r="AG163" s="181" t="n">
        <f aca="false">MAX(0,AB163-AF163-AB163*$C$25)</f>
        <v>309624.035622709</v>
      </c>
      <c r="AH163" s="180" t="n">
        <f aca="false">AG163/$D163</f>
        <v>221845.836694288</v>
      </c>
      <c r="AJ163" s="180" t="n">
        <f aca="false">AQ162</f>
        <v>302718.437353303</v>
      </c>
      <c r="AK163" s="180" t="n">
        <f aca="false">IF($D$9=0,0,IF($A163&gt;IN_PRAZO,0,IF(APORTE_CORRIGIDO="Sim",IN_APORTE*$D163,IN_APORTE))+IF(AND($D$35=1,PGBL_REINVESTE="Sim",$A163&gt;=13,$A163&lt;=IN_PRAZO,MONTH($B163)=5),PGBL_BENEFICIO,0))</f>
        <v>0</v>
      </c>
      <c r="AL163" s="180" t="n">
        <f aca="false">AK163*$D$24</f>
        <v>0</v>
      </c>
      <c r="AM163" s="180" t="n">
        <f aca="false">AJ163*$D$19</f>
        <v>2721.04432468084</v>
      </c>
      <c r="AN163" s="180" t="n">
        <f aca="false">AJ163*$D$22</f>
        <v>252.265364461086</v>
      </c>
      <c r="AO163" s="180" t="n">
        <f aca="false">$D$23*MAX(0,AM163-AJ163*$D$18)</f>
        <v>0</v>
      </c>
      <c r="AP163" s="180" t="n">
        <f aca="false">IF(AND($D$27=1,OR(MONTH($B163)=5,MONTH($B163)=11)),MAX(0,$D$28*MAX(0,(AJ163+AM163-AN163-AO163+AK163-AL163)+AS162-AR163)-AS162),0)</f>
        <v>0</v>
      </c>
      <c r="AQ163" s="181" t="n">
        <f aca="false">AJ163+AM163-AN163-AO163+AK163-AL163-AP163</f>
        <v>305187.216313523</v>
      </c>
      <c r="AR163" s="180" t="n">
        <f aca="false">AR162+AK163-AL163</f>
        <v>150000</v>
      </c>
      <c r="AS163" s="180" t="n">
        <f aca="false">AS162+AP163</f>
        <v>26089.5230542901</v>
      </c>
      <c r="AT163" s="180" t="n">
        <f aca="false">AQ163+AS163-AR163</f>
        <v>181276.739367813</v>
      </c>
      <c r="AU163" s="180" t="n">
        <f aca="false">MAX(0,IFERROR(INDEX(TAB_IR,MATCH($C163,TAB_IR_DIAS,1),MATCH($D$8,TAB_IR_REGIMES,0)),0)*IF($D$26=2,AQ163,MAX(0,AT163))-AS163)</f>
        <v>1101.98785088183</v>
      </c>
      <c r="AV163" s="181" t="n">
        <f aca="false">MAX(0,AQ163-AU163-AQ163*$D$25)</f>
        <v>304085.228462641</v>
      </c>
      <c r="AW163" s="180" t="n">
        <f aca="false">AV163/$D163</f>
        <v>217877.277514952</v>
      </c>
      <c r="AY163" s="180" t="n">
        <f aca="false">BF162</f>
        <v>354032.046908537</v>
      </c>
      <c r="AZ163" s="180" t="n">
        <f aca="false">IF($E$9=0,0,IF($A163&gt;IN_PRAZO,0,IF(APORTE_CORRIGIDO="Sim",IN_APORTE*$D163,IN_APORTE))+IF(AND($E$35=1,PGBL_REINVESTE="Sim",$A163&gt;=13,$A163&lt;=IN_PRAZO,MONTH($B163)=5),PGBL_BENEFICIO,0))</f>
        <v>0</v>
      </c>
      <c r="BA163" s="180" t="n">
        <f aca="false">AZ163*$E$24</f>
        <v>0</v>
      </c>
      <c r="BB163" s="180" t="n">
        <f aca="false">AY163*$E$19</f>
        <v>3465.52955300815</v>
      </c>
      <c r="BC163" s="180" t="n">
        <f aca="false">AY163*$E$22</f>
        <v>442.540058635671</v>
      </c>
      <c r="BD163" s="180" t="n">
        <f aca="false">$E$23*MAX(0,BB163-AY163*$E$18)</f>
        <v>0</v>
      </c>
      <c r="BE163" s="180" t="n">
        <f aca="false">IF(AND($E$27=1,OR(MONTH($B163)=5,MONTH($B163)=11)),MAX(0,$E$28*MAX(0,(AY163+BB163-BC163-BD163+AZ163-BA163)+BH162-BG163)-BH162),0)</f>
        <v>0</v>
      </c>
      <c r="BF163" s="181" t="n">
        <f aca="false">AY163+BB163-BC163-BD163+AZ163-BA163-BE163</f>
        <v>357055.03640291</v>
      </c>
      <c r="BG163" s="180" t="n">
        <f aca="false">BG162+AZ163-BA163</f>
        <v>150000</v>
      </c>
      <c r="BH163" s="180" t="n">
        <f aca="false">BH162+BE163</f>
        <v>0</v>
      </c>
      <c r="BI163" s="180" t="n">
        <f aca="false">BF163+BH163-BG163</f>
        <v>207055.03640291</v>
      </c>
      <c r="BJ163" s="180" t="n">
        <f aca="false">MAX(0,IFERROR(INDEX(TAB_IR,MATCH($C163,TAB_IR_DIAS,1),MATCH($E$8,TAB_IR_REGIMES,0)),0)*IF($E$26=2,BF163,MAX(0,BI163))-BH163)</f>
        <v>31058.2554604364</v>
      </c>
      <c r="BK163" s="181" t="n">
        <f aca="false">MAX(0,BF163-BJ163-BF163*$E$25)</f>
        <v>325996.780942473</v>
      </c>
      <c r="BL163" s="180" t="n">
        <f aca="false">BK163/$D163</f>
        <v>233576.920094001</v>
      </c>
      <c r="BN163" s="180" t="n">
        <f aca="false">BU162</f>
        <v>354032.046908537</v>
      </c>
      <c r="BO163" s="180" t="n">
        <f aca="false">IF($F$9=0,0,IF($A163&gt;IN_PRAZO,0,IF(APORTE_CORRIGIDO="Sim",IN_APORTE*$D163,IN_APORTE))+IF(AND($F$35=1,PGBL_REINVESTE="Sim",$A163&gt;=13,$A163&lt;=IN_PRAZO,MONTH($B163)=5),PGBL_BENEFICIO,0))</f>
        <v>0</v>
      </c>
      <c r="BP163" s="180" t="n">
        <f aca="false">BO163*$F$24</f>
        <v>0</v>
      </c>
      <c r="BQ163" s="180" t="n">
        <f aca="false">BN163*$F$19</f>
        <v>3465.52955300815</v>
      </c>
      <c r="BR163" s="180" t="n">
        <f aca="false">BN163*$F$22</f>
        <v>442.540058635671</v>
      </c>
      <c r="BS163" s="180" t="n">
        <f aca="false">$F$23*MAX(0,BQ163-BN163*$F$18)</f>
        <v>0</v>
      </c>
      <c r="BT163" s="180" t="n">
        <f aca="false">IF(AND($F$27=1,OR(MONTH($B163)=5,MONTH($B163)=11)),MAX(0,$F$28*MAX(0,(BN163+BQ163-BR163-BS163+BO163-BP163)+BW162-BV163)-BW162),0)</f>
        <v>0</v>
      </c>
      <c r="BU163" s="181" t="n">
        <f aca="false">BN163+BQ163-BR163-BS163+BO163-BP163-BT163</f>
        <v>357055.03640291</v>
      </c>
      <c r="BV163" s="180" t="n">
        <f aca="false">BV162+BO163-BP163</f>
        <v>150000</v>
      </c>
      <c r="BW163" s="180" t="n">
        <f aca="false">BW162+BT163</f>
        <v>0</v>
      </c>
      <c r="BX163" s="180" t="n">
        <f aca="false">BU163+BW163-BV163</f>
        <v>207055.03640291</v>
      </c>
      <c r="BY163" s="180" t="n">
        <f aca="false">MAX(0,IFERROR(INDEX(TAB_IR,MATCH($C163,TAB_IR_DIAS,1),MATCH($F$8,TAB_IR_REGIMES,0)),0)*IF($F$26=2,BU163,MAX(0,BX163))-BW163)</f>
        <v>53558.2554604364</v>
      </c>
      <c r="BZ163" s="181" t="n">
        <f aca="false">MAX(0,BU163-BY163-BU163*$F$25)</f>
        <v>303496.780942473</v>
      </c>
      <c r="CA163" s="180" t="n">
        <f aca="false">BZ163/$D163</f>
        <v>217455.654457815</v>
      </c>
      <c r="CC163" s="180" t="n">
        <f aca="false">CJ162</f>
        <v>281816.20583147</v>
      </c>
      <c r="CD163" s="180" t="n">
        <f aca="false">IF($G$9=0,0,IF($A163&gt;IN_PRAZO,0,IF(APORTE_CORRIGIDO="Sim",IN_APORTE*$D163,IN_APORTE))+IF(AND($G$35=1,PGBL_REINVESTE="Sim",$A163&gt;=13,$A163&lt;=IN_PRAZO,MONTH($B163)=5),PGBL_BENEFICIO,0))</f>
        <v>0</v>
      </c>
      <c r="CE163" s="180" t="n">
        <f aca="false">CD163*$G$24</f>
        <v>0</v>
      </c>
      <c r="CF163" s="180" t="n">
        <f aca="false">CC163*$G$19</f>
        <v>2298.83832402686</v>
      </c>
      <c r="CG163" s="180" t="n">
        <f aca="false">CC163*$G$22</f>
        <v>234.846838192891</v>
      </c>
      <c r="CH163" s="180" t="n">
        <f aca="false">$G$23*MAX(0,CF163-CC163*$G$18)</f>
        <v>0</v>
      </c>
      <c r="CI163" s="180" t="n">
        <f aca="false">IF(AND($G$27=1,OR(MONTH($B163)=5,MONTH($B163)=11)),MAX(0,$G$28*MAX(0,(CC163+CF163-CG163-CH163+CD163-CE163)+CL162-CK163)-CL162),0)</f>
        <v>0</v>
      </c>
      <c r="CJ163" s="181" t="n">
        <f aca="false">CC163+CF163-CG163-CH163+CD163-CE163-CI163</f>
        <v>283880.197317304</v>
      </c>
      <c r="CK163" s="180" t="n">
        <f aca="false">CK162+CD163-CE163</f>
        <v>150000</v>
      </c>
      <c r="CL163" s="180" t="n">
        <f aca="false">CL162+CI163</f>
        <v>22541.1411858527</v>
      </c>
      <c r="CM163" s="180" t="n">
        <f aca="false">CJ163+CL163-CK163</f>
        <v>156421.338503156</v>
      </c>
      <c r="CN163" s="180" t="n">
        <f aca="false">MAX(0,IFERROR(INDEX(TAB_IR,MATCH($C163,TAB_IR_DIAS,1),MATCH($G$8,TAB_IR_REGIMES,0)),0)*IF($G$26=2,CJ163,MAX(0,CM163))-CL163)</f>
        <v>922.059589620709</v>
      </c>
      <c r="CO163" s="181" t="n">
        <f aca="false">MAX(0,CJ163-CN163-CJ163*$G$25)</f>
        <v>282958.137727683</v>
      </c>
      <c r="CP163" s="180" t="n">
        <f aca="false">CO163/$D163</f>
        <v>202739.702321261</v>
      </c>
    </row>
    <row r="164" customFormat="false" ht="12" hidden="false" customHeight="true" outlineLevel="0" collapsed="false">
      <c r="A164" s="177" t="n">
        <v>103</v>
      </c>
      <c r="B164" s="178" t="n">
        <f aca="false">EDATE(DATA_INICIO,$A164)</f>
        <v>49391</v>
      </c>
      <c r="C164" s="177" t="n">
        <f aca="false">$A164*30</f>
        <v>3090</v>
      </c>
      <c r="D164" s="179" t="n">
        <f aca="false">(1+IPCA_CENARIO)^($A164/12)</f>
        <v>1.40024112588474</v>
      </c>
      <c r="F164" s="180" t="n">
        <f aca="false">M163</f>
        <v>386482.860689924</v>
      </c>
      <c r="G164" s="180" t="n">
        <f aca="false">IF($B$9=0,0,IF($A164&gt;IN_PRAZO,0,IF(APORTE_CORRIGIDO="Sim",IN_APORTE*$D164,IN_APORTE))+IF(AND($B$35=1,PGBL_REINVESTE="Sim",$A164&gt;=13,$A164&lt;=IN_PRAZO,MONTH($B164)=5),PGBL_BENEFICIO,0))</f>
        <v>0</v>
      </c>
      <c r="H164" s="180" t="n">
        <f aca="false">G164*$B$24</f>
        <v>0</v>
      </c>
      <c r="I164" s="180" t="n">
        <f aca="false">F164*$B$19</f>
        <v>3667.255837852</v>
      </c>
      <c r="J164" s="180" t="n">
        <f aca="false">F164*$B$22</f>
        <v>64.4138101149874</v>
      </c>
      <c r="K164" s="180" t="n">
        <f aca="false">$B$23*MAX(0,I164-F164*$B$18)</f>
        <v>0</v>
      </c>
      <c r="L164" s="180" t="n">
        <f aca="false">IF(AND($B$27=1,OR(MONTH($B164)=5,MONTH($B164)=11)),MAX(0,$B$28*MAX(0,(F164+I164-J164-K164+G164-H164)+O163-N164)-O163),0)</f>
        <v>0</v>
      </c>
      <c r="M164" s="181" t="n">
        <f aca="false">F164+I164-J164-K164+G164-H164-L164</f>
        <v>390085.702717661</v>
      </c>
      <c r="N164" s="180" t="n">
        <f aca="false">N163+G164-H164</f>
        <v>150000</v>
      </c>
      <c r="O164" s="180" t="n">
        <f aca="false">O163+L164</f>
        <v>0</v>
      </c>
      <c r="P164" s="180" t="n">
        <f aca="false">M164+O164-N164</f>
        <v>240085.702717661</v>
      </c>
      <c r="Q164" s="180" t="n">
        <f aca="false">MAX(0,IFERROR(INDEX(TAB_IR,MATCH($C164,TAB_IR_DIAS,1),MATCH($B$8,TAB_IR_REGIMES,0)),0)*IF($B$26=2,M164,MAX(0,P164))-O164)</f>
        <v>36012.8554076492</v>
      </c>
      <c r="R164" s="181" t="n">
        <f aca="false">MAX(0,M164-Q164-M164*$B$25)</f>
        <v>354072.847310012</v>
      </c>
      <c r="S164" s="180" t="n">
        <f aca="false">R164/$D164</f>
        <v>252865.624901777</v>
      </c>
      <c r="U164" s="180" t="n">
        <f aca="false">AB163</f>
        <v>337792.98308554</v>
      </c>
      <c r="V164" s="180" t="n">
        <f aca="false">IF($C$9=0,0,IF($A164&gt;IN_PRAZO,0,IF(APORTE_CORRIGIDO="Sim",IN_APORTE*$D164,IN_APORTE))+IF(AND($C$35=1,PGBL_REINVESTE="Sim",$A164&gt;=13,$A164&lt;=IN_PRAZO,MONTH($B164)=5),PGBL_BENEFICIO,0))</f>
        <v>0</v>
      </c>
      <c r="W164" s="180" t="n">
        <f aca="false">V164*$C$24</f>
        <v>0</v>
      </c>
      <c r="X164" s="180" t="n">
        <f aca="false">U164*$C$19</f>
        <v>2755.45351557523</v>
      </c>
      <c r="Y164" s="180" t="n">
        <f aca="false">U164*$C$22</f>
        <v>56.2988305142567</v>
      </c>
      <c r="Z164" s="180" t="n">
        <f aca="false">$C$23*MAX(0,X164-U164*$C$18)</f>
        <v>0</v>
      </c>
      <c r="AA164" s="180" t="n">
        <f aca="false">IF(AND($C$27=1,OR(MONTH($B164)=5,MONTH($B164)=11)),MAX(0,$C$28*MAX(0,(U164+X164-Y164-Z164+V164-W164)+AD163-AC164)-AD163),0)</f>
        <v>0</v>
      </c>
      <c r="AB164" s="181" t="n">
        <f aca="false">U164+X164-Y164-Z164+V164-W164-AA164</f>
        <v>340492.137770601</v>
      </c>
      <c r="AC164" s="180" t="n">
        <f aca="false">AC163+V164-W164</f>
        <v>150000</v>
      </c>
      <c r="AD164" s="180" t="n">
        <f aca="false">AD163+AA164</f>
        <v>0</v>
      </c>
      <c r="AE164" s="180" t="n">
        <f aca="false">AB164+AD164-AC164</f>
        <v>190492.137770601</v>
      </c>
      <c r="AF164" s="180" t="n">
        <f aca="false">MAX(0,IFERROR(INDEX(TAB_IR,MATCH($C164,TAB_IR_DIAS,1),MATCH($C$8,TAB_IR_REGIMES,0)),0)*IF($C$26=2,AB164,MAX(0,AE164))-AD164)</f>
        <v>28573.8206655902</v>
      </c>
      <c r="AG164" s="181" t="n">
        <f aca="false">MAX(0,AB164-AF164-AB164*$C$25)</f>
        <v>311918.317105011</v>
      </c>
      <c r="AH164" s="180" t="n">
        <f aca="false">AG164/$D164</f>
        <v>222760.431284952</v>
      </c>
      <c r="AJ164" s="180" t="n">
        <f aca="false">AQ163</f>
        <v>305187.216313523</v>
      </c>
      <c r="AK164" s="180" t="n">
        <f aca="false">IF($D$9=0,0,IF($A164&gt;IN_PRAZO,0,IF(APORTE_CORRIGIDO="Sim",IN_APORTE*$D164,IN_APORTE))+IF(AND($D$35=1,PGBL_REINVESTE="Sim",$A164&gt;=13,$A164&lt;=IN_PRAZO,MONTH($B164)=5),PGBL_BENEFICIO,0))</f>
        <v>0</v>
      </c>
      <c r="AL164" s="180" t="n">
        <f aca="false">AK164*$D$24</f>
        <v>0</v>
      </c>
      <c r="AM164" s="180" t="n">
        <f aca="false">AJ164*$D$19</f>
        <v>2743.23543083654</v>
      </c>
      <c r="AN164" s="180" t="n">
        <f aca="false">AJ164*$D$22</f>
        <v>254.322680261269</v>
      </c>
      <c r="AO164" s="180" t="n">
        <f aca="false">$D$23*MAX(0,AM164-AJ164*$D$18)</f>
        <v>0</v>
      </c>
      <c r="AP164" s="180" t="n">
        <f aca="false">IF(AND($D$27=1,OR(MONTH($B164)=5,MONTH($B164)=11)),MAX(0,$D$28*MAX(0,(AJ164+AM164-AN164-AO164+AK164-AL164)+AS163-AR164)-AS163),0)</f>
        <v>0</v>
      </c>
      <c r="AQ164" s="181" t="n">
        <f aca="false">AJ164+AM164-AN164-AO164+AK164-AL164-AP164</f>
        <v>307676.129064098</v>
      </c>
      <c r="AR164" s="180" t="n">
        <f aca="false">AR163+AK164-AL164</f>
        <v>150000</v>
      </c>
      <c r="AS164" s="180" t="n">
        <f aca="false">AS163+AP164</f>
        <v>26089.5230542901</v>
      </c>
      <c r="AT164" s="180" t="n">
        <f aca="false">AQ164+AS164-AR164</f>
        <v>183765.652118388</v>
      </c>
      <c r="AU164" s="180" t="n">
        <f aca="false">MAX(0,IFERROR(INDEX(TAB_IR,MATCH($C164,TAB_IR_DIAS,1),MATCH($D$8,TAB_IR_REGIMES,0)),0)*IF($D$26=2,AQ164,MAX(0,AT164))-AS164)</f>
        <v>1475.32476346812</v>
      </c>
      <c r="AV164" s="181" t="n">
        <f aca="false">MAX(0,AQ164-AU164-AQ164*$D$25)</f>
        <v>306200.80430063</v>
      </c>
      <c r="AW164" s="180" t="n">
        <f aca="false">AV164/$D164</f>
        <v>218677.196834337</v>
      </c>
      <c r="AY164" s="180" t="n">
        <f aca="false">BF163</f>
        <v>357055.03640291</v>
      </c>
      <c r="AZ164" s="180" t="n">
        <f aca="false">IF($E$9=0,0,IF($A164&gt;IN_PRAZO,0,IF(APORTE_CORRIGIDO="Sim",IN_APORTE*$D164,IN_APORTE))+IF(AND($E$35=1,PGBL_REINVESTE="Sim",$A164&gt;=13,$A164&lt;=IN_PRAZO,MONTH($B164)=5),PGBL_BENEFICIO,0))</f>
        <v>0</v>
      </c>
      <c r="BA164" s="180" t="n">
        <f aca="false">AZ164*$E$24</f>
        <v>0</v>
      </c>
      <c r="BB164" s="180" t="n">
        <f aca="false">AY164*$E$19</f>
        <v>3495.12082736499</v>
      </c>
      <c r="BC164" s="180" t="n">
        <f aca="false">AY164*$E$22</f>
        <v>446.318795503637</v>
      </c>
      <c r="BD164" s="180" t="n">
        <f aca="false">$E$23*MAX(0,BB164-AY164*$E$18)</f>
        <v>0</v>
      </c>
      <c r="BE164" s="180" t="n">
        <f aca="false">IF(AND($E$27=1,OR(MONTH($B164)=5,MONTH($B164)=11)),MAX(0,$E$28*MAX(0,(AY164+BB164-BC164-BD164+AZ164-BA164)+BH163-BG164)-BH163),0)</f>
        <v>0</v>
      </c>
      <c r="BF164" s="181" t="n">
        <f aca="false">AY164+BB164-BC164-BD164+AZ164-BA164-BE164</f>
        <v>360103.838434771</v>
      </c>
      <c r="BG164" s="180" t="n">
        <f aca="false">BG163+AZ164-BA164</f>
        <v>150000</v>
      </c>
      <c r="BH164" s="180" t="n">
        <f aca="false">BH163+BE164</f>
        <v>0</v>
      </c>
      <c r="BI164" s="180" t="n">
        <f aca="false">BF164+BH164-BG164</f>
        <v>210103.838434771</v>
      </c>
      <c r="BJ164" s="180" t="n">
        <f aca="false">MAX(0,IFERROR(INDEX(TAB_IR,MATCH($C164,TAB_IR_DIAS,1),MATCH($E$8,TAB_IR_REGIMES,0)),0)*IF($E$26=2,BF164,MAX(0,BI164))-BH164)</f>
        <v>31515.5757652156</v>
      </c>
      <c r="BK164" s="181" t="n">
        <f aca="false">MAX(0,BF164-BJ164-BF164*$E$25)</f>
        <v>328588.262669555</v>
      </c>
      <c r="BL164" s="180" t="n">
        <f aca="false">BK164/$D164</f>
        <v>234665.484819222</v>
      </c>
      <c r="BN164" s="180" t="n">
        <f aca="false">BU163</f>
        <v>357055.03640291</v>
      </c>
      <c r="BO164" s="180" t="n">
        <f aca="false">IF($F$9=0,0,IF($A164&gt;IN_PRAZO,0,IF(APORTE_CORRIGIDO="Sim",IN_APORTE*$D164,IN_APORTE))+IF(AND($F$35=1,PGBL_REINVESTE="Sim",$A164&gt;=13,$A164&lt;=IN_PRAZO,MONTH($B164)=5),PGBL_BENEFICIO,0))</f>
        <v>0</v>
      </c>
      <c r="BP164" s="180" t="n">
        <f aca="false">BO164*$F$24</f>
        <v>0</v>
      </c>
      <c r="BQ164" s="180" t="n">
        <f aca="false">BN164*$F$19</f>
        <v>3495.12082736499</v>
      </c>
      <c r="BR164" s="180" t="n">
        <f aca="false">BN164*$F$22</f>
        <v>446.318795503637</v>
      </c>
      <c r="BS164" s="180" t="n">
        <f aca="false">$F$23*MAX(0,BQ164-BN164*$F$18)</f>
        <v>0</v>
      </c>
      <c r="BT164" s="180" t="n">
        <f aca="false">IF(AND($F$27=1,OR(MONTH($B164)=5,MONTH($B164)=11)),MAX(0,$F$28*MAX(0,(BN164+BQ164-BR164-BS164+BO164-BP164)+BW163-BV164)-BW163),0)</f>
        <v>0</v>
      </c>
      <c r="BU164" s="181" t="n">
        <f aca="false">BN164+BQ164-BR164-BS164+BO164-BP164-BT164</f>
        <v>360103.838434771</v>
      </c>
      <c r="BV164" s="180" t="n">
        <f aca="false">BV163+BO164-BP164</f>
        <v>150000</v>
      </c>
      <c r="BW164" s="180" t="n">
        <f aca="false">BW163+BT164</f>
        <v>0</v>
      </c>
      <c r="BX164" s="180" t="n">
        <f aca="false">BU164+BW164-BV164</f>
        <v>210103.838434771</v>
      </c>
      <c r="BY164" s="180" t="n">
        <f aca="false">MAX(0,IFERROR(INDEX(TAB_IR,MATCH($C164,TAB_IR_DIAS,1),MATCH($F$8,TAB_IR_REGIMES,0)),0)*IF($F$26=2,BU164,MAX(0,BX164))-BW164)</f>
        <v>54015.5757652156</v>
      </c>
      <c r="BZ164" s="181" t="n">
        <f aca="false">MAX(0,BU164-BY164-BU164*$F$25)</f>
        <v>306088.262669555</v>
      </c>
      <c r="CA164" s="180" t="n">
        <f aca="false">BZ164/$D164</f>
        <v>218596.823797868</v>
      </c>
      <c r="CC164" s="180" t="n">
        <f aca="false">CJ163</f>
        <v>283880.197317304</v>
      </c>
      <c r="CD164" s="180" t="n">
        <f aca="false">IF($G$9=0,0,IF($A164&gt;IN_PRAZO,0,IF(APORTE_CORRIGIDO="Sim",IN_APORTE*$D164,IN_APORTE))+IF(AND($G$35=1,PGBL_REINVESTE="Sim",$A164&gt;=13,$A164&lt;=IN_PRAZO,MONTH($B164)=5),PGBL_BENEFICIO,0))</f>
        <v>0</v>
      </c>
      <c r="CE164" s="180" t="n">
        <f aca="false">CD164*$G$24</f>
        <v>0</v>
      </c>
      <c r="CF164" s="180" t="n">
        <f aca="false">CC164*$G$19</f>
        <v>2315.67476788608</v>
      </c>
      <c r="CG164" s="180" t="n">
        <f aca="false">CC164*$G$22</f>
        <v>236.566831097753</v>
      </c>
      <c r="CH164" s="180" t="n">
        <f aca="false">$G$23*MAX(0,CF164-CC164*$G$18)</f>
        <v>0</v>
      </c>
      <c r="CI164" s="180" t="n">
        <f aca="false">IF(AND($G$27=1,OR(MONTH($B164)=5,MONTH($B164)=11)),MAX(0,$G$28*MAX(0,(CC164+CF164-CG164-CH164+CD164-CE164)+CL163-CK164)-CL163),0)</f>
        <v>0</v>
      </c>
      <c r="CJ164" s="181" t="n">
        <f aca="false">CC164+CF164-CG164-CH164+CD164-CE164-CI164</f>
        <v>285959.305254092</v>
      </c>
      <c r="CK164" s="180" t="n">
        <f aca="false">CK163+CD164-CE164</f>
        <v>150000</v>
      </c>
      <c r="CL164" s="180" t="n">
        <f aca="false">CL163+CI164</f>
        <v>22541.1411858527</v>
      </c>
      <c r="CM164" s="180" t="n">
        <f aca="false">CJ164+CL164-CK164</f>
        <v>158500.446439945</v>
      </c>
      <c r="CN164" s="180" t="n">
        <f aca="false">MAX(0,IFERROR(INDEX(TAB_IR,MATCH($C164,TAB_IR_DIAS,1),MATCH($G$8,TAB_IR_REGIMES,0)),0)*IF($G$26=2,CJ164,MAX(0,CM164))-CL164)</f>
        <v>1233.92578013895</v>
      </c>
      <c r="CO164" s="181" t="n">
        <f aca="false">MAX(0,CJ164-CN164-CJ164*$G$25)</f>
        <v>284725.379473953</v>
      </c>
      <c r="CP164" s="180" t="n">
        <f aca="false">CO164/$D164</f>
        <v>203340.249197473</v>
      </c>
    </row>
    <row r="165" customFormat="false" ht="12" hidden="false" customHeight="true" outlineLevel="0" collapsed="false">
      <c r="A165" s="177" t="n">
        <v>104</v>
      </c>
      <c r="B165" s="178" t="n">
        <f aca="false">EDATE(DATA_INICIO,$A165)</f>
        <v>49422</v>
      </c>
      <c r="C165" s="177" t="n">
        <f aca="false">$A165*30</f>
        <v>3120</v>
      </c>
      <c r="D165" s="179" t="n">
        <f aca="false">(1+IPCA_CENARIO)^($A165/12)</f>
        <v>1.40482515096322</v>
      </c>
      <c r="F165" s="180" t="n">
        <f aca="false">M164</f>
        <v>390085.702717661</v>
      </c>
      <c r="G165" s="180" t="n">
        <f aca="false">IF($B$9=0,0,IF($A165&gt;IN_PRAZO,0,IF(APORTE_CORRIGIDO="Sim",IN_APORTE*$D165,IN_APORTE))+IF(AND($B$35=1,PGBL_REINVESTE="Sim",$A165&gt;=13,$A165&lt;=IN_PRAZO,MONTH($B165)=5),PGBL_BENEFICIO,0))</f>
        <v>0</v>
      </c>
      <c r="H165" s="180" t="n">
        <f aca="false">G165*$B$24</f>
        <v>0</v>
      </c>
      <c r="I165" s="180" t="n">
        <f aca="false">F165*$B$19</f>
        <v>3701.44245982921</v>
      </c>
      <c r="J165" s="180" t="n">
        <f aca="false">F165*$B$22</f>
        <v>65.0142837862769</v>
      </c>
      <c r="K165" s="180" t="n">
        <f aca="false">$B$23*MAX(0,I165-F165*$B$18)</f>
        <v>0</v>
      </c>
      <c r="L165" s="180" t="n">
        <f aca="false">IF(AND($B$27=1,OR(MONTH($B165)=5,MONTH($B165)=11)),MAX(0,$B$28*MAX(0,(F165+I165-J165-K165+G165-H165)+O164-N165)-O164),0)</f>
        <v>0</v>
      </c>
      <c r="M165" s="181" t="n">
        <f aca="false">F165+I165-J165-K165+G165-H165-L165</f>
        <v>393722.130893704</v>
      </c>
      <c r="N165" s="180" t="n">
        <f aca="false">N164+G165-H165</f>
        <v>150000</v>
      </c>
      <c r="O165" s="180" t="n">
        <f aca="false">O164+L165</f>
        <v>0</v>
      </c>
      <c r="P165" s="180" t="n">
        <f aca="false">M165+O165-N165</f>
        <v>243722.130893704</v>
      </c>
      <c r="Q165" s="180" t="n">
        <f aca="false">MAX(0,IFERROR(INDEX(TAB_IR,MATCH($C165,TAB_IR_DIAS,1),MATCH($B$8,TAB_IR_REGIMES,0)),0)*IF($B$26=2,M165,MAX(0,P165))-O165)</f>
        <v>36558.3196340556</v>
      </c>
      <c r="R165" s="181" t="n">
        <f aca="false">MAX(0,M165-Q165-M165*$B$25)</f>
        <v>357163.811259649</v>
      </c>
      <c r="S165" s="180" t="n">
        <f aca="false">R165/$D165</f>
        <v>254240.758015159</v>
      </c>
      <c r="U165" s="180" t="n">
        <f aca="false">AB164</f>
        <v>340492.137770601</v>
      </c>
      <c r="V165" s="180" t="n">
        <f aca="false">IF($C$9=0,0,IF($A165&gt;IN_PRAZO,0,IF(APORTE_CORRIGIDO="Sim",IN_APORTE*$D165,IN_APORTE))+IF(AND($C$35=1,PGBL_REINVESTE="Sim",$A165&gt;=13,$A165&lt;=IN_PRAZO,MONTH($B165)=5),PGBL_BENEFICIO,0))</f>
        <v>0</v>
      </c>
      <c r="W165" s="180" t="n">
        <f aca="false">V165*$C$24</f>
        <v>0</v>
      </c>
      <c r="X165" s="180" t="n">
        <f aca="false">U165*$C$19</f>
        <v>2777.47112884267</v>
      </c>
      <c r="Y165" s="180" t="n">
        <f aca="false">U165*$C$22</f>
        <v>56.7486896284336</v>
      </c>
      <c r="Z165" s="180" t="n">
        <f aca="false">$C$23*MAX(0,X165-U165*$C$18)</f>
        <v>0</v>
      </c>
      <c r="AA165" s="180" t="n">
        <f aca="false">IF(AND($C$27=1,OR(MONTH($B165)=5,MONTH($B165)=11)),MAX(0,$C$28*MAX(0,(U165+X165-Y165-Z165+V165-W165)+AD164-AC165)-AD164),0)</f>
        <v>0</v>
      </c>
      <c r="AB165" s="181" t="n">
        <f aca="false">U165+X165-Y165-Z165+V165-W165-AA165</f>
        <v>343212.860209816</v>
      </c>
      <c r="AC165" s="180" t="n">
        <f aca="false">AC164+V165-W165</f>
        <v>150000</v>
      </c>
      <c r="AD165" s="180" t="n">
        <f aca="false">AD164+AA165</f>
        <v>0</v>
      </c>
      <c r="AE165" s="180" t="n">
        <f aca="false">AB165+AD165-AC165</f>
        <v>193212.860209816</v>
      </c>
      <c r="AF165" s="180" t="n">
        <f aca="false">MAX(0,IFERROR(INDEX(TAB_IR,MATCH($C165,TAB_IR_DIAS,1),MATCH($C$8,TAB_IR_REGIMES,0)),0)*IF($C$26=2,AB165,MAX(0,AE165))-AD165)</f>
        <v>28981.9290314723</v>
      </c>
      <c r="AG165" s="181" t="n">
        <f aca="false">MAX(0,AB165-AF165-AB165*$C$25)</f>
        <v>314230.931178343</v>
      </c>
      <c r="AH165" s="180" t="n">
        <f aca="false">AG165/$D165</f>
        <v>223679.744744669</v>
      </c>
      <c r="AJ165" s="180" t="n">
        <f aca="false">AQ164</f>
        <v>307676.129064098</v>
      </c>
      <c r="AK165" s="180" t="n">
        <f aca="false">IF($D$9=0,0,IF($A165&gt;IN_PRAZO,0,IF(APORTE_CORRIGIDO="Sim",IN_APORTE*$D165,IN_APORTE))+IF(AND($D$35=1,PGBL_REINVESTE="Sim",$A165&gt;=13,$A165&lt;=IN_PRAZO,MONTH($B165)=5),PGBL_BENEFICIO,0))</f>
        <v>0</v>
      </c>
      <c r="AL165" s="180" t="n">
        <f aca="false">AK165*$D$24</f>
        <v>0</v>
      </c>
      <c r="AM165" s="180" t="n">
        <f aca="false">AJ165*$D$19</f>
        <v>2765.60751353422</v>
      </c>
      <c r="AN165" s="180" t="n">
        <f aca="false">AJ165*$D$22</f>
        <v>256.396774220082</v>
      </c>
      <c r="AO165" s="180" t="n">
        <f aca="false">$D$23*MAX(0,AM165-AJ165*$D$18)</f>
        <v>0</v>
      </c>
      <c r="AP165" s="180" t="n">
        <f aca="false">IF(AND($D$27=1,OR(MONTH($B165)=5,MONTH($B165)=11)),MAX(0,$D$28*MAX(0,(AJ165+AM165-AN165-AO165+AK165-AL165)+AS164-AR165)-AS164),0)</f>
        <v>0</v>
      </c>
      <c r="AQ165" s="181" t="n">
        <f aca="false">AJ165+AM165-AN165-AO165+AK165-AL165-AP165</f>
        <v>310185.339803412</v>
      </c>
      <c r="AR165" s="180" t="n">
        <f aca="false">AR164+AK165-AL165</f>
        <v>150000</v>
      </c>
      <c r="AS165" s="180" t="n">
        <f aca="false">AS164+AP165</f>
        <v>26089.5230542901</v>
      </c>
      <c r="AT165" s="180" t="n">
        <f aca="false">AQ165+AS165-AR165</f>
        <v>186274.862857702</v>
      </c>
      <c r="AU165" s="180" t="n">
        <f aca="false">MAX(0,IFERROR(INDEX(TAB_IR,MATCH($C165,TAB_IR_DIAS,1),MATCH($D$8,TAB_IR_REGIMES,0)),0)*IF($D$26=2,AQ165,MAX(0,AT165))-AS165)</f>
        <v>1851.70637436524</v>
      </c>
      <c r="AV165" s="181" t="n">
        <f aca="false">MAX(0,AQ165-AU165-AQ165*$D$25)</f>
        <v>308333.633429047</v>
      </c>
      <c r="AW165" s="180" t="n">
        <f aca="false">AV165/$D165</f>
        <v>219481.857381068</v>
      </c>
      <c r="AY165" s="180" t="n">
        <f aca="false">BF164</f>
        <v>360103.838434771</v>
      </c>
      <c r="AZ165" s="180" t="n">
        <f aca="false">IF($E$9=0,0,IF($A165&gt;IN_PRAZO,0,IF(APORTE_CORRIGIDO="Sim",IN_APORTE*$D165,IN_APORTE))+IF(AND($E$35=1,PGBL_REINVESTE="Sim",$A165&gt;=13,$A165&lt;=IN_PRAZO,MONTH($B165)=5),PGBL_BENEFICIO,0))</f>
        <v>0</v>
      </c>
      <c r="BA165" s="180" t="n">
        <f aca="false">AZ165*$E$24</f>
        <v>0</v>
      </c>
      <c r="BB165" s="180" t="n">
        <f aca="false">AY165*$E$19</f>
        <v>3524.96477407814</v>
      </c>
      <c r="BC165" s="180" t="n">
        <f aca="false">AY165*$E$22</f>
        <v>450.129798043464</v>
      </c>
      <c r="BD165" s="180" t="n">
        <f aca="false">$E$23*MAX(0,BB165-AY165*$E$18)</f>
        <v>0</v>
      </c>
      <c r="BE165" s="180" t="n">
        <f aca="false">IF(AND($E$27=1,OR(MONTH($B165)=5,MONTH($B165)=11)),MAX(0,$E$28*MAX(0,(AY165+BB165-BC165-BD165+AZ165-BA165)+BH164-BG165)-BH164),0)</f>
        <v>0</v>
      </c>
      <c r="BF165" s="181" t="n">
        <f aca="false">AY165+BB165-BC165-BD165+AZ165-BA165-BE165</f>
        <v>363178.673410806</v>
      </c>
      <c r="BG165" s="180" t="n">
        <f aca="false">BG164+AZ165-BA165</f>
        <v>150000</v>
      </c>
      <c r="BH165" s="180" t="n">
        <f aca="false">BH164+BE165</f>
        <v>0</v>
      </c>
      <c r="BI165" s="180" t="n">
        <f aca="false">BF165+BH165-BG165</f>
        <v>213178.673410806</v>
      </c>
      <c r="BJ165" s="180" t="n">
        <f aca="false">MAX(0,IFERROR(INDEX(TAB_IR,MATCH($C165,TAB_IR_DIAS,1),MATCH($E$8,TAB_IR_REGIMES,0)),0)*IF($E$26=2,BF165,MAX(0,BI165))-BH165)</f>
        <v>31976.8010116208</v>
      </c>
      <c r="BK165" s="181" t="n">
        <f aca="false">MAX(0,BF165-BJ165-BF165*$E$25)</f>
        <v>331201.872399185</v>
      </c>
      <c r="BL165" s="180" t="n">
        <f aca="false">BK165/$D165</f>
        <v>235760.209853942</v>
      </c>
      <c r="BN165" s="180" t="n">
        <f aca="false">BU164</f>
        <v>360103.838434771</v>
      </c>
      <c r="BO165" s="180" t="n">
        <f aca="false">IF($F$9=0,0,IF($A165&gt;IN_PRAZO,0,IF(APORTE_CORRIGIDO="Sim",IN_APORTE*$D165,IN_APORTE))+IF(AND($F$35=1,PGBL_REINVESTE="Sim",$A165&gt;=13,$A165&lt;=IN_PRAZO,MONTH($B165)=5),PGBL_BENEFICIO,0))</f>
        <v>0</v>
      </c>
      <c r="BP165" s="180" t="n">
        <f aca="false">BO165*$F$24</f>
        <v>0</v>
      </c>
      <c r="BQ165" s="180" t="n">
        <f aca="false">BN165*$F$19</f>
        <v>3524.96477407814</v>
      </c>
      <c r="BR165" s="180" t="n">
        <f aca="false">BN165*$F$22</f>
        <v>450.129798043464</v>
      </c>
      <c r="BS165" s="180" t="n">
        <f aca="false">$F$23*MAX(0,BQ165-BN165*$F$18)</f>
        <v>0</v>
      </c>
      <c r="BT165" s="180" t="n">
        <f aca="false">IF(AND($F$27=1,OR(MONTH($B165)=5,MONTH($B165)=11)),MAX(0,$F$28*MAX(0,(BN165+BQ165-BR165-BS165+BO165-BP165)+BW164-BV165)-BW164),0)</f>
        <v>0</v>
      </c>
      <c r="BU165" s="181" t="n">
        <f aca="false">BN165+BQ165-BR165-BS165+BO165-BP165-BT165</f>
        <v>363178.673410806</v>
      </c>
      <c r="BV165" s="180" t="n">
        <f aca="false">BV164+BO165-BP165</f>
        <v>150000</v>
      </c>
      <c r="BW165" s="180" t="n">
        <f aca="false">BW164+BT165</f>
        <v>0</v>
      </c>
      <c r="BX165" s="180" t="n">
        <f aca="false">BU165+BW165-BV165</f>
        <v>213178.673410806</v>
      </c>
      <c r="BY165" s="180" t="n">
        <f aca="false">MAX(0,IFERROR(INDEX(TAB_IR,MATCH($C165,TAB_IR_DIAS,1),MATCH($F$8,TAB_IR_REGIMES,0)),0)*IF($F$26=2,BU165,MAX(0,BX165))-BW165)</f>
        <v>54476.8010116208</v>
      </c>
      <c r="BZ165" s="181" t="n">
        <f aca="false">MAX(0,BU165-BY165-BU165*$F$25)</f>
        <v>308701.872399185</v>
      </c>
      <c r="CA165" s="180" t="n">
        <f aca="false">BZ165/$D165</f>
        <v>219743.981795545</v>
      </c>
      <c r="CC165" s="180" t="n">
        <f aca="false">CJ164</f>
        <v>285959.305254092</v>
      </c>
      <c r="CD165" s="180" t="n">
        <f aca="false">IF($G$9=0,0,IF($A165&gt;IN_PRAZO,0,IF(APORTE_CORRIGIDO="Sim",IN_APORTE*$D165,IN_APORTE))+IF(AND($G$35=1,PGBL_REINVESTE="Sim",$A165&gt;=13,$A165&lt;=IN_PRAZO,MONTH($B165)=5),PGBL_BENEFICIO,0))</f>
        <v>0</v>
      </c>
      <c r="CE165" s="180" t="n">
        <f aca="false">CD165*$G$24</f>
        <v>0</v>
      </c>
      <c r="CF165" s="180" t="n">
        <f aca="false">CC165*$G$19</f>
        <v>2332.63452004361</v>
      </c>
      <c r="CG165" s="180" t="n">
        <f aca="false">CC165*$G$22</f>
        <v>238.299421045077</v>
      </c>
      <c r="CH165" s="180" t="n">
        <f aca="false">$G$23*MAX(0,CF165-CC165*$G$18)</f>
        <v>0</v>
      </c>
      <c r="CI165" s="180" t="n">
        <f aca="false">IF(AND($G$27=1,OR(MONTH($B165)=5,MONTH($B165)=11)),MAX(0,$G$28*MAX(0,(CC165+CF165-CG165-CH165+CD165-CE165)+CL164-CK165)-CL164),0)</f>
        <v>0</v>
      </c>
      <c r="CJ165" s="181" t="n">
        <f aca="false">CC165+CF165-CG165-CH165+CD165-CE165-CI165</f>
        <v>288053.64035309</v>
      </c>
      <c r="CK165" s="180" t="n">
        <f aca="false">CK164+CD165-CE165</f>
        <v>150000</v>
      </c>
      <c r="CL165" s="180" t="n">
        <f aca="false">CL164+CI165</f>
        <v>22541.1411858527</v>
      </c>
      <c r="CM165" s="180" t="n">
        <f aca="false">CJ165+CL165-CK165</f>
        <v>160594.781538943</v>
      </c>
      <c r="CN165" s="180" t="n">
        <f aca="false">MAX(0,IFERROR(INDEX(TAB_IR,MATCH($C165,TAB_IR_DIAS,1),MATCH($G$8,TAB_IR_REGIMES,0)),0)*IF($G$26=2,CJ165,MAX(0,CM165))-CL165)</f>
        <v>1548.07604498874</v>
      </c>
      <c r="CO165" s="181" t="n">
        <f aca="false">MAX(0,CJ165-CN165-CJ165*$G$25)</f>
        <v>286505.564308102</v>
      </c>
      <c r="CP165" s="180" t="n">
        <f aca="false">CO165/$D165</f>
        <v>203943.931464823</v>
      </c>
    </row>
    <row r="166" customFormat="false" ht="12" hidden="false" customHeight="true" outlineLevel="0" collapsed="false">
      <c r="A166" s="177" t="n">
        <v>105</v>
      </c>
      <c r="B166" s="178" t="n">
        <f aca="false">EDATE(DATA_INICIO,$A166)</f>
        <v>49452</v>
      </c>
      <c r="C166" s="177" t="n">
        <f aca="false">$A166*30</f>
        <v>3150</v>
      </c>
      <c r="D166" s="179" t="n">
        <f aca="false">(1+IPCA_CENARIO)^($A166/12)</f>
        <v>1.40942418294696</v>
      </c>
      <c r="F166" s="180" t="n">
        <f aca="false">M165</f>
        <v>393722.130893704</v>
      </c>
      <c r="G166" s="180" t="n">
        <f aca="false">IF($B$9=0,0,IF($A166&gt;IN_PRAZO,0,IF(APORTE_CORRIGIDO="Sim",IN_APORTE*$D166,IN_APORTE))+IF(AND($B$35=1,PGBL_REINVESTE="Sim",$A166&gt;=13,$A166&lt;=IN_PRAZO,MONTH($B166)=5),PGBL_BENEFICIO,0))</f>
        <v>0</v>
      </c>
      <c r="H166" s="180" t="n">
        <f aca="false">G166*$B$24</f>
        <v>0</v>
      </c>
      <c r="I166" s="180" t="n">
        <f aca="false">F166*$B$19</f>
        <v>3735.94777381316</v>
      </c>
      <c r="J166" s="180" t="n">
        <f aca="false">F166*$B$22</f>
        <v>65.6203551489507</v>
      </c>
      <c r="K166" s="180" t="n">
        <f aca="false">$B$23*MAX(0,I166-F166*$B$18)</f>
        <v>0</v>
      </c>
      <c r="L166" s="180" t="n">
        <f aca="false">IF(AND($B$27=1,OR(MONTH($B166)=5,MONTH($B166)=11)),MAX(0,$B$28*MAX(0,(F166+I166-J166-K166+G166-H166)+O165-N166)-O165),0)</f>
        <v>0</v>
      </c>
      <c r="M166" s="181" t="n">
        <f aca="false">F166+I166-J166-K166+G166-H166-L166</f>
        <v>397392.458312368</v>
      </c>
      <c r="N166" s="180" t="n">
        <f aca="false">N165+G166-H166</f>
        <v>150000</v>
      </c>
      <c r="O166" s="180" t="n">
        <f aca="false">O165+L166</f>
        <v>0</v>
      </c>
      <c r="P166" s="180" t="n">
        <f aca="false">M166+O166-N166</f>
        <v>247392.458312368</v>
      </c>
      <c r="Q166" s="180" t="n">
        <f aca="false">MAX(0,IFERROR(INDEX(TAB_IR,MATCH($C166,TAB_IR_DIAS,1),MATCH($B$8,TAB_IR_REGIMES,0)),0)*IF($B$26=2,M166,MAX(0,P166))-O166)</f>
        <v>37108.8687468553</v>
      </c>
      <c r="R166" s="181" t="n">
        <f aca="false">MAX(0,M166-Q166-M166*$B$25)</f>
        <v>360283.589565513</v>
      </c>
      <c r="S166" s="180" t="n">
        <f aca="false">R166/$D166</f>
        <v>255624.668516896</v>
      </c>
      <c r="U166" s="180" t="n">
        <f aca="false">AB165</f>
        <v>343212.860209816</v>
      </c>
      <c r="V166" s="180" t="n">
        <f aca="false">IF($C$9=0,0,IF($A166&gt;IN_PRAZO,0,IF(APORTE_CORRIGIDO="Sim",IN_APORTE*$D166,IN_APORTE))+IF(AND($C$35=1,PGBL_REINVESTE="Sim",$A166&gt;=13,$A166&lt;=IN_PRAZO,MONTH($B166)=5),PGBL_BENEFICIO,0))</f>
        <v>0</v>
      </c>
      <c r="W166" s="180" t="n">
        <f aca="false">V166*$C$24</f>
        <v>0</v>
      </c>
      <c r="X166" s="180" t="n">
        <f aca="false">U166*$C$19</f>
        <v>2799.66467514301</v>
      </c>
      <c r="Y166" s="180" t="n">
        <f aca="false">U166*$C$22</f>
        <v>57.2021433683026</v>
      </c>
      <c r="Z166" s="180" t="n">
        <f aca="false">$C$23*MAX(0,X166-U166*$C$18)</f>
        <v>0</v>
      </c>
      <c r="AA166" s="180" t="n">
        <f aca="false">IF(AND($C$27=1,OR(MONTH($B166)=5,MONTH($B166)=11)),MAX(0,$C$28*MAX(0,(U166+X166-Y166-Z166+V166-W166)+AD165-AC166)-AD165),0)</f>
        <v>0</v>
      </c>
      <c r="AB166" s="181" t="n">
        <f aca="false">U166+X166-Y166-Z166+V166-W166-AA166</f>
        <v>345955.32274159</v>
      </c>
      <c r="AC166" s="180" t="n">
        <f aca="false">AC165+V166-W166</f>
        <v>150000</v>
      </c>
      <c r="AD166" s="180" t="n">
        <f aca="false">AD165+AA166</f>
        <v>0</v>
      </c>
      <c r="AE166" s="180" t="n">
        <f aca="false">AB166+AD166-AC166</f>
        <v>195955.32274159</v>
      </c>
      <c r="AF166" s="180" t="n">
        <f aca="false">MAX(0,IFERROR(INDEX(TAB_IR,MATCH($C166,TAB_IR_DIAS,1),MATCH($C$8,TAB_IR_REGIMES,0)),0)*IF($C$26=2,AB166,MAX(0,AE166))-AD166)</f>
        <v>29393.2984112385</v>
      </c>
      <c r="AG166" s="181" t="n">
        <f aca="false">MAX(0,AB166-AF166-AB166*$C$25)</f>
        <v>316562.024330352</v>
      </c>
      <c r="AH166" s="180" t="n">
        <f aca="false">AG166/$D166</f>
        <v>224603.797891741</v>
      </c>
      <c r="AJ166" s="180" t="n">
        <f aca="false">AQ165</f>
        <v>310185.339803412</v>
      </c>
      <c r="AK166" s="180" t="n">
        <f aca="false">IF($D$9=0,0,IF($A166&gt;IN_PRAZO,0,IF(APORTE_CORRIGIDO="Sim",IN_APORTE*$D166,IN_APORTE))+IF(AND($D$35=1,PGBL_REINVESTE="Sim",$A166&gt;=13,$A166&lt;=IN_PRAZO,MONTH($B166)=5),PGBL_BENEFICIO,0))</f>
        <v>0</v>
      </c>
      <c r="AL166" s="180" t="n">
        <f aca="false">AK166*$D$24</f>
        <v>0</v>
      </c>
      <c r="AM166" s="180" t="n">
        <f aca="false">AJ166*$D$19</f>
        <v>2788.16204870338</v>
      </c>
      <c r="AN166" s="180" t="n">
        <f aca="false">AJ166*$D$22</f>
        <v>258.48778316951</v>
      </c>
      <c r="AO166" s="180" t="n">
        <f aca="false">$D$23*MAX(0,AM166-AJ166*$D$18)</f>
        <v>0</v>
      </c>
      <c r="AP166" s="180" t="n">
        <f aca="false">IF(AND($D$27=1,OR(MONTH($B166)=5,MONTH($B166)=11)),MAX(0,$D$28*MAX(0,(AJ166+AM166-AN166-AO166+AK166-AL166)+AS165-AR166)-AS165),0)</f>
        <v>2231.15751419532</v>
      </c>
      <c r="AQ166" s="181" t="n">
        <f aca="false">AJ166+AM166-AN166-AO166+AK166-AL166-AP166</f>
        <v>310483.856554751</v>
      </c>
      <c r="AR166" s="180" t="n">
        <f aca="false">AR165+AK166-AL166</f>
        <v>150000</v>
      </c>
      <c r="AS166" s="180" t="n">
        <f aca="false">AS165+AP166</f>
        <v>28320.6805684854</v>
      </c>
      <c r="AT166" s="180" t="n">
        <f aca="false">AQ166+AS166-AR166</f>
        <v>188804.537123236</v>
      </c>
      <c r="AU166" s="180" t="n">
        <f aca="false">MAX(0,IFERROR(INDEX(TAB_IR,MATCH($C166,TAB_IR_DIAS,1),MATCH($D$8,TAB_IR_REGIMES,0)),0)*IF($D$26=2,AQ166,MAX(0,AT166))-AS166)</f>
        <v>0</v>
      </c>
      <c r="AV166" s="181" t="n">
        <f aca="false">MAX(0,AQ166-AU166-AQ166*$D$25)</f>
        <v>310483.856554751</v>
      </c>
      <c r="AW166" s="180" t="n">
        <f aca="false">AV166/$D166</f>
        <v>220291.279453969</v>
      </c>
      <c r="AY166" s="180" t="n">
        <f aca="false">BF165</f>
        <v>363178.673410806</v>
      </c>
      <c r="AZ166" s="180" t="n">
        <f aca="false">IF($E$9=0,0,IF($A166&gt;IN_PRAZO,0,IF(APORTE_CORRIGIDO="Sim",IN_APORTE*$D166,IN_APORTE))+IF(AND($E$35=1,PGBL_REINVESTE="Sim",$A166&gt;=13,$A166&lt;=IN_PRAZO,MONTH($B166)=5),PGBL_BENEFICIO,0))</f>
        <v>0</v>
      </c>
      <c r="BA166" s="180" t="n">
        <f aca="false">AZ166*$E$24</f>
        <v>0</v>
      </c>
      <c r="BB166" s="180" t="n">
        <f aca="false">AY166*$E$19</f>
        <v>3555.06355065252</v>
      </c>
      <c r="BC166" s="180" t="n">
        <f aca="false">AY166*$E$22</f>
        <v>453.973341763507</v>
      </c>
      <c r="BD166" s="180" t="n">
        <f aca="false">$E$23*MAX(0,BB166-AY166*$E$18)</f>
        <v>0</v>
      </c>
      <c r="BE166" s="180" t="n">
        <f aca="false">IF(AND($E$27=1,OR(MONTH($B166)=5,MONTH($B166)=11)),MAX(0,$E$28*MAX(0,(AY166+BB166-BC166-BD166+AZ166-BA166)+BH165-BG166)-BH165),0)</f>
        <v>0</v>
      </c>
      <c r="BF166" s="181" t="n">
        <f aca="false">AY166+BB166-BC166-BD166+AZ166-BA166-BE166</f>
        <v>366279.763619695</v>
      </c>
      <c r="BG166" s="180" t="n">
        <f aca="false">BG165+AZ166-BA166</f>
        <v>150000</v>
      </c>
      <c r="BH166" s="180" t="n">
        <f aca="false">BH165+BE166</f>
        <v>0</v>
      </c>
      <c r="BI166" s="180" t="n">
        <f aca="false">BF166+BH166-BG166</f>
        <v>216279.763619695</v>
      </c>
      <c r="BJ166" s="180" t="n">
        <f aca="false">MAX(0,IFERROR(INDEX(TAB_IR,MATCH($C166,TAB_IR_DIAS,1),MATCH($E$8,TAB_IR_REGIMES,0)),0)*IF($E$26=2,BF166,MAX(0,BI166))-BH166)</f>
        <v>32441.9645429542</v>
      </c>
      <c r="BK166" s="181" t="n">
        <f aca="false">MAX(0,BF166-BJ166-BF166*$E$25)</f>
        <v>333837.79907674</v>
      </c>
      <c r="BL166" s="180" t="n">
        <f aca="false">BK166/$D166</f>
        <v>236861.126065483</v>
      </c>
      <c r="BN166" s="180" t="n">
        <f aca="false">BU165</f>
        <v>363178.673410806</v>
      </c>
      <c r="BO166" s="180" t="n">
        <f aca="false">IF($F$9=0,0,IF($A166&gt;IN_PRAZO,0,IF(APORTE_CORRIGIDO="Sim",IN_APORTE*$D166,IN_APORTE))+IF(AND($F$35=1,PGBL_REINVESTE="Sim",$A166&gt;=13,$A166&lt;=IN_PRAZO,MONTH($B166)=5),PGBL_BENEFICIO,0))</f>
        <v>0</v>
      </c>
      <c r="BP166" s="180" t="n">
        <f aca="false">BO166*$F$24</f>
        <v>0</v>
      </c>
      <c r="BQ166" s="180" t="n">
        <f aca="false">BN166*$F$19</f>
        <v>3555.06355065252</v>
      </c>
      <c r="BR166" s="180" t="n">
        <f aca="false">BN166*$F$22</f>
        <v>453.973341763507</v>
      </c>
      <c r="BS166" s="180" t="n">
        <f aca="false">$F$23*MAX(0,BQ166-BN166*$F$18)</f>
        <v>0</v>
      </c>
      <c r="BT166" s="180" t="n">
        <f aca="false">IF(AND($F$27=1,OR(MONTH($B166)=5,MONTH($B166)=11)),MAX(0,$F$28*MAX(0,(BN166+BQ166-BR166-BS166+BO166-BP166)+BW165-BV166)-BW165),0)</f>
        <v>0</v>
      </c>
      <c r="BU166" s="181" t="n">
        <f aca="false">BN166+BQ166-BR166-BS166+BO166-BP166-BT166</f>
        <v>366279.763619695</v>
      </c>
      <c r="BV166" s="180" t="n">
        <f aca="false">BV165+BO166-BP166</f>
        <v>150000</v>
      </c>
      <c r="BW166" s="180" t="n">
        <f aca="false">BW165+BT166</f>
        <v>0</v>
      </c>
      <c r="BX166" s="180" t="n">
        <f aca="false">BU166+BW166-BV166</f>
        <v>216279.763619695</v>
      </c>
      <c r="BY166" s="180" t="n">
        <f aca="false">MAX(0,IFERROR(INDEX(TAB_IR,MATCH($C166,TAB_IR_DIAS,1),MATCH($F$8,TAB_IR_REGIMES,0)),0)*IF($F$26=2,BU166,MAX(0,BX166))-BW166)</f>
        <v>54941.9645429542</v>
      </c>
      <c r="BZ166" s="181" t="n">
        <f aca="false">MAX(0,BU166-BY166-BU166*$F$25)</f>
        <v>311337.79907674</v>
      </c>
      <c r="CA166" s="180" t="n">
        <f aca="false">BZ166/$D166</f>
        <v>220897.159878274</v>
      </c>
      <c r="CC166" s="180" t="n">
        <f aca="false">CJ165</f>
        <v>288053.64035309</v>
      </c>
      <c r="CD166" s="180" t="n">
        <f aca="false">IF($G$9=0,0,IF($A166&gt;IN_PRAZO,0,IF(APORTE_CORRIGIDO="Sim",IN_APORTE*$D166,IN_APORTE))+IF(AND($G$35=1,PGBL_REINVESTE="Sim",$A166&gt;=13,$A166&lt;=IN_PRAZO,MONTH($B166)=5),PGBL_BENEFICIO,0))</f>
        <v>0</v>
      </c>
      <c r="CE166" s="180" t="n">
        <f aca="false">CD166*$G$24</f>
        <v>0</v>
      </c>
      <c r="CF166" s="180" t="n">
        <f aca="false">CC166*$G$19</f>
        <v>2349.71848359612</v>
      </c>
      <c r="CG166" s="180" t="n">
        <f aca="false">CC166*$G$22</f>
        <v>240.044700294242</v>
      </c>
      <c r="CH166" s="180" t="n">
        <f aca="false">$G$23*MAX(0,CF166-CC166*$G$18)</f>
        <v>0</v>
      </c>
      <c r="CI166" s="180" t="n">
        <f aca="false">IF(AND($G$27=1,OR(MONTH($B166)=5,MONTH($B166)=11)),MAX(0,$G$28*MAX(0,(CC166+CF166-CG166-CH166+CD166-CE166)+CL165-CK166)-CL165),0)</f>
        <v>1864.52711248401</v>
      </c>
      <c r="CJ166" s="181" t="n">
        <f aca="false">CC166+CF166-CG166-CH166+CD166-CE166-CI166</f>
        <v>288298.787023908</v>
      </c>
      <c r="CK166" s="180" t="n">
        <f aca="false">CK165+CD166-CE166</f>
        <v>150000</v>
      </c>
      <c r="CL166" s="180" t="n">
        <f aca="false">CL165+CI166</f>
        <v>24405.6682983367</v>
      </c>
      <c r="CM166" s="180" t="n">
        <f aca="false">CJ166+CL166-CK166</f>
        <v>162704.455322245</v>
      </c>
      <c r="CN166" s="180" t="n">
        <f aca="false">MAX(0,IFERROR(INDEX(TAB_IR,MATCH($C166,TAB_IR_DIAS,1),MATCH($G$8,TAB_IR_REGIMES,0)),0)*IF($G$26=2,CJ166,MAX(0,CM166))-CL166)</f>
        <v>0</v>
      </c>
      <c r="CO166" s="181" t="n">
        <f aca="false">MAX(0,CJ166-CN166-CJ166*$G$25)</f>
        <v>288298.787023908</v>
      </c>
      <c r="CP166" s="180" t="n">
        <f aca="false">CO166/$D166</f>
        <v>204550.75946058</v>
      </c>
    </row>
    <row r="167" customFormat="false" ht="12" hidden="false" customHeight="true" outlineLevel="0" collapsed="false">
      <c r="A167" s="177" t="n">
        <v>106</v>
      </c>
      <c r="B167" s="178" t="n">
        <f aca="false">EDATE(DATA_INICIO,$A167)</f>
        <v>49483</v>
      </c>
      <c r="C167" s="177" t="n">
        <f aca="false">$A167*30</f>
        <v>3180</v>
      </c>
      <c r="D167" s="179" t="n">
        <f aca="false">(1+IPCA_CENARIO)^($A167/12)</f>
        <v>1.41403827096467</v>
      </c>
      <c r="F167" s="180" t="n">
        <f aca="false">M166</f>
        <v>397392.458312368</v>
      </c>
      <c r="G167" s="180" t="n">
        <f aca="false">IF($B$9=0,0,IF($A167&gt;IN_PRAZO,0,IF(APORTE_CORRIGIDO="Sim",IN_APORTE*$D167,IN_APORTE))+IF(AND($B$35=1,PGBL_REINVESTE="Sim",$A167&gt;=13,$A167&lt;=IN_PRAZO,MONTH($B167)=5),PGBL_BENEFICIO,0))</f>
        <v>0</v>
      </c>
      <c r="H167" s="180" t="n">
        <f aca="false">G167*$B$24</f>
        <v>0</v>
      </c>
      <c r="I167" s="180" t="n">
        <f aca="false">F167*$B$19</f>
        <v>3770.77475069099</v>
      </c>
      <c r="J167" s="180" t="n">
        <f aca="false">F167*$B$22</f>
        <v>66.2320763853947</v>
      </c>
      <c r="K167" s="180" t="n">
        <f aca="false">$B$23*MAX(0,I167-F167*$B$18)</f>
        <v>0</v>
      </c>
      <c r="L167" s="180" t="n">
        <f aca="false">IF(AND($B$27=1,OR(MONTH($B167)=5,MONTH($B167)=11)),MAX(0,$B$28*MAX(0,(F167+I167-J167-K167+G167-H167)+O166-N167)-O166),0)</f>
        <v>0</v>
      </c>
      <c r="M167" s="181" t="n">
        <f aca="false">F167+I167-J167-K167+G167-H167-L167</f>
        <v>401097.000986674</v>
      </c>
      <c r="N167" s="180" t="n">
        <f aca="false">N166+G167-H167</f>
        <v>150000</v>
      </c>
      <c r="O167" s="180" t="n">
        <f aca="false">O166+L167</f>
        <v>0</v>
      </c>
      <c r="P167" s="180" t="n">
        <f aca="false">M167+O167-N167</f>
        <v>251097.000986674</v>
      </c>
      <c r="Q167" s="180" t="n">
        <f aca="false">MAX(0,IFERROR(INDEX(TAB_IR,MATCH($C167,TAB_IR_DIAS,1),MATCH($B$8,TAB_IR_REGIMES,0)),0)*IF($B$26=2,M167,MAX(0,P167))-O167)</f>
        <v>37664.5501480011</v>
      </c>
      <c r="R167" s="181" t="n">
        <f aca="false">MAX(0,M167-Q167-M167*$B$25)</f>
        <v>363432.450838673</v>
      </c>
      <c r="S167" s="180" t="n">
        <f aca="false">R167/$D167</f>
        <v>257017.407733057</v>
      </c>
      <c r="U167" s="180" t="n">
        <f aca="false">AB166</f>
        <v>345955.32274159</v>
      </c>
      <c r="V167" s="180" t="n">
        <f aca="false">IF($C$9=0,0,IF($A167&gt;IN_PRAZO,0,IF(APORTE_CORRIGIDO="Sim",IN_APORTE*$D167,IN_APORTE))+IF(AND($C$35=1,PGBL_REINVESTE="Sim",$A167&gt;=13,$A167&lt;=IN_PRAZO,MONTH($B167)=5),PGBL_BENEFICIO,0))</f>
        <v>0</v>
      </c>
      <c r="W167" s="180" t="n">
        <f aca="false">V167*$C$24</f>
        <v>0</v>
      </c>
      <c r="X167" s="180" t="n">
        <f aca="false">U167*$C$19</f>
        <v>2822.03556027948</v>
      </c>
      <c r="Y167" s="180" t="n">
        <f aca="false">U167*$C$22</f>
        <v>57.6592204569317</v>
      </c>
      <c r="Z167" s="180" t="n">
        <f aca="false">$C$23*MAX(0,X167-U167*$C$18)</f>
        <v>0</v>
      </c>
      <c r="AA167" s="180" t="n">
        <f aca="false">IF(AND($C$27=1,OR(MONTH($B167)=5,MONTH($B167)=11)),MAX(0,$C$28*MAX(0,(U167+X167-Y167-Z167+V167-W167)+AD166-AC167)-AD166),0)</f>
        <v>0</v>
      </c>
      <c r="AB167" s="181" t="n">
        <f aca="false">U167+X167-Y167-Z167+V167-W167-AA167</f>
        <v>348719.699081413</v>
      </c>
      <c r="AC167" s="180" t="n">
        <f aca="false">AC166+V167-W167</f>
        <v>150000</v>
      </c>
      <c r="AD167" s="180" t="n">
        <f aca="false">AD166+AA167</f>
        <v>0</v>
      </c>
      <c r="AE167" s="180" t="n">
        <f aca="false">AB167+AD167-AC167</f>
        <v>198719.699081413</v>
      </c>
      <c r="AF167" s="180" t="n">
        <f aca="false">MAX(0,IFERROR(INDEX(TAB_IR,MATCH($C167,TAB_IR_DIAS,1),MATCH($C$8,TAB_IR_REGIMES,0)),0)*IF($C$26=2,AB167,MAX(0,AE167))-AD167)</f>
        <v>29807.9548622119</v>
      </c>
      <c r="AG167" s="181" t="n">
        <f aca="false">MAX(0,AB167-AF167-AB167*$C$25)</f>
        <v>318911.744219201</v>
      </c>
      <c r="AH167" s="180" t="n">
        <f aca="false">AG167/$D167</f>
        <v>225532.61164681</v>
      </c>
      <c r="AJ167" s="180" t="n">
        <f aca="false">AQ166</f>
        <v>310483.856554751</v>
      </c>
      <c r="AK167" s="180" t="n">
        <f aca="false">IF($D$9=0,0,IF($A167&gt;IN_PRAZO,0,IF(APORTE_CORRIGIDO="Sim",IN_APORTE*$D167,IN_APORTE))+IF(AND($D$35=1,PGBL_REINVESTE="Sim",$A167&gt;=13,$A167&lt;=IN_PRAZO,MONTH($B167)=5),PGBL_BENEFICIO,0))</f>
        <v>0</v>
      </c>
      <c r="AL167" s="180" t="n">
        <f aca="false">AK167*$D$24</f>
        <v>0</v>
      </c>
      <c r="AM167" s="180" t="n">
        <f aca="false">AJ167*$D$19</f>
        <v>2790.84532534538</v>
      </c>
      <c r="AN167" s="180" t="n">
        <f aca="false">AJ167*$D$22</f>
        <v>258.736547128959</v>
      </c>
      <c r="AO167" s="180" t="n">
        <f aca="false">$D$23*MAX(0,AM167-AJ167*$D$18)</f>
        <v>0</v>
      </c>
      <c r="AP167" s="180" t="n">
        <f aca="false">IF(AND($D$27=1,OR(MONTH($B167)=5,MONTH($B167)=11)),MAX(0,$D$28*MAX(0,(AJ167+AM167-AN167-AO167+AK167-AL167)+AS166-AR167)-AS166),0)</f>
        <v>0</v>
      </c>
      <c r="AQ167" s="181" t="n">
        <f aca="false">AJ167+AM167-AN167-AO167+AK167-AL167-AP167</f>
        <v>313015.965332967</v>
      </c>
      <c r="AR167" s="180" t="n">
        <f aca="false">AR166+AK167-AL167</f>
        <v>150000</v>
      </c>
      <c r="AS167" s="180" t="n">
        <f aca="false">AS166+AP167</f>
        <v>28320.6805684854</v>
      </c>
      <c r="AT167" s="180" t="n">
        <f aca="false">AQ167+AS167-AR167</f>
        <v>191336.645901453</v>
      </c>
      <c r="AU167" s="180" t="n">
        <f aca="false">MAX(0,IFERROR(INDEX(TAB_IR,MATCH($C167,TAB_IR_DIAS,1),MATCH($D$8,TAB_IR_REGIMES,0)),0)*IF($D$26=2,AQ167,MAX(0,AT167))-AS167)</f>
        <v>379.81631673246</v>
      </c>
      <c r="AV167" s="181" t="n">
        <f aca="false">MAX(0,AQ167-AU167-AQ167*$D$25)</f>
        <v>312636.149016235</v>
      </c>
      <c r="AW167" s="180" t="n">
        <f aca="false">AV167/$D167</f>
        <v>221094.545625666</v>
      </c>
      <c r="AY167" s="180" t="n">
        <f aca="false">BF166</f>
        <v>366279.763619695</v>
      </c>
      <c r="AZ167" s="180" t="n">
        <f aca="false">IF($E$9=0,0,IF($A167&gt;IN_PRAZO,0,IF(APORTE_CORRIGIDO="Sim",IN_APORTE*$D167,IN_APORTE))+IF(AND($E$35=1,PGBL_REINVESTE="Sim",$A167&gt;=13,$A167&lt;=IN_PRAZO,MONTH($B167)=5),PGBL_BENEFICIO,0))</f>
        <v>0</v>
      </c>
      <c r="BA167" s="180" t="n">
        <f aca="false">AZ167*$E$24</f>
        <v>0</v>
      </c>
      <c r="BB167" s="180" t="n">
        <f aca="false">AY167*$E$19</f>
        <v>3585.41933301543</v>
      </c>
      <c r="BC167" s="180" t="n">
        <f aca="false">AY167*$E$22</f>
        <v>457.849704524618</v>
      </c>
      <c r="BD167" s="180" t="n">
        <f aca="false">$E$23*MAX(0,BB167-AY167*$E$18)</f>
        <v>0</v>
      </c>
      <c r="BE167" s="180" t="n">
        <f aca="false">IF(AND($E$27=1,OR(MONTH($B167)=5,MONTH($B167)=11)),MAX(0,$E$28*MAX(0,(AY167+BB167-BC167-BD167+AZ167-BA167)+BH166-BG167)-BH166),0)</f>
        <v>0</v>
      </c>
      <c r="BF167" s="181" t="n">
        <f aca="false">AY167+BB167-BC167-BD167+AZ167-BA167-BE167</f>
        <v>369407.333248185</v>
      </c>
      <c r="BG167" s="180" t="n">
        <f aca="false">BG166+AZ167-BA167</f>
        <v>150000</v>
      </c>
      <c r="BH167" s="180" t="n">
        <f aca="false">BH166+BE167</f>
        <v>0</v>
      </c>
      <c r="BI167" s="180" t="n">
        <f aca="false">BF167+BH167-BG167</f>
        <v>219407.333248185</v>
      </c>
      <c r="BJ167" s="180" t="n">
        <f aca="false">MAX(0,IFERROR(INDEX(TAB_IR,MATCH($C167,TAB_IR_DIAS,1),MATCH($E$8,TAB_IR_REGIMES,0)),0)*IF($E$26=2,BF167,MAX(0,BI167))-BH167)</f>
        <v>32911.0999872278</v>
      </c>
      <c r="BK167" s="181" t="n">
        <f aca="false">MAX(0,BF167-BJ167-BF167*$E$25)</f>
        <v>336496.233260958</v>
      </c>
      <c r="BL167" s="180" t="n">
        <f aca="false">BK167/$D167</f>
        <v>237968.264487918</v>
      </c>
      <c r="BN167" s="180" t="n">
        <f aca="false">BU166</f>
        <v>366279.763619695</v>
      </c>
      <c r="BO167" s="180" t="n">
        <f aca="false">IF($F$9=0,0,IF($A167&gt;IN_PRAZO,0,IF(APORTE_CORRIGIDO="Sim",IN_APORTE*$D167,IN_APORTE))+IF(AND($F$35=1,PGBL_REINVESTE="Sim",$A167&gt;=13,$A167&lt;=IN_PRAZO,MONTH($B167)=5),PGBL_BENEFICIO,0))</f>
        <v>0</v>
      </c>
      <c r="BP167" s="180" t="n">
        <f aca="false">BO167*$F$24</f>
        <v>0</v>
      </c>
      <c r="BQ167" s="180" t="n">
        <f aca="false">BN167*$F$19</f>
        <v>3585.41933301543</v>
      </c>
      <c r="BR167" s="180" t="n">
        <f aca="false">BN167*$F$22</f>
        <v>457.849704524618</v>
      </c>
      <c r="BS167" s="180" t="n">
        <f aca="false">$F$23*MAX(0,BQ167-BN167*$F$18)</f>
        <v>0</v>
      </c>
      <c r="BT167" s="180" t="n">
        <f aca="false">IF(AND($F$27=1,OR(MONTH($B167)=5,MONTH($B167)=11)),MAX(0,$F$28*MAX(0,(BN167+BQ167-BR167-BS167+BO167-BP167)+BW166-BV167)-BW166),0)</f>
        <v>0</v>
      </c>
      <c r="BU167" s="181" t="n">
        <f aca="false">BN167+BQ167-BR167-BS167+BO167-BP167-BT167</f>
        <v>369407.333248185</v>
      </c>
      <c r="BV167" s="180" t="n">
        <f aca="false">BV166+BO167-BP167</f>
        <v>150000</v>
      </c>
      <c r="BW167" s="180" t="n">
        <f aca="false">BW166+BT167</f>
        <v>0</v>
      </c>
      <c r="BX167" s="180" t="n">
        <f aca="false">BU167+BW167-BV167</f>
        <v>219407.333248185</v>
      </c>
      <c r="BY167" s="180" t="n">
        <f aca="false">MAX(0,IFERROR(INDEX(TAB_IR,MATCH($C167,TAB_IR_DIAS,1),MATCH($F$8,TAB_IR_REGIMES,0)),0)*IF($F$26=2,BU167,MAX(0,BX167))-BW167)</f>
        <v>55411.0999872278</v>
      </c>
      <c r="BZ167" s="181" t="n">
        <f aca="false">MAX(0,BU167-BY167-BU167*$F$25)</f>
        <v>313996.233260958</v>
      </c>
      <c r="CA167" s="180" t="n">
        <f aca="false">BZ167/$D167</f>
        <v>222056.389638413</v>
      </c>
      <c r="CC167" s="180" t="n">
        <f aca="false">CJ166</f>
        <v>288298.787023908</v>
      </c>
      <c r="CD167" s="180" t="n">
        <f aca="false">IF($G$9=0,0,IF($A167&gt;IN_PRAZO,0,IF(APORTE_CORRIGIDO="Sim",IN_APORTE*$D167,IN_APORTE))+IF(AND($G$35=1,PGBL_REINVESTE="Sim",$A167&gt;=13,$A167&lt;=IN_PRAZO,MONTH($B167)=5),PGBL_BENEFICIO,0))</f>
        <v>0</v>
      </c>
      <c r="CE167" s="180" t="n">
        <f aca="false">CD167*$G$24</f>
        <v>0</v>
      </c>
      <c r="CF167" s="180" t="n">
        <f aca="false">CC167*$G$19</f>
        <v>2351.71820025621</v>
      </c>
      <c r="CG167" s="180" t="n">
        <f aca="false">CC167*$G$22</f>
        <v>240.24898918659</v>
      </c>
      <c r="CH167" s="180" t="n">
        <f aca="false">$G$23*MAX(0,CF167-CC167*$G$18)</f>
        <v>0</v>
      </c>
      <c r="CI167" s="180" t="n">
        <f aca="false">IF(AND($G$27=1,OR(MONTH($B167)=5,MONTH($B167)=11)),MAX(0,$G$28*MAX(0,(CC167+CF167-CG167-CH167+CD167-CE167)+CL166-CK167)-CL166),0)</f>
        <v>0</v>
      </c>
      <c r="CJ167" s="181" t="n">
        <f aca="false">CC167+CF167-CG167-CH167+CD167-CE167-CI167</f>
        <v>290410.256234978</v>
      </c>
      <c r="CK167" s="180" t="n">
        <f aca="false">CK166+CD167-CE167</f>
        <v>150000</v>
      </c>
      <c r="CL167" s="180" t="n">
        <f aca="false">CL166+CI167</f>
        <v>24405.6682983367</v>
      </c>
      <c r="CM167" s="180" t="n">
        <f aca="false">CJ167+CL167-CK167</f>
        <v>164815.924533315</v>
      </c>
      <c r="CN167" s="180" t="n">
        <f aca="false">MAX(0,IFERROR(INDEX(TAB_IR,MATCH($C167,TAB_IR_DIAS,1),MATCH($G$8,TAB_IR_REGIMES,0)),0)*IF($G$26=2,CJ167,MAX(0,CM167))-CL167)</f>
        <v>316.720381660445</v>
      </c>
      <c r="CO167" s="181" t="n">
        <f aca="false">MAX(0,CJ167-CN167-CJ167*$G$25)</f>
        <v>290093.535853317</v>
      </c>
      <c r="CP167" s="180" t="n">
        <f aca="false">CO167/$D167</f>
        <v>205152.53498437</v>
      </c>
    </row>
    <row r="168" customFormat="false" ht="12" hidden="false" customHeight="true" outlineLevel="0" collapsed="false">
      <c r="A168" s="177" t="n">
        <v>107</v>
      </c>
      <c r="B168" s="178" t="n">
        <f aca="false">EDATE(DATA_INICIO,$A168)</f>
        <v>49513</v>
      </c>
      <c r="C168" s="177" t="n">
        <f aca="false">$A168*30</f>
        <v>3210</v>
      </c>
      <c r="D168" s="179" t="n">
        <f aca="false">(1+IPCA_CENARIO)^($A168/12)</f>
        <v>1.41866746430588</v>
      </c>
      <c r="F168" s="180" t="n">
        <f aca="false">M167</f>
        <v>401097.000986674</v>
      </c>
      <c r="G168" s="180" t="n">
        <f aca="false">IF($B$9=0,0,IF($A168&gt;IN_PRAZO,0,IF(APORTE_CORRIGIDO="Sim",IN_APORTE*$D168,IN_APORTE))+IF(AND($B$35=1,PGBL_REINVESTE="Sim",$A168&gt;=13,$A168&lt;=IN_PRAZO,MONTH($B168)=5),PGBL_BENEFICIO,0))</f>
        <v>0</v>
      </c>
      <c r="H168" s="180" t="n">
        <f aca="false">G168*$B$24</f>
        <v>0</v>
      </c>
      <c r="I168" s="180" t="n">
        <f aca="false">F168*$B$19</f>
        <v>3805.9263890448</v>
      </c>
      <c r="J168" s="180" t="n">
        <f aca="false">F168*$B$22</f>
        <v>66.8495001644457</v>
      </c>
      <c r="K168" s="180" t="n">
        <f aca="false">$B$23*MAX(0,I168-F168*$B$18)</f>
        <v>0</v>
      </c>
      <c r="L168" s="180" t="n">
        <f aca="false">IF(AND($B$27=1,OR(MONTH($B168)=5,MONTH($B168)=11)),MAX(0,$B$28*MAX(0,(F168+I168-J168-K168+G168-H168)+O167-N168)-O167),0)</f>
        <v>0</v>
      </c>
      <c r="M168" s="181" t="n">
        <f aca="false">F168+I168-J168-K168+G168-H168-L168</f>
        <v>404836.077875554</v>
      </c>
      <c r="N168" s="180" t="n">
        <f aca="false">N167+G168-H168</f>
        <v>150000</v>
      </c>
      <c r="O168" s="180" t="n">
        <f aca="false">O167+L168</f>
        <v>0</v>
      </c>
      <c r="P168" s="180" t="n">
        <f aca="false">M168+O168-N168</f>
        <v>254836.077875554</v>
      </c>
      <c r="Q168" s="180" t="n">
        <f aca="false">MAX(0,IFERROR(INDEX(TAB_IR,MATCH($C168,TAB_IR_DIAS,1),MATCH($B$8,TAB_IR_REGIMES,0)),0)*IF($B$26=2,M168,MAX(0,P168))-O168)</f>
        <v>38225.4116813332</v>
      </c>
      <c r="R168" s="181" t="n">
        <f aca="false">MAX(0,M168-Q168-M168*$B$25)</f>
        <v>366610.666194221</v>
      </c>
      <c r="S168" s="180" t="n">
        <f aca="false">R168/$D168</f>
        <v>258419.027304328</v>
      </c>
      <c r="U168" s="180" t="n">
        <f aca="false">AB167</f>
        <v>348719.699081413</v>
      </c>
      <c r="V168" s="180" t="n">
        <f aca="false">IF($C$9=0,0,IF($A168&gt;IN_PRAZO,0,IF(APORTE_CORRIGIDO="Sim",IN_APORTE*$D168,IN_APORTE))+IF(AND($C$35=1,PGBL_REINVESTE="Sim",$A168&gt;=13,$A168&lt;=IN_PRAZO,MONTH($B168)=5),PGBL_BENEFICIO,0))</f>
        <v>0</v>
      </c>
      <c r="W168" s="180" t="n">
        <f aca="false">V168*$C$24</f>
        <v>0</v>
      </c>
      <c r="X168" s="180" t="n">
        <f aca="false">U168*$C$19</f>
        <v>2844.58520128848</v>
      </c>
      <c r="Y168" s="180" t="n">
        <f aca="false">U168*$C$22</f>
        <v>58.1199498469021</v>
      </c>
      <c r="Z168" s="180" t="n">
        <f aca="false">$C$23*MAX(0,X168-U168*$C$18)</f>
        <v>0</v>
      </c>
      <c r="AA168" s="180" t="n">
        <f aca="false">IF(AND($C$27=1,OR(MONTH($B168)=5,MONTH($B168)=11)),MAX(0,$C$28*MAX(0,(U168+X168-Y168-Z168+V168-W168)+AD167-AC168)-AD167),0)</f>
        <v>0</v>
      </c>
      <c r="AB168" s="181" t="n">
        <f aca="false">U168+X168-Y168-Z168+V168-W168-AA168</f>
        <v>351506.164332854</v>
      </c>
      <c r="AC168" s="180" t="n">
        <f aca="false">AC167+V168-W168</f>
        <v>150000</v>
      </c>
      <c r="AD168" s="180" t="n">
        <f aca="false">AD167+AA168</f>
        <v>0</v>
      </c>
      <c r="AE168" s="180" t="n">
        <f aca="false">AB168+AD168-AC168</f>
        <v>201506.164332854</v>
      </c>
      <c r="AF168" s="180" t="n">
        <f aca="false">MAX(0,IFERROR(INDEX(TAB_IR,MATCH($C168,TAB_IR_DIAS,1),MATCH($C$8,TAB_IR_REGIMES,0)),0)*IF($C$26=2,AB168,MAX(0,AE168))-AD168)</f>
        <v>30225.9246499282</v>
      </c>
      <c r="AG168" s="181" t="n">
        <f aca="false">MAX(0,AB168-AF168-AB168*$C$25)</f>
        <v>321280.239682926</v>
      </c>
      <c r="AH168" s="180" t="n">
        <f aca="false">AG168/$D168</f>
        <v>226466.207033318</v>
      </c>
      <c r="AJ168" s="180" t="n">
        <f aca="false">AQ167</f>
        <v>313015.965332967</v>
      </c>
      <c r="AK168" s="180" t="n">
        <f aca="false">IF($D$9=0,0,IF($A168&gt;IN_PRAZO,0,IF(APORTE_CORRIGIDO="Sim",IN_APORTE*$D168,IN_APORTE))+IF(AND($D$35=1,PGBL_REINVESTE="Sim",$A168&gt;=13,$A168&lt;=IN_PRAZO,MONTH($B168)=5),PGBL_BENEFICIO,0))</f>
        <v>0</v>
      </c>
      <c r="AL168" s="180" t="n">
        <f aca="false">AK168*$D$24</f>
        <v>0</v>
      </c>
      <c r="AM168" s="180" t="n">
        <f aca="false">AJ168*$D$19</f>
        <v>2813.60568404926</v>
      </c>
      <c r="AN168" s="180" t="n">
        <f aca="false">AJ168*$D$22</f>
        <v>260.846637777473</v>
      </c>
      <c r="AO168" s="180" t="n">
        <f aca="false">$D$23*MAX(0,AM168-AJ168*$D$18)</f>
        <v>0</v>
      </c>
      <c r="AP168" s="180" t="n">
        <f aca="false">IF(AND($D$27=1,OR(MONTH($B168)=5,MONTH($B168)=11)),MAX(0,$D$28*MAX(0,(AJ168+AM168-AN168-AO168+AK168-AL168)+AS167-AR168)-AS167),0)</f>
        <v>0</v>
      </c>
      <c r="AQ168" s="181" t="n">
        <f aca="false">AJ168+AM168-AN168-AO168+AK168-AL168-AP168</f>
        <v>315568.724379239</v>
      </c>
      <c r="AR168" s="180" t="n">
        <f aca="false">AR167+AK168-AL168</f>
        <v>150000</v>
      </c>
      <c r="AS168" s="180" t="n">
        <f aca="false">AS167+AP168</f>
        <v>28320.6805684854</v>
      </c>
      <c r="AT168" s="180" t="n">
        <f aca="false">AQ168+AS168-AR168</f>
        <v>193889.404947724</v>
      </c>
      <c r="AU168" s="180" t="n">
        <f aca="false">MAX(0,IFERROR(INDEX(TAB_IR,MATCH($C168,TAB_IR_DIAS,1),MATCH($D$8,TAB_IR_REGIMES,0)),0)*IF($D$26=2,AQ168,MAX(0,AT168))-AS168)</f>
        <v>762.73017367323</v>
      </c>
      <c r="AV168" s="181" t="n">
        <f aca="false">MAX(0,AQ168-AU168-AQ168*$D$25)</f>
        <v>314805.994205566</v>
      </c>
      <c r="AW168" s="180" t="n">
        <f aca="false">AV168/$D168</f>
        <v>221902.59671571</v>
      </c>
      <c r="AY168" s="180" t="n">
        <f aca="false">BF167</f>
        <v>369407.333248185</v>
      </c>
      <c r="AZ168" s="180" t="n">
        <f aca="false">IF($E$9=0,0,IF($A168&gt;IN_PRAZO,0,IF(APORTE_CORRIGIDO="Sim",IN_APORTE*$D168,IN_APORTE))+IF(AND($E$35=1,PGBL_REINVESTE="Sim",$A168&gt;=13,$A168&lt;=IN_PRAZO,MONTH($B168)=5),PGBL_BENEFICIO,0))</f>
        <v>0</v>
      </c>
      <c r="BA168" s="180" t="n">
        <f aca="false">AZ168*$E$24</f>
        <v>0</v>
      </c>
      <c r="BB168" s="180" t="n">
        <f aca="false">AY168*$E$19</f>
        <v>3616.03431567383</v>
      </c>
      <c r="BC168" s="180" t="n">
        <f aca="false">AY168*$E$22</f>
        <v>461.759166560232</v>
      </c>
      <c r="BD168" s="180" t="n">
        <f aca="false">$E$23*MAX(0,BB168-AY168*$E$18)</f>
        <v>0</v>
      </c>
      <c r="BE168" s="180" t="n">
        <f aca="false">IF(AND($E$27=1,OR(MONTH($B168)=5,MONTH($B168)=11)),MAX(0,$E$28*MAX(0,(AY168+BB168-BC168-BD168+AZ168-BA168)+BH167-BG168)-BH167),0)</f>
        <v>0</v>
      </c>
      <c r="BF168" s="181" t="n">
        <f aca="false">AY168+BB168-BC168-BD168+AZ168-BA168-BE168</f>
        <v>372561.608397299</v>
      </c>
      <c r="BG168" s="180" t="n">
        <f aca="false">BG167+AZ168-BA168</f>
        <v>150000</v>
      </c>
      <c r="BH168" s="180" t="n">
        <f aca="false">BH167+BE168</f>
        <v>0</v>
      </c>
      <c r="BI168" s="180" t="n">
        <f aca="false">BF168+BH168-BG168</f>
        <v>222561.608397299</v>
      </c>
      <c r="BJ168" s="180" t="n">
        <f aca="false">MAX(0,IFERROR(INDEX(TAB_IR,MATCH($C168,TAB_IR_DIAS,1),MATCH($E$8,TAB_IR_REGIMES,0)),0)*IF($E$26=2,BF168,MAX(0,BI168))-BH168)</f>
        <v>33384.2412595948</v>
      </c>
      <c r="BK168" s="181" t="n">
        <f aca="false">MAX(0,BF168-BJ168-BF168*$E$25)</f>
        <v>339177.367137704</v>
      </c>
      <c r="BL168" s="180" t="n">
        <f aca="false">BK168/$D168</f>
        <v>239081.656322933</v>
      </c>
      <c r="BN168" s="180" t="n">
        <f aca="false">BU167</f>
        <v>369407.333248185</v>
      </c>
      <c r="BO168" s="180" t="n">
        <f aca="false">IF($F$9=0,0,IF($A168&gt;IN_PRAZO,0,IF(APORTE_CORRIGIDO="Sim",IN_APORTE*$D168,IN_APORTE))+IF(AND($F$35=1,PGBL_REINVESTE="Sim",$A168&gt;=13,$A168&lt;=IN_PRAZO,MONTH($B168)=5),PGBL_BENEFICIO,0))</f>
        <v>0</v>
      </c>
      <c r="BP168" s="180" t="n">
        <f aca="false">BO168*$F$24</f>
        <v>0</v>
      </c>
      <c r="BQ168" s="180" t="n">
        <f aca="false">BN168*$F$19</f>
        <v>3616.03431567383</v>
      </c>
      <c r="BR168" s="180" t="n">
        <f aca="false">BN168*$F$22</f>
        <v>461.759166560232</v>
      </c>
      <c r="BS168" s="180" t="n">
        <f aca="false">$F$23*MAX(0,BQ168-BN168*$F$18)</f>
        <v>0</v>
      </c>
      <c r="BT168" s="180" t="n">
        <f aca="false">IF(AND($F$27=1,OR(MONTH($B168)=5,MONTH($B168)=11)),MAX(0,$F$28*MAX(0,(BN168+BQ168-BR168-BS168+BO168-BP168)+BW167-BV168)-BW167),0)</f>
        <v>0</v>
      </c>
      <c r="BU168" s="181" t="n">
        <f aca="false">BN168+BQ168-BR168-BS168+BO168-BP168-BT168</f>
        <v>372561.608397299</v>
      </c>
      <c r="BV168" s="180" t="n">
        <f aca="false">BV167+BO168-BP168</f>
        <v>150000</v>
      </c>
      <c r="BW168" s="180" t="n">
        <f aca="false">BW167+BT168</f>
        <v>0</v>
      </c>
      <c r="BX168" s="180" t="n">
        <f aca="false">BU168+BW168-BV168</f>
        <v>222561.608397299</v>
      </c>
      <c r="BY168" s="180" t="n">
        <f aca="false">MAX(0,IFERROR(INDEX(TAB_IR,MATCH($C168,TAB_IR_DIAS,1),MATCH($F$8,TAB_IR_REGIMES,0)),0)*IF($F$26=2,BU168,MAX(0,BX168))-BW168)</f>
        <v>55884.2412595948</v>
      </c>
      <c r="BZ168" s="181" t="n">
        <f aca="false">MAX(0,BU168-BY168-BU168*$F$25)</f>
        <v>316677.367137704</v>
      </c>
      <c r="CA168" s="180" t="n">
        <f aca="false">BZ168/$D168</f>
        <v>223221.702834108</v>
      </c>
      <c r="CC168" s="180" t="n">
        <f aca="false">CJ167</f>
        <v>290410.256234978</v>
      </c>
      <c r="CD168" s="180" t="n">
        <f aca="false">IF($G$9=0,0,IF($A168&gt;IN_PRAZO,0,IF(APORTE_CORRIGIDO="Sim",IN_APORTE*$D168,IN_APORTE))+IF(AND($G$35=1,PGBL_REINVESTE="Sim",$A168&gt;=13,$A168&lt;=IN_PRAZO,MONTH($B168)=5),PGBL_BENEFICIO,0))</f>
        <v>0</v>
      </c>
      <c r="CE168" s="180" t="n">
        <f aca="false">CD168*$G$24</f>
        <v>0</v>
      </c>
      <c r="CF168" s="180" t="n">
        <f aca="false">CC168*$G$19</f>
        <v>2368.94193062363</v>
      </c>
      <c r="CG168" s="180" t="n">
        <f aca="false">CC168*$G$22</f>
        <v>242.008546862482</v>
      </c>
      <c r="CH168" s="180" t="n">
        <f aca="false">$G$23*MAX(0,CF168-CC168*$G$18)</f>
        <v>0</v>
      </c>
      <c r="CI168" s="180" t="n">
        <f aca="false">IF(AND($G$27=1,OR(MONTH($B168)=5,MONTH($B168)=11)),MAX(0,$G$28*MAX(0,(CC168+CF168-CG168-CH168+CD168-CE168)+CL167-CK168)-CL167),0)</f>
        <v>0</v>
      </c>
      <c r="CJ168" s="181" t="n">
        <f aca="false">CC168+CF168-CG168-CH168+CD168-CE168-CI168</f>
        <v>292537.189618739</v>
      </c>
      <c r="CK168" s="180" t="n">
        <f aca="false">CK167+CD168-CE168</f>
        <v>150000</v>
      </c>
      <c r="CL168" s="180" t="n">
        <f aca="false">CL167+CI168</f>
        <v>24405.6682983367</v>
      </c>
      <c r="CM168" s="180" t="n">
        <f aca="false">CJ168+CL168-CK168</f>
        <v>166942.857917076</v>
      </c>
      <c r="CN168" s="180" t="n">
        <f aca="false">MAX(0,IFERROR(INDEX(TAB_IR,MATCH($C168,TAB_IR_DIAS,1),MATCH($G$8,TAB_IR_REGIMES,0)),0)*IF($G$26=2,CJ168,MAX(0,CM168))-CL168)</f>
        <v>635.760389224615</v>
      </c>
      <c r="CO168" s="181" t="n">
        <f aca="false">MAX(0,CJ168-CN168-CJ168*$G$25)</f>
        <v>291901.429229514</v>
      </c>
      <c r="CP168" s="180" t="n">
        <f aca="false">CO168/$D168</f>
        <v>205757.470706735</v>
      </c>
    </row>
    <row r="169" customFormat="false" ht="12" hidden="false" customHeight="true" outlineLevel="0" collapsed="false">
      <c r="A169" s="177" t="n">
        <v>108</v>
      </c>
      <c r="B169" s="178" t="n">
        <f aca="false">EDATE(DATA_INICIO,$A169)</f>
        <v>49544</v>
      </c>
      <c r="C169" s="177" t="n">
        <f aca="false">$A169*30</f>
        <v>3240</v>
      </c>
      <c r="D169" s="179" t="n">
        <f aca="false">(1+IPCA_CENARIO)^($A169/12)</f>
        <v>1.42331181242149</v>
      </c>
      <c r="F169" s="180" t="n">
        <f aca="false">M168</f>
        <v>404836.077875554</v>
      </c>
      <c r="G169" s="180" t="n">
        <f aca="false">IF($B$9=0,0,IF($A169&gt;IN_PRAZO,0,IF(APORTE_CORRIGIDO="Sim",IN_APORTE*$D169,IN_APORTE))+IF(AND($B$35=1,PGBL_REINVESTE="Sim",$A169&gt;=13,$A169&lt;=IN_PRAZO,MONTH($B169)=5),PGBL_BENEFICIO,0))</f>
        <v>0</v>
      </c>
      <c r="H169" s="180" t="n">
        <f aca="false">G169*$B$24</f>
        <v>0</v>
      </c>
      <c r="I169" s="180" t="n">
        <f aca="false">F169*$B$19</f>
        <v>3841.40571540987</v>
      </c>
      <c r="J169" s="180" t="n">
        <f aca="false">F169*$B$22</f>
        <v>67.4726796459257</v>
      </c>
      <c r="K169" s="180" t="n">
        <f aca="false">$B$23*MAX(0,I169-F169*$B$18)</f>
        <v>0</v>
      </c>
      <c r="L169" s="180" t="n">
        <f aca="false">IF(AND($B$27=1,OR(MONTH($B169)=5,MONTH($B169)=11)),MAX(0,$B$28*MAX(0,(F169+I169-J169-K169+G169-H169)+O168-N169)-O168),0)</f>
        <v>0</v>
      </c>
      <c r="M169" s="181" t="n">
        <f aca="false">F169+I169-J169-K169+G169-H169-L169</f>
        <v>408610.010911318</v>
      </c>
      <c r="N169" s="180" t="n">
        <f aca="false">N168+G169-H169</f>
        <v>150000</v>
      </c>
      <c r="O169" s="180" t="n">
        <f aca="false">O168+L169</f>
        <v>0</v>
      </c>
      <c r="P169" s="180" t="n">
        <f aca="false">M169+O169-N169</f>
        <v>258610.010911318</v>
      </c>
      <c r="Q169" s="180" t="n">
        <f aca="false">MAX(0,IFERROR(INDEX(TAB_IR,MATCH($C169,TAB_IR_DIAS,1),MATCH($B$8,TAB_IR_REGIMES,0)),0)*IF($B$26=2,M169,MAX(0,P169))-O169)</f>
        <v>38791.5016366977</v>
      </c>
      <c r="R169" s="181" t="n">
        <f aca="false">MAX(0,M169-Q169-M169*$B$25)</f>
        <v>369818.509274621</v>
      </c>
      <c r="S169" s="180" t="n">
        <f aca="false">R169/$D169</f>
        <v>259829.579187885</v>
      </c>
      <c r="U169" s="180" t="n">
        <f aca="false">AB168</f>
        <v>351506.164332854</v>
      </c>
      <c r="V169" s="180" t="n">
        <f aca="false">IF($C$9=0,0,IF($A169&gt;IN_PRAZO,0,IF(APORTE_CORRIGIDO="Sim",IN_APORTE*$D169,IN_APORTE))+IF(AND($C$35=1,PGBL_REINVESTE="Sim",$A169&gt;=13,$A169&lt;=IN_PRAZO,MONTH($B169)=5),PGBL_BENEFICIO,0))</f>
        <v>0</v>
      </c>
      <c r="W169" s="180" t="n">
        <f aca="false">V169*$C$24</f>
        <v>0</v>
      </c>
      <c r="X169" s="180" t="n">
        <f aca="false">U169*$C$19</f>
        <v>2867.31502652931</v>
      </c>
      <c r="Y169" s="180" t="n">
        <f aca="false">U169*$C$22</f>
        <v>58.5843607221424</v>
      </c>
      <c r="Z169" s="180" t="n">
        <f aca="false">$C$23*MAX(0,X169-U169*$C$18)</f>
        <v>0</v>
      </c>
      <c r="AA169" s="180" t="n">
        <f aca="false">IF(AND($C$27=1,OR(MONTH($B169)=5,MONTH($B169)=11)),MAX(0,$C$28*MAX(0,(U169+X169-Y169-Z169+V169-W169)+AD168-AC169)-AD168),0)</f>
        <v>0</v>
      </c>
      <c r="AB169" s="181" t="n">
        <f aca="false">U169+X169-Y169-Z169+V169-W169-AA169</f>
        <v>354314.894998662</v>
      </c>
      <c r="AC169" s="180" t="n">
        <f aca="false">AC168+V169-W169</f>
        <v>150000</v>
      </c>
      <c r="AD169" s="180" t="n">
        <f aca="false">AD168+AA169</f>
        <v>0</v>
      </c>
      <c r="AE169" s="180" t="n">
        <f aca="false">AB169+AD169-AC169</f>
        <v>204314.894998662</v>
      </c>
      <c r="AF169" s="180" t="n">
        <f aca="false">MAX(0,IFERROR(INDEX(TAB_IR,MATCH($C169,TAB_IR_DIAS,1),MATCH($C$8,TAB_IR_REGIMES,0)),0)*IF($C$26=2,AB169,MAX(0,AE169))-AD169)</f>
        <v>30647.2342497992</v>
      </c>
      <c r="AG169" s="181" t="n">
        <f aca="false">MAX(0,AB169-AF169-AB169*$C$25)</f>
        <v>323667.660748862</v>
      </c>
      <c r="AH169" s="180" t="n">
        <f aca="false">AG169/$D169</f>
        <v>227404.60517798</v>
      </c>
      <c r="AJ169" s="180" t="n">
        <f aca="false">AQ168</f>
        <v>315568.724379239</v>
      </c>
      <c r="AK169" s="180" t="n">
        <f aca="false">IF($D$9=0,0,IF($A169&gt;IN_PRAZO,0,IF(APORTE_CORRIGIDO="Sim",IN_APORTE*$D169,IN_APORTE))+IF(AND($D$35=1,PGBL_REINVESTE="Sim",$A169&gt;=13,$A169&lt;=IN_PRAZO,MONTH($B169)=5),PGBL_BENEFICIO,0))</f>
        <v>0</v>
      </c>
      <c r="AL169" s="180" t="n">
        <f aca="false">AK169*$D$24</f>
        <v>0</v>
      </c>
      <c r="AM169" s="180" t="n">
        <f aca="false">AJ169*$D$19</f>
        <v>2836.55166175669</v>
      </c>
      <c r="AN169" s="180" t="n">
        <f aca="false">AJ169*$D$22</f>
        <v>262.973936982699</v>
      </c>
      <c r="AO169" s="180" t="n">
        <f aca="false">$D$23*MAX(0,AM169-AJ169*$D$18)</f>
        <v>0</v>
      </c>
      <c r="AP169" s="180" t="n">
        <f aca="false">IF(AND($D$27=1,OR(MONTH($B169)=5,MONTH($B169)=11)),MAX(0,$D$28*MAX(0,(AJ169+AM169-AN169-AO169+AK169-AL169)+AS168-AR169)-AS168),0)</f>
        <v>0</v>
      </c>
      <c r="AQ169" s="181" t="n">
        <f aca="false">AJ169+AM169-AN169-AO169+AK169-AL169-AP169</f>
        <v>318142.302104013</v>
      </c>
      <c r="AR169" s="180" t="n">
        <f aca="false">AR168+AK169-AL169</f>
        <v>150000</v>
      </c>
      <c r="AS169" s="180" t="n">
        <f aca="false">AS168+AP169</f>
        <v>28320.6805684854</v>
      </c>
      <c r="AT169" s="180" t="n">
        <f aca="false">AQ169+AS169-AR169</f>
        <v>196462.982672498</v>
      </c>
      <c r="AU169" s="180" t="n">
        <f aca="false">MAX(0,IFERROR(INDEX(TAB_IR,MATCH($C169,TAB_IR_DIAS,1),MATCH($D$8,TAB_IR_REGIMES,0)),0)*IF($D$26=2,AQ169,MAX(0,AT169))-AS169)</f>
        <v>1148.76683238933</v>
      </c>
      <c r="AV169" s="181" t="n">
        <f aca="false">MAX(0,AQ169-AU169-AQ169*$D$25)</f>
        <v>316993.535271624</v>
      </c>
      <c r="AW169" s="180" t="n">
        <f aca="false">AV169/$D169</f>
        <v>222715.453146083</v>
      </c>
      <c r="AY169" s="180" t="n">
        <f aca="false">BF168</f>
        <v>372561.608397299</v>
      </c>
      <c r="AZ169" s="180" t="n">
        <f aca="false">IF($E$9=0,0,IF($A169&gt;IN_PRAZO,0,IF(APORTE_CORRIGIDO="Sim",IN_APORTE*$D169,IN_APORTE))+IF(AND($E$35=1,PGBL_REINVESTE="Sim",$A169&gt;=13,$A169&lt;=IN_PRAZO,MONTH($B169)=5),PGBL_BENEFICIO,0))</f>
        <v>0</v>
      </c>
      <c r="BA169" s="180" t="n">
        <f aca="false">AZ169*$E$24</f>
        <v>0</v>
      </c>
      <c r="BB169" s="180" t="n">
        <f aca="false">AY169*$E$19</f>
        <v>3646.91071187306</v>
      </c>
      <c r="BC169" s="180" t="n">
        <f aca="false">AY169*$E$22</f>
        <v>465.702010496624</v>
      </c>
      <c r="BD169" s="180" t="n">
        <f aca="false">$E$23*MAX(0,BB169-AY169*$E$18)</f>
        <v>0</v>
      </c>
      <c r="BE169" s="180" t="n">
        <f aca="false">IF(AND($E$27=1,OR(MONTH($B169)=5,MONTH($B169)=11)),MAX(0,$E$28*MAX(0,(AY169+BB169-BC169-BD169+AZ169-BA169)+BH168-BG169)-BH168),0)</f>
        <v>0</v>
      </c>
      <c r="BF169" s="181" t="n">
        <f aca="false">AY169+BB169-BC169-BD169+AZ169-BA169-BE169</f>
        <v>375742.817098675</v>
      </c>
      <c r="BG169" s="180" t="n">
        <f aca="false">BG168+AZ169-BA169</f>
        <v>150000</v>
      </c>
      <c r="BH169" s="180" t="n">
        <f aca="false">BH168+BE169</f>
        <v>0</v>
      </c>
      <c r="BI169" s="180" t="n">
        <f aca="false">BF169+BH169-BG169</f>
        <v>225742.817098675</v>
      </c>
      <c r="BJ169" s="180" t="n">
        <f aca="false">MAX(0,IFERROR(INDEX(TAB_IR,MATCH($C169,TAB_IR_DIAS,1),MATCH($E$8,TAB_IR_REGIMES,0)),0)*IF($E$26=2,BF169,MAX(0,BI169))-BH169)</f>
        <v>33861.4225648013</v>
      </c>
      <c r="BK169" s="181" t="n">
        <f aca="false">MAX(0,BF169-BJ169-BF169*$E$25)</f>
        <v>341881.394533874</v>
      </c>
      <c r="BL169" s="180" t="n">
        <f aca="false">BK169/$D169</f>
        <v>240201.332940693</v>
      </c>
      <c r="BN169" s="180" t="n">
        <f aca="false">BU168</f>
        <v>372561.608397299</v>
      </c>
      <c r="BO169" s="180" t="n">
        <f aca="false">IF($F$9=0,0,IF($A169&gt;IN_PRAZO,0,IF(APORTE_CORRIGIDO="Sim",IN_APORTE*$D169,IN_APORTE))+IF(AND($F$35=1,PGBL_REINVESTE="Sim",$A169&gt;=13,$A169&lt;=IN_PRAZO,MONTH($B169)=5),PGBL_BENEFICIO,0))</f>
        <v>0</v>
      </c>
      <c r="BP169" s="180" t="n">
        <f aca="false">BO169*$F$24</f>
        <v>0</v>
      </c>
      <c r="BQ169" s="180" t="n">
        <f aca="false">BN169*$F$19</f>
        <v>3646.91071187306</v>
      </c>
      <c r="BR169" s="180" t="n">
        <f aca="false">BN169*$F$22</f>
        <v>465.702010496624</v>
      </c>
      <c r="BS169" s="180" t="n">
        <f aca="false">$F$23*MAX(0,BQ169-BN169*$F$18)</f>
        <v>0</v>
      </c>
      <c r="BT169" s="180" t="n">
        <f aca="false">IF(AND($F$27=1,OR(MONTH($B169)=5,MONTH($B169)=11)),MAX(0,$F$28*MAX(0,(BN169+BQ169-BR169-BS169+BO169-BP169)+BW168-BV169)-BW168),0)</f>
        <v>0</v>
      </c>
      <c r="BU169" s="181" t="n">
        <f aca="false">BN169+BQ169-BR169-BS169+BO169-BP169-BT169</f>
        <v>375742.817098675</v>
      </c>
      <c r="BV169" s="180" t="n">
        <f aca="false">BV168+BO169-BP169</f>
        <v>150000</v>
      </c>
      <c r="BW169" s="180" t="n">
        <f aca="false">BW168+BT169</f>
        <v>0</v>
      </c>
      <c r="BX169" s="180" t="n">
        <f aca="false">BU169+BW169-BV169</f>
        <v>225742.817098675</v>
      </c>
      <c r="BY169" s="180" t="n">
        <f aca="false">MAX(0,IFERROR(INDEX(TAB_IR,MATCH($C169,TAB_IR_DIAS,1),MATCH($F$8,TAB_IR_REGIMES,0)),0)*IF($F$26=2,BU169,MAX(0,BX169))-BW169)</f>
        <v>56361.4225648013</v>
      </c>
      <c r="BZ169" s="181" t="n">
        <f aca="false">MAX(0,BU169-BY169-BU169*$F$25)</f>
        <v>319381.394533874</v>
      </c>
      <c r="CA169" s="180" t="n">
        <f aca="false">BZ169/$D169</f>
        <v>224393.131390169</v>
      </c>
      <c r="CC169" s="180" t="n">
        <f aca="false">CJ168</f>
        <v>292537.189618739</v>
      </c>
      <c r="CD169" s="180" t="n">
        <f aca="false">IF($G$9=0,0,IF($A169&gt;IN_PRAZO,0,IF(APORTE_CORRIGIDO="Sim",IN_APORTE*$D169,IN_APORTE))+IF(AND($G$35=1,PGBL_REINVESTE="Sim",$A169&gt;=13,$A169&lt;=IN_PRAZO,MONTH($B169)=5),PGBL_BENEFICIO,0))</f>
        <v>0</v>
      </c>
      <c r="CE169" s="180" t="n">
        <f aca="false">CD169*$G$24</f>
        <v>0</v>
      </c>
      <c r="CF169" s="180" t="n">
        <f aca="false">CC169*$G$19</f>
        <v>2386.29180573395</v>
      </c>
      <c r="CG169" s="180" t="n">
        <f aca="false">CC169*$G$22</f>
        <v>243.780991348949</v>
      </c>
      <c r="CH169" s="180" t="n">
        <f aca="false">$G$23*MAX(0,CF169-CC169*$G$18)</f>
        <v>0</v>
      </c>
      <c r="CI169" s="180" t="n">
        <f aca="false">IF(AND($G$27=1,OR(MONTH($B169)=5,MONTH($B169)=11)),MAX(0,$G$28*MAX(0,(CC169+CF169-CG169-CH169+CD169-CE169)+CL168-CK169)-CL168),0)</f>
        <v>0</v>
      </c>
      <c r="CJ169" s="181" t="n">
        <f aca="false">CC169+CF169-CG169-CH169+CD169-CE169-CI169</f>
        <v>294679.700433124</v>
      </c>
      <c r="CK169" s="180" t="n">
        <f aca="false">CK168+CD169-CE169</f>
        <v>150000</v>
      </c>
      <c r="CL169" s="180" t="n">
        <f aca="false">CL168+CI169</f>
        <v>24405.6682983367</v>
      </c>
      <c r="CM169" s="180" t="n">
        <f aca="false">CJ169+CL169-CK169</f>
        <v>169085.368731461</v>
      </c>
      <c r="CN169" s="180" t="n">
        <f aca="false">MAX(0,IFERROR(INDEX(TAB_IR,MATCH($C169,TAB_IR_DIAS,1),MATCH($G$8,TAB_IR_REGIMES,0)),0)*IF($G$26=2,CJ169,MAX(0,CM169))-CL169)</f>
        <v>957.137011382361</v>
      </c>
      <c r="CO169" s="181" t="n">
        <f aca="false">MAX(0,CJ169-CN169-CJ169*$G$25)</f>
        <v>293722.563421742</v>
      </c>
      <c r="CP169" s="180" t="n">
        <f aca="false">CO169/$D169</f>
        <v>206365.577000327</v>
      </c>
    </row>
    <row r="170" customFormat="false" ht="12" hidden="false" customHeight="true" outlineLevel="0" collapsed="false">
      <c r="A170" s="177" t="n">
        <v>109</v>
      </c>
      <c r="B170" s="178" t="n">
        <f aca="false">EDATE(DATA_INICIO,$A170)</f>
        <v>49575</v>
      </c>
      <c r="C170" s="177" t="n">
        <f aca="false">$A170*30</f>
        <v>3270</v>
      </c>
      <c r="D170" s="179" t="n">
        <f aca="false">(1+IPCA_CENARIO)^($A170/12)</f>
        <v>1.42797136492428</v>
      </c>
      <c r="F170" s="180" t="n">
        <f aca="false">M169</f>
        <v>408610.010911318</v>
      </c>
      <c r="G170" s="180" t="n">
        <f aca="false">IF($B$9=0,0,IF($A170&gt;IN_PRAZO,0,IF(APORTE_CORRIGIDO="Sim",IN_APORTE*$D170,IN_APORTE))+IF(AND($B$35=1,PGBL_REINVESTE="Sim",$A170&gt;=13,$A170&lt;=IN_PRAZO,MONTH($B170)=5),PGBL_BENEFICIO,0))</f>
        <v>0</v>
      </c>
      <c r="H170" s="180" t="n">
        <f aca="false">G170*$B$24</f>
        <v>0</v>
      </c>
      <c r="I170" s="180" t="n">
        <f aca="false">F170*$B$19</f>
        <v>3877.21578453522</v>
      </c>
      <c r="J170" s="180" t="n">
        <f aca="false">F170*$B$22</f>
        <v>68.1016684852197</v>
      </c>
      <c r="K170" s="180" t="n">
        <f aca="false">$B$23*MAX(0,I170-F170*$B$18)</f>
        <v>0</v>
      </c>
      <c r="L170" s="180" t="n">
        <f aca="false">IF(AND($B$27=1,OR(MONTH($B170)=5,MONTH($B170)=11)),MAX(0,$B$28*MAX(0,(F170+I170-J170-K170+G170-H170)+O169-N170)-O169),0)</f>
        <v>0</v>
      </c>
      <c r="M170" s="181" t="n">
        <f aca="false">F170+I170-J170-K170+G170-H170-L170</f>
        <v>412419.125027368</v>
      </c>
      <c r="N170" s="180" t="n">
        <f aca="false">N169+G170-H170</f>
        <v>150000</v>
      </c>
      <c r="O170" s="180" t="n">
        <f aca="false">O169+L170</f>
        <v>0</v>
      </c>
      <c r="P170" s="180" t="n">
        <f aca="false">M170+O170-N170</f>
        <v>262419.125027368</v>
      </c>
      <c r="Q170" s="180" t="n">
        <f aca="false">MAX(0,IFERROR(INDEX(TAB_IR,MATCH($C170,TAB_IR_DIAS,1),MATCH($B$8,TAB_IR_REGIMES,0)),0)*IF($B$26=2,M170,MAX(0,P170))-O170)</f>
        <v>39362.8687541052</v>
      </c>
      <c r="R170" s="181" t="n">
        <f aca="false">MAX(0,M170-Q170-M170*$B$25)</f>
        <v>373056.256273263</v>
      </c>
      <c r="S170" s="180" t="n">
        <f aca="false">R170/$D170</f>
        <v>261249.115659293</v>
      </c>
      <c r="U170" s="180" t="n">
        <f aca="false">AB169</f>
        <v>354314.894998662</v>
      </c>
      <c r="V170" s="180" t="n">
        <f aca="false">IF($C$9=0,0,IF($A170&gt;IN_PRAZO,0,IF(APORTE_CORRIGIDO="Sim",IN_APORTE*$D170,IN_APORTE))+IF(AND($C$35=1,PGBL_REINVESTE="Sim",$A170&gt;=13,$A170&lt;=IN_PRAZO,MONTH($B170)=5),PGBL_BENEFICIO,0))</f>
        <v>0</v>
      </c>
      <c r="W170" s="180" t="n">
        <f aca="false">V170*$C$24</f>
        <v>0</v>
      </c>
      <c r="X170" s="180" t="n">
        <f aca="false">U170*$C$19</f>
        <v>2890.22647577466</v>
      </c>
      <c r="Y170" s="180" t="n">
        <f aca="false">U170*$C$22</f>
        <v>59.0524824997769</v>
      </c>
      <c r="Z170" s="180" t="n">
        <f aca="false">$C$23*MAX(0,X170-U170*$C$18)</f>
        <v>0</v>
      </c>
      <c r="AA170" s="180" t="n">
        <f aca="false">IF(AND($C$27=1,OR(MONTH($B170)=5,MONTH($B170)=11)),MAX(0,$C$28*MAX(0,(U170+X170-Y170-Z170+V170-W170)+AD169-AC170)-AD169),0)</f>
        <v>0</v>
      </c>
      <c r="AB170" s="181" t="n">
        <f aca="false">U170+X170-Y170-Z170+V170-W170-AA170</f>
        <v>357146.068991936</v>
      </c>
      <c r="AC170" s="180" t="n">
        <f aca="false">AC169+V170-W170</f>
        <v>150000</v>
      </c>
      <c r="AD170" s="180" t="n">
        <f aca="false">AD169+AA170</f>
        <v>0</v>
      </c>
      <c r="AE170" s="180" t="n">
        <f aca="false">AB170+AD170-AC170</f>
        <v>207146.068991936</v>
      </c>
      <c r="AF170" s="180" t="n">
        <f aca="false">MAX(0,IFERROR(INDEX(TAB_IR,MATCH($C170,TAB_IR_DIAS,1),MATCH($C$8,TAB_IR_REGIMES,0)),0)*IF($C$26=2,AB170,MAX(0,AE170))-AD170)</f>
        <v>31071.9103487905</v>
      </c>
      <c r="AG170" s="181" t="n">
        <f aca="false">MAX(0,AB170-AF170-AB170*$C$25)</f>
        <v>326074.158643146</v>
      </c>
      <c r="AH170" s="180" t="n">
        <f aca="false">AG170/$D170</f>
        <v>228347.827311254</v>
      </c>
      <c r="AJ170" s="180" t="n">
        <f aca="false">AQ169</f>
        <v>318142.302104013</v>
      </c>
      <c r="AK170" s="180" t="n">
        <f aca="false">IF($D$9=0,0,IF($A170&gt;IN_PRAZO,0,IF(APORTE_CORRIGIDO="Sim",IN_APORTE*$D170,IN_APORTE))+IF(AND($D$35=1,PGBL_REINVESTE="Sim",$A170&gt;=13,$A170&lt;=IN_PRAZO,MONTH($B170)=5),PGBL_BENEFICIO,0))</f>
        <v>0</v>
      </c>
      <c r="AL170" s="180" t="n">
        <f aca="false">AK170*$D$24</f>
        <v>0</v>
      </c>
      <c r="AM170" s="180" t="n">
        <f aca="false">AJ170*$D$19</f>
        <v>2859.68477225814</v>
      </c>
      <c r="AN170" s="180" t="n">
        <f aca="false">AJ170*$D$22</f>
        <v>265.118585086678</v>
      </c>
      <c r="AO170" s="180" t="n">
        <f aca="false">$D$23*MAX(0,AM170-AJ170*$D$18)</f>
        <v>0</v>
      </c>
      <c r="AP170" s="180" t="n">
        <f aca="false">IF(AND($D$27=1,OR(MONTH($B170)=5,MONTH($B170)=11)),MAX(0,$D$28*MAX(0,(AJ170+AM170-AN170-AO170+AK170-AL170)+AS169-AR170)-AS169),0)</f>
        <v>0</v>
      </c>
      <c r="AQ170" s="181" t="n">
        <f aca="false">AJ170+AM170-AN170-AO170+AK170-AL170-AP170</f>
        <v>320736.868291185</v>
      </c>
      <c r="AR170" s="180" t="n">
        <f aca="false">AR169+AK170-AL170</f>
        <v>150000</v>
      </c>
      <c r="AS170" s="180" t="n">
        <f aca="false">AS169+AP170</f>
        <v>28320.6805684854</v>
      </c>
      <c r="AT170" s="180" t="n">
        <f aca="false">AQ170+AS170-AR170</f>
        <v>199057.54885967</v>
      </c>
      <c r="AU170" s="180" t="n">
        <f aca="false">MAX(0,IFERROR(INDEX(TAB_IR,MATCH($C170,TAB_IR_DIAS,1),MATCH($D$8,TAB_IR_REGIMES,0)),0)*IF($D$26=2,AQ170,MAX(0,AT170))-AS170)</f>
        <v>1537.95176046506</v>
      </c>
      <c r="AV170" s="181" t="n">
        <f aca="false">MAX(0,AQ170-AU170-AQ170*$D$25)</f>
        <v>319198.91653072</v>
      </c>
      <c r="AW170" s="180" t="n">
        <f aca="false">AV170/$D170</f>
        <v>223533.135447464</v>
      </c>
      <c r="AY170" s="180" t="n">
        <f aca="false">BF169</f>
        <v>375742.817098675</v>
      </c>
      <c r="AZ170" s="180" t="n">
        <f aca="false">IF($E$9=0,0,IF($A170&gt;IN_PRAZO,0,IF(APORTE_CORRIGIDO="Sim",IN_APORTE*$D170,IN_APORTE))+IF(AND($E$35=1,PGBL_REINVESTE="Sim",$A170&gt;=13,$A170&lt;=IN_PRAZO,MONTH($B170)=5),PGBL_BENEFICIO,0))</f>
        <v>0</v>
      </c>
      <c r="BA170" s="180" t="n">
        <f aca="false">AZ170*$E$24</f>
        <v>0</v>
      </c>
      <c r="BB170" s="180" t="n">
        <f aca="false">AY170*$E$19</f>
        <v>3678.05075375677</v>
      </c>
      <c r="BC170" s="180" t="n">
        <f aca="false">AY170*$E$22</f>
        <v>469.678521373344</v>
      </c>
      <c r="BD170" s="180" t="n">
        <f aca="false">$E$23*MAX(0,BB170-AY170*$E$18)</f>
        <v>0</v>
      </c>
      <c r="BE170" s="180" t="n">
        <f aca="false">IF(AND($E$27=1,OR(MONTH($B170)=5,MONTH($B170)=11)),MAX(0,$E$28*MAX(0,(AY170+BB170-BC170-BD170+AZ170-BA170)+BH169-BG170)-BH169),0)</f>
        <v>0</v>
      </c>
      <c r="BF170" s="181" t="n">
        <f aca="false">AY170+BB170-BC170-BD170+AZ170-BA170-BE170</f>
        <v>378951.189331059</v>
      </c>
      <c r="BG170" s="180" t="n">
        <f aca="false">BG169+AZ170-BA170</f>
        <v>150000</v>
      </c>
      <c r="BH170" s="180" t="n">
        <f aca="false">BH169+BE170</f>
        <v>0</v>
      </c>
      <c r="BI170" s="180" t="n">
        <f aca="false">BF170+BH170-BG170</f>
        <v>228951.189331059</v>
      </c>
      <c r="BJ170" s="180" t="n">
        <f aca="false">MAX(0,IFERROR(INDEX(TAB_IR,MATCH($C170,TAB_IR_DIAS,1),MATCH($E$8,TAB_IR_REGIMES,0)),0)*IF($E$26=2,BF170,MAX(0,BI170))-BH170)</f>
        <v>34342.6783996588</v>
      </c>
      <c r="BK170" s="181" t="n">
        <f aca="false">MAX(0,BF170-BJ170-BF170*$E$25)</f>
        <v>344608.5109314</v>
      </c>
      <c r="BL170" s="180" t="n">
        <f aca="false">BK170/$D170</f>
        <v>241327.325880707</v>
      </c>
      <c r="BN170" s="180" t="n">
        <f aca="false">BU169</f>
        <v>375742.817098675</v>
      </c>
      <c r="BO170" s="180" t="n">
        <f aca="false">IF($F$9=0,0,IF($A170&gt;IN_PRAZO,0,IF(APORTE_CORRIGIDO="Sim",IN_APORTE*$D170,IN_APORTE))+IF(AND($F$35=1,PGBL_REINVESTE="Sim",$A170&gt;=13,$A170&lt;=IN_PRAZO,MONTH($B170)=5),PGBL_BENEFICIO,0))</f>
        <v>0</v>
      </c>
      <c r="BP170" s="180" t="n">
        <f aca="false">BO170*$F$24</f>
        <v>0</v>
      </c>
      <c r="BQ170" s="180" t="n">
        <f aca="false">BN170*$F$19</f>
        <v>3678.05075375677</v>
      </c>
      <c r="BR170" s="180" t="n">
        <f aca="false">BN170*$F$22</f>
        <v>469.678521373344</v>
      </c>
      <c r="BS170" s="180" t="n">
        <f aca="false">$F$23*MAX(0,BQ170-BN170*$F$18)</f>
        <v>0</v>
      </c>
      <c r="BT170" s="180" t="n">
        <f aca="false">IF(AND($F$27=1,OR(MONTH($B170)=5,MONTH($B170)=11)),MAX(0,$F$28*MAX(0,(BN170+BQ170-BR170-BS170+BO170-BP170)+BW169-BV170)-BW169),0)</f>
        <v>0</v>
      </c>
      <c r="BU170" s="181" t="n">
        <f aca="false">BN170+BQ170-BR170-BS170+BO170-BP170-BT170</f>
        <v>378951.189331059</v>
      </c>
      <c r="BV170" s="180" t="n">
        <f aca="false">BV169+BO170-BP170</f>
        <v>150000</v>
      </c>
      <c r="BW170" s="180" t="n">
        <f aca="false">BW169+BT170</f>
        <v>0</v>
      </c>
      <c r="BX170" s="180" t="n">
        <f aca="false">BU170+BW170-BV170</f>
        <v>228951.189331059</v>
      </c>
      <c r="BY170" s="180" t="n">
        <f aca="false">MAX(0,IFERROR(INDEX(TAB_IR,MATCH($C170,TAB_IR_DIAS,1),MATCH($F$8,TAB_IR_REGIMES,0)),0)*IF($F$26=2,BU170,MAX(0,BX170))-BW170)</f>
        <v>56842.6783996588</v>
      </c>
      <c r="BZ170" s="181" t="n">
        <f aca="false">MAX(0,BU170-BY170-BU170*$F$25)</f>
        <v>322108.5109314</v>
      </c>
      <c r="CA170" s="180" t="n">
        <f aca="false">BZ170/$D170</f>
        <v>225570.70739894</v>
      </c>
      <c r="CC170" s="180" t="n">
        <f aca="false">CJ169</f>
        <v>294679.700433124</v>
      </c>
      <c r="CD170" s="180" t="n">
        <f aca="false">IF($G$9=0,0,IF($A170&gt;IN_PRAZO,0,IF(APORTE_CORRIGIDO="Sim",IN_APORTE*$D170,IN_APORTE))+IF(AND($G$35=1,PGBL_REINVESTE="Sim",$A170&gt;=13,$A170&lt;=IN_PRAZO,MONTH($B170)=5),PGBL_BENEFICIO,0))</f>
        <v>0</v>
      </c>
      <c r="CE170" s="180" t="n">
        <f aca="false">CD170*$G$24</f>
        <v>0</v>
      </c>
      <c r="CF170" s="180" t="n">
        <f aca="false">CC170*$G$19</f>
        <v>2403.76874945768</v>
      </c>
      <c r="CG170" s="180" t="n">
        <f aca="false">CC170*$G$22</f>
        <v>245.566417027603</v>
      </c>
      <c r="CH170" s="180" t="n">
        <f aca="false">$G$23*MAX(0,CF170-CC170*$G$18)</f>
        <v>0</v>
      </c>
      <c r="CI170" s="180" t="n">
        <f aca="false">IF(AND($G$27=1,OR(MONTH($B170)=5,MONTH($B170)=11)),MAX(0,$G$28*MAX(0,(CC170+CF170-CG170-CH170+CD170-CE170)+CL169-CK170)-CL169),0)</f>
        <v>0</v>
      </c>
      <c r="CJ170" s="181" t="n">
        <f aca="false">CC170+CF170-CG170-CH170+CD170-CE170-CI170</f>
        <v>296837.902765554</v>
      </c>
      <c r="CK170" s="180" t="n">
        <f aca="false">CK169+CD170-CE170</f>
        <v>150000</v>
      </c>
      <c r="CL170" s="180" t="n">
        <f aca="false">CL169+CI170</f>
        <v>24405.6682983367</v>
      </c>
      <c r="CM170" s="180" t="n">
        <f aca="false">CJ170+CL170-CK170</f>
        <v>171243.571063891</v>
      </c>
      <c r="CN170" s="180" t="n">
        <f aca="false">MAX(0,IFERROR(INDEX(TAB_IR,MATCH($C170,TAB_IR_DIAS,1),MATCH($G$8,TAB_IR_REGIMES,0)),0)*IF($G$26=2,CJ170,MAX(0,CM170))-CL170)</f>
        <v>1280.86736124687</v>
      </c>
      <c r="CO170" s="181" t="n">
        <f aca="false">MAX(0,CJ170-CN170-CJ170*$G$25)</f>
        <v>295557.035404307</v>
      </c>
      <c r="CP170" s="180" t="n">
        <f aca="false">CO170/$D170</f>
        <v>206976.864287456</v>
      </c>
    </row>
    <row r="171" customFormat="false" ht="12" hidden="false" customHeight="true" outlineLevel="0" collapsed="false">
      <c r="A171" s="177" t="n">
        <v>110</v>
      </c>
      <c r="B171" s="178" t="n">
        <f aca="false">EDATE(DATA_INICIO,$A171)</f>
        <v>49605</v>
      </c>
      <c r="C171" s="177" t="n">
        <f aca="false">$A171*30</f>
        <v>3300</v>
      </c>
      <c r="D171" s="179" t="n">
        <f aca="false">(1+IPCA_CENARIO)^($A171/12)</f>
        <v>1.43264617158948</v>
      </c>
      <c r="F171" s="180" t="n">
        <f aca="false">M170</f>
        <v>412419.125027368</v>
      </c>
      <c r="G171" s="180" t="n">
        <f aca="false">IF($B$9=0,0,IF($A171&gt;IN_PRAZO,0,IF(APORTE_CORRIGIDO="Sim",IN_APORTE*$D171,IN_APORTE))+IF(AND($B$35=1,PGBL_REINVESTE="Sim",$A171&gt;=13,$A171&lt;=IN_PRAZO,MONTH($B171)=5),PGBL_BENEFICIO,0))</f>
        <v>0</v>
      </c>
      <c r="H171" s="180" t="n">
        <f aca="false">G171*$B$24</f>
        <v>0</v>
      </c>
      <c r="I171" s="180" t="n">
        <f aca="false">F171*$B$19</f>
        <v>3913.35967964661</v>
      </c>
      <c r="J171" s="180" t="n">
        <f aca="false">F171*$B$22</f>
        <v>68.7365208378947</v>
      </c>
      <c r="K171" s="180" t="n">
        <f aca="false">$B$23*MAX(0,I171-F171*$B$18)</f>
        <v>0</v>
      </c>
      <c r="L171" s="180" t="n">
        <f aca="false">IF(AND($B$27=1,OR(MONTH($B171)=5,MONTH($B171)=11)),MAX(0,$B$28*MAX(0,(F171+I171-J171-K171+G171-H171)+O170-N171)-O170),0)</f>
        <v>0</v>
      </c>
      <c r="M171" s="181" t="n">
        <f aca="false">F171+I171-J171-K171+G171-H171-L171</f>
        <v>416263.748186177</v>
      </c>
      <c r="N171" s="180" t="n">
        <f aca="false">N170+G171-H171</f>
        <v>150000</v>
      </c>
      <c r="O171" s="180" t="n">
        <f aca="false">O170+L171</f>
        <v>0</v>
      </c>
      <c r="P171" s="180" t="n">
        <f aca="false">M171+O171-N171</f>
        <v>266263.748186177</v>
      </c>
      <c r="Q171" s="180" t="n">
        <f aca="false">MAX(0,IFERROR(INDEX(TAB_IR,MATCH($C171,TAB_IR_DIAS,1),MATCH($B$8,TAB_IR_REGIMES,0)),0)*IF($B$26=2,M171,MAX(0,P171))-O171)</f>
        <v>39939.5622279266</v>
      </c>
      <c r="R171" s="181" t="n">
        <f aca="false">MAX(0,M171-Q171-M171*$B$25)</f>
        <v>376324.185958251</v>
      </c>
      <c r="S171" s="180" t="n">
        <f aca="false">R171/$D171</f>
        <v>262677.689314404</v>
      </c>
      <c r="U171" s="180" t="n">
        <f aca="false">AB170</f>
        <v>357146.068991936</v>
      </c>
      <c r="V171" s="180" t="n">
        <f aca="false">IF($C$9=0,0,IF($A171&gt;IN_PRAZO,0,IF(APORTE_CORRIGIDO="Sim",IN_APORTE*$D171,IN_APORTE))+IF(AND($C$35=1,PGBL_REINVESTE="Sim",$A171&gt;=13,$A171&lt;=IN_PRAZO,MONTH($B171)=5),PGBL_BENEFICIO,0))</f>
        <v>0</v>
      </c>
      <c r="W171" s="180" t="n">
        <f aca="false">V171*$C$24</f>
        <v>0</v>
      </c>
      <c r="X171" s="180" t="n">
        <f aca="false">U171*$C$19</f>
        <v>2913.32100030183</v>
      </c>
      <c r="Y171" s="180" t="n">
        <f aca="false">U171*$C$22</f>
        <v>59.5243448319894</v>
      </c>
      <c r="Z171" s="180" t="n">
        <f aca="false">$C$23*MAX(0,X171-U171*$C$18)</f>
        <v>0</v>
      </c>
      <c r="AA171" s="180" t="n">
        <f aca="false">IF(AND($C$27=1,OR(MONTH($B171)=5,MONTH($B171)=11)),MAX(0,$C$28*MAX(0,(U171+X171-Y171-Z171+V171-W171)+AD170-AC171)-AD170),0)</f>
        <v>0</v>
      </c>
      <c r="AB171" s="181" t="n">
        <f aca="false">U171+X171-Y171-Z171+V171-W171-AA171</f>
        <v>359999.865647406</v>
      </c>
      <c r="AC171" s="180" t="n">
        <f aca="false">AC170+V171-W171</f>
        <v>150000</v>
      </c>
      <c r="AD171" s="180" t="n">
        <f aca="false">AD170+AA171</f>
        <v>0</v>
      </c>
      <c r="AE171" s="180" t="n">
        <f aca="false">AB171+AD171-AC171</f>
        <v>209999.865647406</v>
      </c>
      <c r="AF171" s="180" t="n">
        <f aca="false">MAX(0,IFERROR(INDEX(TAB_IR,MATCH($C171,TAB_IR_DIAS,1),MATCH($C$8,TAB_IR_REGIMES,0)),0)*IF($C$26=2,AB171,MAX(0,AE171))-AD171)</f>
        <v>31499.9798471109</v>
      </c>
      <c r="AG171" s="181" t="n">
        <f aca="false">MAX(0,AB171-AF171-AB171*$C$25)</f>
        <v>328499.885800295</v>
      </c>
      <c r="AH171" s="180" t="n">
        <f aca="false">AG171/$D171</f>
        <v>229295.894767816</v>
      </c>
      <c r="AJ171" s="180" t="n">
        <f aca="false">AQ170</f>
        <v>320736.868291185</v>
      </c>
      <c r="AK171" s="180" t="n">
        <f aca="false">IF($D$9=0,0,IF($A171&gt;IN_PRAZO,0,IF(APORTE_CORRIGIDO="Sim",IN_APORTE*$D171,IN_APORTE))+IF(AND($D$35=1,PGBL_REINVESTE="Sim",$A171&gt;=13,$A171&lt;=IN_PRAZO,MONTH($B171)=5),PGBL_BENEFICIO,0))</f>
        <v>0</v>
      </c>
      <c r="AL171" s="180" t="n">
        <f aca="false">AK171*$D$24</f>
        <v>0</v>
      </c>
      <c r="AM171" s="180" t="n">
        <f aca="false">AJ171*$D$19</f>
        <v>2883.00654168962</v>
      </c>
      <c r="AN171" s="180" t="n">
        <f aca="false">AJ171*$D$22</f>
        <v>267.280723575987</v>
      </c>
      <c r="AO171" s="180" t="n">
        <f aca="false">$D$23*MAX(0,AM171-AJ171*$D$18)</f>
        <v>0</v>
      </c>
      <c r="AP171" s="180" t="n">
        <f aca="false">IF(AND($D$27=1,OR(MONTH($B171)=5,MONTH($B171)=11)),MAX(0,$D$28*MAX(0,(AJ171+AM171-AN171-AO171+AK171-AL171)+AS170-AR171)-AS170),0)</f>
        <v>0</v>
      </c>
      <c r="AQ171" s="181" t="n">
        <f aca="false">AJ171+AM171-AN171-AO171+AK171-AL171-AP171</f>
        <v>323352.594109298</v>
      </c>
      <c r="AR171" s="180" t="n">
        <f aca="false">AR170+AK171-AL171</f>
        <v>150000</v>
      </c>
      <c r="AS171" s="180" t="n">
        <f aca="false">AS170+AP171</f>
        <v>28320.6805684854</v>
      </c>
      <c r="AT171" s="180" t="n">
        <f aca="false">AQ171+AS171-AR171</f>
        <v>201673.274677784</v>
      </c>
      <c r="AU171" s="180" t="n">
        <f aca="false">MAX(0,IFERROR(INDEX(TAB_IR,MATCH($C171,TAB_IR_DIAS,1),MATCH($D$8,TAB_IR_REGIMES,0)),0)*IF($D$26=2,AQ171,MAX(0,AT171))-AS171)</f>
        <v>1930.3106331821</v>
      </c>
      <c r="AV171" s="181" t="n">
        <f aca="false">MAX(0,AQ171-AU171-AQ171*$D$25)</f>
        <v>321422.283476116</v>
      </c>
      <c r="AW171" s="180" t="n">
        <f aca="false">AV171/$D171</f>
        <v>224355.66425973</v>
      </c>
      <c r="AY171" s="180" t="n">
        <f aca="false">BF170</f>
        <v>378951.189331059</v>
      </c>
      <c r="AZ171" s="180" t="n">
        <f aca="false">IF($E$9=0,0,IF($A171&gt;IN_PRAZO,0,IF(APORTE_CORRIGIDO="Sim",IN_APORTE*$D171,IN_APORTE))+IF(AND($E$35=1,PGBL_REINVESTE="Sim",$A171&gt;=13,$A171&lt;=IN_PRAZO,MONTH($B171)=5),PGBL_BENEFICIO,0))</f>
        <v>0</v>
      </c>
      <c r="BA171" s="180" t="n">
        <f aca="false">AZ171*$E$24</f>
        <v>0</v>
      </c>
      <c r="BB171" s="180" t="n">
        <f aca="false">AY171*$E$19</f>
        <v>3709.45669252832</v>
      </c>
      <c r="BC171" s="180" t="n">
        <f aca="false">AY171*$E$22</f>
        <v>473.688986663824</v>
      </c>
      <c r="BD171" s="180" t="n">
        <f aca="false">$E$23*MAX(0,BB171-AY171*$E$18)</f>
        <v>0</v>
      </c>
      <c r="BE171" s="180" t="n">
        <f aca="false">IF(AND($E$27=1,OR(MONTH($B171)=5,MONTH($B171)=11)),MAX(0,$E$28*MAX(0,(AY171+BB171-BC171-BD171+AZ171-BA171)+BH170-BG171)-BH170),0)</f>
        <v>0</v>
      </c>
      <c r="BF171" s="181" t="n">
        <f aca="false">AY171+BB171-BC171-BD171+AZ171-BA171-BE171</f>
        <v>382186.957036923</v>
      </c>
      <c r="BG171" s="180" t="n">
        <f aca="false">BG170+AZ171-BA171</f>
        <v>150000</v>
      </c>
      <c r="BH171" s="180" t="n">
        <f aca="false">BH170+BE171</f>
        <v>0</v>
      </c>
      <c r="BI171" s="180" t="n">
        <f aca="false">BF171+BH171-BG171</f>
        <v>232186.957036923</v>
      </c>
      <c r="BJ171" s="180" t="n">
        <f aca="false">MAX(0,IFERROR(INDEX(TAB_IR,MATCH($C171,TAB_IR_DIAS,1),MATCH($E$8,TAB_IR_REGIMES,0)),0)*IF($E$26=2,BF171,MAX(0,BI171))-BH171)</f>
        <v>34828.0435555385</v>
      </c>
      <c r="BK171" s="181" t="n">
        <f aca="false">MAX(0,BF171-BJ171-BF171*$E$25)</f>
        <v>347358.913481385</v>
      </c>
      <c r="BL171" s="180" t="n">
        <f aca="false">BK171/$D171</f>
        <v>242459.666852703</v>
      </c>
      <c r="BN171" s="180" t="n">
        <f aca="false">BU170</f>
        <v>378951.189331059</v>
      </c>
      <c r="BO171" s="180" t="n">
        <f aca="false">IF($F$9=0,0,IF($A171&gt;IN_PRAZO,0,IF(APORTE_CORRIGIDO="Sim",IN_APORTE*$D171,IN_APORTE))+IF(AND($F$35=1,PGBL_REINVESTE="Sim",$A171&gt;=13,$A171&lt;=IN_PRAZO,MONTH($B171)=5),PGBL_BENEFICIO,0))</f>
        <v>0</v>
      </c>
      <c r="BP171" s="180" t="n">
        <f aca="false">BO171*$F$24</f>
        <v>0</v>
      </c>
      <c r="BQ171" s="180" t="n">
        <f aca="false">BN171*$F$19</f>
        <v>3709.45669252832</v>
      </c>
      <c r="BR171" s="180" t="n">
        <f aca="false">BN171*$F$22</f>
        <v>473.688986663824</v>
      </c>
      <c r="BS171" s="180" t="n">
        <f aca="false">$F$23*MAX(0,BQ171-BN171*$F$18)</f>
        <v>0</v>
      </c>
      <c r="BT171" s="180" t="n">
        <f aca="false">IF(AND($F$27=1,OR(MONTH($B171)=5,MONTH($B171)=11)),MAX(0,$F$28*MAX(0,(BN171+BQ171-BR171-BS171+BO171-BP171)+BW170-BV171)-BW170),0)</f>
        <v>0</v>
      </c>
      <c r="BU171" s="181" t="n">
        <f aca="false">BN171+BQ171-BR171-BS171+BO171-BP171-BT171</f>
        <v>382186.957036923</v>
      </c>
      <c r="BV171" s="180" t="n">
        <f aca="false">BV170+BO171-BP171</f>
        <v>150000</v>
      </c>
      <c r="BW171" s="180" t="n">
        <f aca="false">BW170+BT171</f>
        <v>0</v>
      </c>
      <c r="BX171" s="180" t="n">
        <f aca="false">BU171+BW171-BV171</f>
        <v>232186.957036923</v>
      </c>
      <c r="BY171" s="180" t="n">
        <f aca="false">MAX(0,IFERROR(INDEX(TAB_IR,MATCH($C171,TAB_IR_DIAS,1),MATCH($F$8,TAB_IR_REGIMES,0)),0)*IF($F$26=2,BU171,MAX(0,BX171))-BW171)</f>
        <v>57328.0435555385</v>
      </c>
      <c r="BZ171" s="181" t="n">
        <f aca="false">MAX(0,BU171-BY171-BU171*$F$25)</f>
        <v>324858.913481385</v>
      </c>
      <c r="CA171" s="180" t="n">
        <f aca="false">BZ171/$D171</f>
        <v>226754.463121179</v>
      </c>
      <c r="CC171" s="180" t="n">
        <f aca="false">CJ170</f>
        <v>296837.902765554</v>
      </c>
      <c r="CD171" s="180" t="n">
        <f aca="false">IF($G$9=0,0,IF($A171&gt;IN_PRAZO,0,IF(APORTE_CORRIGIDO="Sim",IN_APORTE*$D171,IN_APORTE))+IF(AND($G$35=1,PGBL_REINVESTE="Sim",$A171&gt;=13,$A171&lt;=IN_PRAZO,MONTH($B171)=5),PGBL_BENEFICIO,0))</f>
        <v>0</v>
      </c>
      <c r="CE171" s="180" t="n">
        <f aca="false">CD171*$G$24</f>
        <v>0</v>
      </c>
      <c r="CF171" s="180" t="n">
        <f aca="false">CC171*$G$19</f>
        <v>2421.37369243162</v>
      </c>
      <c r="CG171" s="180" t="n">
        <f aca="false">CC171*$G$22</f>
        <v>247.364918971295</v>
      </c>
      <c r="CH171" s="180" t="n">
        <f aca="false">$G$23*MAX(0,CF171-CC171*$G$18)</f>
        <v>0</v>
      </c>
      <c r="CI171" s="180" t="n">
        <f aca="false">IF(AND($G$27=1,OR(MONTH($B171)=5,MONTH($B171)=11)),MAX(0,$G$28*MAX(0,(CC171+CF171-CG171-CH171+CD171-CE171)+CL170-CK171)-CL170),0)</f>
        <v>0</v>
      </c>
      <c r="CJ171" s="181" t="n">
        <f aca="false">CC171+CF171-CG171-CH171+CD171-CE171-CI171</f>
        <v>299011.911539014</v>
      </c>
      <c r="CK171" s="180" t="n">
        <f aca="false">CK170+CD171-CE171</f>
        <v>150000</v>
      </c>
      <c r="CL171" s="180" t="n">
        <f aca="false">CL170+CI171</f>
        <v>24405.6682983367</v>
      </c>
      <c r="CM171" s="180" t="n">
        <f aca="false">CJ171+CL171-CK171</f>
        <v>173417.579837351</v>
      </c>
      <c r="CN171" s="180" t="n">
        <f aca="false">MAX(0,IFERROR(INDEX(TAB_IR,MATCH($C171,TAB_IR_DIAS,1),MATCH($G$8,TAB_IR_REGIMES,0)),0)*IF($G$26=2,CJ171,MAX(0,CM171))-CL171)</f>
        <v>1606.96867726591</v>
      </c>
      <c r="CO171" s="181" t="n">
        <f aca="false">MAX(0,CJ171-CN171-CJ171*$G$25)</f>
        <v>297404.942861748</v>
      </c>
      <c r="CP171" s="180" t="n">
        <f aca="false">CO171/$D171</f>
        <v>207591.343040262</v>
      </c>
    </row>
    <row r="172" customFormat="false" ht="12" hidden="false" customHeight="true" outlineLevel="0" collapsed="false">
      <c r="A172" s="177" t="n">
        <v>111</v>
      </c>
      <c r="B172" s="178" t="n">
        <f aca="false">EDATE(DATA_INICIO,$A172)</f>
        <v>49636</v>
      </c>
      <c r="C172" s="177" t="n">
        <f aca="false">$A172*30</f>
        <v>3330</v>
      </c>
      <c r="D172" s="179" t="n">
        <f aca="false">(1+IPCA_CENARIO)^($A172/12)</f>
        <v>1.43733628235522</v>
      </c>
      <c r="F172" s="180" t="n">
        <f aca="false">M171</f>
        <v>416263.748186177</v>
      </c>
      <c r="G172" s="180" t="n">
        <f aca="false">IF($B$9=0,0,IF($A172&gt;IN_PRAZO,0,IF(APORTE_CORRIGIDO="Sim",IN_APORTE*$D172,IN_APORTE))+IF(AND($B$35=1,PGBL_REINVESTE="Sim",$A172&gt;=13,$A172&lt;=IN_PRAZO,MONTH($B172)=5),PGBL_BENEFICIO,0))</f>
        <v>0</v>
      </c>
      <c r="H172" s="180" t="n">
        <f aca="false">G172*$B$24</f>
        <v>0</v>
      </c>
      <c r="I172" s="180" t="n">
        <f aca="false">F172*$B$19</f>
        <v>3949.84051271205</v>
      </c>
      <c r="J172" s="180" t="n">
        <f aca="false">F172*$B$22</f>
        <v>69.3772913643628</v>
      </c>
      <c r="K172" s="180" t="n">
        <f aca="false">$B$23*MAX(0,I172-F172*$B$18)</f>
        <v>0</v>
      </c>
      <c r="L172" s="180" t="n">
        <f aca="false">IF(AND($B$27=1,OR(MONTH($B172)=5,MONTH($B172)=11)),MAX(0,$B$28*MAX(0,(F172+I172-J172-K172+G172-H172)+O171-N172)-O171),0)</f>
        <v>0</v>
      </c>
      <c r="M172" s="181" t="n">
        <f aca="false">F172+I172-J172-K172+G172-H172-L172</f>
        <v>420144.211407525</v>
      </c>
      <c r="N172" s="180" t="n">
        <f aca="false">N171+G172-H172</f>
        <v>150000</v>
      </c>
      <c r="O172" s="180" t="n">
        <f aca="false">O171+L172</f>
        <v>0</v>
      </c>
      <c r="P172" s="180" t="n">
        <f aca="false">M172+O172-N172</f>
        <v>270144.211407525</v>
      </c>
      <c r="Q172" s="180" t="n">
        <f aca="false">MAX(0,IFERROR(INDEX(TAB_IR,MATCH($C172,TAB_IR_DIAS,1),MATCH($B$8,TAB_IR_REGIMES,0)),0)*IF($B$26=2,M172,MAX(0,P172))-O172)</f>
        <v>40521.6317111287</v>
      </c>
      <c r="R172" s="181" t="n">
        <f aca="false">MAX(0,M172-Q172-M172*$B$25)</f>
        <v>379622.579696396</v>
      </c>
      <c r="S172" s="180" t="n">
        <f aca="false">R172/$D172</f>
        <v>264115.35307127</v>
      </c>
      <c r="U172" s="180" t="n">
        <f aca="false">AB171</f>
        <v>359999.865647406</v>
      </c>
      <c r="V172" s="180" t="n">
        <f aca="false">IF($C$9=0,0,IF($A172&gt;IN_PRAZO,0,IF(APORTE_CORRIGIDO="Sim",IN_APORTE*$D172,IN_APORTE))+IF(AND($C$35=1,PGBL_REINVESTE="Sim",$A172&gt;=13,$A172&lt;=IN_PRAZO,MONTH($B172)=5),PGBL_BENEFICIO,0))</f>
        <v>0</v>
      </c>
      <c r="W172" s="180" t="n">
        <f aca="false">V172*$C$24</f>
        <v>0</v>
      </c>
      <c r="X172" s="180" t="n">
        <f aca="false">U172*$C$19</f>
        <v>2936.60006298461</v>
      </c>
      <c r="Y172" s="180" t="n">
        <f aca="false">U172*$C$22</f>
        <v>59.999977607901</v>
      </c>
      <c r="Z172" s="180" t="n">
        <f aca="false">$C$23*MAX(0,X172-U172*$C$18)</f>
        <v>0</v>
      </c>
      <c r="AA172" s="180" t="n">
        <f aca="false">IF(AND($C$27=1,OR(MONTH($B172)=5,MONTH($B172)=11)),MAX(0,$C$28*MAX(0,(U172+X172-Y172-Z172+V172-W172)+AD171-AC172)-AD171),0)</f>
        <v>0</v>
      </c>
      <c r="AB172" s="181" t="n">
        <f aca="false">U172+X172-Y172-Z172+V172-W172-AA172</f>
        <v>362876.465732783</v>
      </c>
      <c r="AC172" s="180" t="n">
        <f aca="false">AC171+V172-W172</f>
        <v>150000</v>
      </c>
      <c r="AD172" s="180" t="n">
        <f aca="false">AD171+AA172</f>
        <v>0</v>
      </c>
      <c r="AE172" s="180" t="n">
        <f aca="false">AB172+AD172-AC172</f>
        <v>212876.465732783</v>
      </c>
      <c r="AF172" s="180" t="n">
        <f aca="false">MAX(0,IFERROR(INDEX(TAB_IR,MATCH($C172,TAB_IR_DIAS,1),MATCH($C$8,TAB_IR_REGIMES,0)),0)*IF($C$26=2,AB172,MAX(0,AE172))-AD172)</f>
        <v>31931.4698599174</v>
      </c>
      <c r="AG172" s="181" t="n">
        <f aca="false">MAX(0,AB172-AF172-AB172*$C$25)</f>
        <v>330944.995872866</v>
      </c>
      <c r="AH172" s="180" t="n">
        <f aca="false">AG172/$D172</f>
        <v>230248.828987033</v>
      </c>
      <c r="AJ172" s="180" t="n">
        <f aca="false">AQ171</f>
        <v>323352.594109298</v>
      </c>
      <c r="AK172" s="180" t="n">
        <f aca="false">IF($D$9=0,0,IF($A172&gt;IN_PRAZO,0,IF(APORTE_CORRIGIDO="Sim",IN_APORTE*$D172,IN_APORTE))+IF(AND($D$35=1,PGBL_REINVESTE="Sim",$A172&gt;=13,$A172&lt;=IN_PRAZO,MONTH($B172)=5),PGBL_BENEFICIO,0))</f>
        <v>0</v>
      </c>
      <c r="AL172" s="180" t="n">
        <f aca="false">AK172*$D$24</f>
        <v>0</v>
      </c>
      <c r="AM172" s="180" t="n">
        <f aca="false">AJ172*$D$19</f>
        <v>2906.51850863332</v>
      </c>
      <c r="AN172" s="180" t="n">
        <f aca="false">AJ172*$D$22</f>
        <v>269.460495091082</v>
      </c>
      <c r="AO172" s="180" t="n">
        <f aca="false">$D$23*MAX(0,AM172-AJ172*$D$18)</f>
        <v>0</v>
      </c>
      <c r="AP172" s="180" t="n">
        <f aca="false">IF(AND($D$27=1,OR(MONTH($B172)=5,MONTH($B172)=11)),MAX(0,$D$28*MAX(0,(AJ172+AM172-AN172-AO172+AK172-AL172)+AS171-AR172)-AS171),0)</f>
        <v>2325.86933521344</v>
      </c>
      <c r="AQ172" s="181" t="n">
        <f aca="false">AJ172+AM172-AN172-AO172+AK172-AL172-AP172</f>
        <v>323663.782787627</v>
      </c>
      <c r="AR172" s="180" t="n">
        <f aca="false">AR171+AK172-AL172</f>
        <v>150000</v>
      </c>
      <c r="AS172" s="180" t="n">
        <f aca="false">AS171+AP172</f>
        <v>30646.5499036989</v>
      </c>
      <c r="AT172" s="180" t="n">
        <f aca="false">AQ172+AS172-AR172</f>
        <v>204310.332691326</v>
      </c>
      <c r="AU172" s="180" t="n">
        <f aca="false">MAX(0,IFERROR(INDEX(TAB_IR,MATCH($C172,TAB_IR_DIAS,1),MATCH($D$8,TAB_IR_REGIMES,0)),0)*IF($D$26=2,AQ172,MAX(0,AT172))-AS172)</f>
        <v>0</v>
      </c>
      <c r="AV172" s="181" t="n">
        <f aca="false">MAX(0,AQ172-AU172-AQ172*$D$25)</f>
        <v>323663.782787627</v>
      </c>
      <c r="AW172" s="180" t="n">
        <f aca="false">AV172/$D172</f>
        <v>225183.060332458</v>
      </c>
      <c r="AY172" s="180" t="n">
        <f aca="false">BF171</f>
        <v>382186.957036923</v>
      </c>
      <c r="AZ172" s="180" t="n">
        <f aca="false">IF($E$9=0,0,IF($A172&gt;IN_PRAZO,0,IF(APORTE_CORRIGIDO="Sim",IN_APORTE*$D172,IN_APORTE))+IF(AND($E$35=1,PGBL_REINVESTE="Sim",$A172&gt;=13,$A172&lt;=IN_PRAZO,MONTH($B172)=5),PGBL_BENEFICIO,0))</f>
        <v>0</v>
      </c>
      <c r="BA172" s="180" t="n">
        <f aca="false">AZ172*$E$24</f>
        <v>0</v>
      </c>
      <c r="BB172" s="180" t="n">
        <f aca="false">AY172*$E$19</f>
        <v>3741.13079861352</v>
      </c>
      <c r="BC172" s="180" t="n">
        <f aca="false">AY172*$E$22</f>
        <v>477.733696296154</v>
      </c>
      <c r="BD172" s="180" t="n">
        <f aca="false">$E$23*MAX(0,BB172-AY172*$E$18)</f>
        <v>0</v>
      </c>
      <c r="BE172" s="180" t="n">
        <f aca="false">IF(AND($E$27=1,OR(MONTH($B172)=5,MONTH($B172)=11)),MAX(0,$E$28*MAX(0,(AY172+BB172-BC172-BD172+AZ172-BA172)+BH171-BG172)-BH171),0)</f>
        <v>0</v>
      </c>
      <c r="BF172" s="181" t="n">
        <f aca="false">AY172+BB172-BC172-BD172+AZ172-BA172-BE172</f>
        <v>385450.354139241</v>
      </c>
      <c r="BG172" s="180" t="n">
        <f aca="false">BG171+AZ172-BA172</f>
        <v>150000</v>
      </c>
      <c r="BH172" s="180" t="n">
        <f aca="false">BH171+BE172</f>
        <v>0</v>
      </c>
      <c r="BI172" s="180" t="n">
        <f aca="false">BF172+BH172-BG172</f>
        <v>235450.354139241</v>
      </c>
      <c r="BJ172" s="180" t="n">
        <f aca="false">MAX(0,IFERROR(INDEX(TAB_IR,MATCH($C172,TAB_IR_DIAS,1),MATCH($E$8,TAB_IR_REGIMES,0)),0)*IF($E$26=2,BF172,MAX(0,BI172))-BH172)</f>
        <v>35317.5531208861</v>
      </c>
      <c r="BK172" s="181" t="n">
        <f aca="false">MAX(0,BF172-BJ172-BF172*$E$25)</f>
        <v>350132.801018355</v>
      </c>
      <c r="BL172" s="180" t="n">
        <f aca="false">BK172/$D172</f>
        <v>243598.387737507</v>
      </c>
      <c r="BN172" s="180" t="n">
        <f aca="false">BU171</f>
        <v>382186.957036923</v>
      </c>
      <c r="BO172" s="180" t="n">
        <f aca="false">IF($F$9=0,0,IF($A172&gt;IN_PRAZO,0,IF(APORTE_CORRIGIDO="Sim",IN_APORTE*$D172,IN_APORTE))+IF(AND($F$35=1,PGBL_REINVESTE="Sim",$A172&gt;=13,$A172&lt;=IN_PRAZO,MONTH($B172)=5),PGBL_BENEFICIO,0))</f>
        <v>0</v>
      </c>
      <c r="BP172" s="180" t="n">
        <f aca="false">BO172*$F$24</f>
        <v>0</v>
      </c>
      <c r="BQ172" s="180" t="n">
        <f aca="false">BN172*$F$19</f>
        <v>3741.13079861352</v>
      </c>
      <c r="BR172" s="180" t="n">
        <f aca="false">BN172*$F$22</f>
        <v>477.733696296154</v>
      </c>
      <c r="BS172" s="180" t="n">
        <f aca="false">$F$23*MAX(0,BQ172-BN172*$F$18)</f>
        <v>0</v>
      </c>
      <c r="BT172" s="180" t="n">
        <f aca="false">IF(AND($F$27=1,OR(MONTH($B172)=5,MONTH($B172)=11)),MAX(0,$F$28*MAX(0,(BN172+BQ172-BR172-BS172+BO172-BP172)+BW171-BV172)-BW171),0)</f>
        <v>0</v>
      </c>
      <c r="BU172" s="181" t="n">
        <f aca="false">BN172+BQ172-BR172-BS172+BO172-BP172-BT172</f>
        <v>385450.354139241</v>
      </c>
      <c r="BV172" s="180" t="n">
        <f aca="false">BV171+BO172-BP172</f>
        <v>150000</v>
      </c>
      <c r="BW172" s="180" t="n">
        <f aca="false">BW171+BT172</f>
        <v>0</v>
      </c>
      <c r="BX172" s="180" t="n">
        <f aca="false">BU172+BW172-BV172</f>
        <v>235450.354139241</v>
      </c>
      <c r="BY172" s="180" t="n">
        <f aca="false">MAX(0,IFERROR(INDEX(TAB_IR,MATCH($C172,TAB_IR_DIAS,1),MATCH($F$8,TAB_IR_REGIMES,0)),0)*IF($F$26=2,BU172,MAX(0,BX172))-BW172)</f>
        <v>57817.5531208861</v>
      </c>
      <c r="BZ172" s="181" t="n">
        <f aca="false">MAX(0,BU172-BY172-BU172*$F$25)</f>
        <v>327632.801018355</v>
      </c>
      <c r="CA172" s="180" t="n">
        <f aca="false">BZ172/$D172</f>
        <v>227944.430986947</v>
      </c>
      <c r="CC172" s="180" t="n">
        <f aca="false">CJ171</f>
        <v>299011.911539014</v>
      </c>
      <c r="CD172" s="180" t="n">
        <f aca="false">IF($G$9=0,0,IF($A172&gt;IN_PRAZO,0,IF(APORTE_CORRIGIDO="Sim",IN_APORTE*$D172,IN_APORTE))+IF(AND($G$35=1,PGBL_REINVESTE="Sim",$A172&gt;=13,$A172&lt;=IN_PRAZO,MONTH($B172)=5),PGBL_BENEFICIO,0))</f>
        <v>0</v>
      </c>
      <c r="CE172" s="180" t="n">
        <f aca="false">CD172*$G$24</f>
        <v>0</v>
      </c>
      <c r="CF172" s="180" t="n">
        <f aca="false">CC172*$G$19</f>
        <v>2439.10757210846</v>
      </c>
      <c r="CG172" s="180" t="n">
        <f aca="false">CC172*$G$22</f>
        <v>249.176592949179</v>
      </c>
      <c r="CH172" s="180" t="n">
        <f aca="false">$G$23*MAX(0,CF172-CC172*$G$18)</f>
        <v>0</v>
      </c>
      <c r="CI172" s="180" t="n">
        <f aca="false">IF(AND($G$27=1,OR(MONTH($B172)=5,MONTH($B172)=11)),MAX(0,$G$28*MAX(0,(CC172+CF172-CG172-CH172+CD172-CE172)+CL171-CK172)-CL171),0)</f>
        <v>1935.4583241398</v>
      </c>
      <c r="CJ172" s="181" t="n">
        <f aca="false">CC172+CF172-CG172-CH172+CD172-CE172-CI172</f>
        <v>299266.384194034</v>
      </c>
      <c r="CK172" s="180" t="n">
        <f aca="false">CK171+CD172-CE172</f>
        <v>150000</v>
      </c>
      <c r="CL172" s="180" t="n">
        <f aca="false">CL171+CI172</f>
        <v>26341.1266224765</v>
      </c>
      <c r="CM172" s="180" t="n">
        <f aca="false">CJ172+CL172-CK172</f>
        <v>175607.51081651</v>
      </c>
      <c r="CN172" s="180" t="n">
        <f aca="false">MAX(0,IFERROR(INDEX(TAB_IR,MATCH($C172,TAB_IR_DIAS,1),MATCH($G$8,TAB_IR_REGIMES,0)),0)*IF($G$26=2,CJ172,MAX(0,CM172))-CL172)</f>
        <v>0</v>
      </c>
      <c r="CO172" s="181" t="n">
        <f aca="false">MAX(0,CJ172-CN172-CJ172*$G$25)</f>
        <v>299266.384194034</v>
      </c>
      <c r="CP172" s="180" t="n">
        <f aca="false">CO172/$D172</f>
        <v>208209.023780889</v>
      </c>
    </row>
    <row r="173" customFormat="false" ht="12" hidden="false" customHeight="true" outlineLevel="0" collapsed="false">
      <c r="A173" s="177" t="n">
        <v>112</v>
      </c>
      <c r="B173" s="178" t="n">
        <f aca="false">EDATE(DATA_INICIO,$A173)</f>
        <v>49666</v>
      </c>
      <c r="C173" s="177" t="n">
        <f aca="false">$A173*30</f>
        <v>3360</v>
      </c>
      <c r="D173" s="179" t="n">
        <f aca="false">(1+IPCA_CENARIO)^($A173/12)</f>
        <v>1.44204174732317</v>
      </c>
      <c r="F173" s="180" t="n">
        <f aca="false">M172</f>
        <v>420144.211407525</v>
      </c>
      <c r="G173" s="180" t="n">
        <f aca="false">IF($B$9=0,0,IF($A173&gt;IN_PRAZO,0,IF(APORTE_CORRIGIDO="Sim",IN_APORTE*$D173,IN_APORTE))+IF(AND($B$35=1,PGBL_REINVESTE="Sim",$A173&gt;=13,$A173&lt;=IN_PRAZO,MONTH($B173)=5),PGBL_BENEFICIO,0))</f>
        <v>0</v>
      </c>
      <c r="H173" s="180" t="n">
        <f aca="false">G173*$B$24</f>
        <v>0</v>
      </c>
      <c r="I173" s="180" t="n">
        <f aca="false">F173*$B$19</f>
        <v>3986.66142470969</v>
      </c>
      <c r="J173" s="180" t="n">
        <f aca="false">F173*$B$22</f>
        <v>70.0240352345875</v>
      </c>
      <c r="K173" s="180" t="n">
        <f aca="false">$B$23*MAX(0,I173-F173*$B$18)</f>
        <v>0</v>
      </c>
      <c r="L173" s="180" t="n">
        <f aca="false">IF(AND($B$27=1,OR(MONTH($B173)=5,MONTH($B173)=11)),MAX(0,$B$28*MAX(0,(F173+I173-J173-K173+G173-H173)+O172-N173)-O172),0)</f>
        <v>0</v>
      </c>
      <c r="M173" s="181" t="n">
        <f aca="false">F173+I173-J173-K173+G173-H173-L173</f>
        <v>424060.848797</v>
      </c>
      <c r="N173" s="180" t="n">
        <f aca="false">N172+G173-H173</f>
        <v>150000</v>
      </c>
      <c r="O173" s="180" t="n">
        <f aca="false">O172+L173</f>
        <v>0</v>
      </c>
      <c r="P173" s="180" t="n">
        <f aca="false">M173+O173-N173</f>
        <v>274060.848797</v>
      </c>
      <c r="Q173" s="180" t="n">
        <f aca="false">MAX(0,IFERROR(INDEX(TAB_IR,MATCH($C173,TAB_IR_DIAS,1),MATCH($B$8,TAB_IR_REGIMES,0)),0)*IF($B$26=2,M173,MAX(0,P173))-O173)</f>
        <v>41109.12731955</v>
      </c>
      <c r="R173" s="181" t="n">
        <f aca="false">MAX(0,M173-Q173-M173*$B$25)</f>
        <v>382951.72147745</v>
      </c>
      <c r="S173" s="180" t="n">
        <f aca="false">R173/$D173</f>
        <v>265562.160172072</v>
      </c>
      <c r="U173" s="180" t="n">
        <f aca="false">AB172</f>
        <v>362876.465732783</v>
      </c>
      <c r="V173" s="180" t="n">
        <f aca="false">IF($C$9=0,0,IF($A173&gt;IN_PRAZO,0,IF(APORTE_CORRIGIDO="Sim",IN_APORTE*$D173,IN_APORTE))+IF(AND($C$35=1,PGBL_REINVESTE="Sim",$A173&gt;=13,$A173&lt;=IN_PRAZO,MONTH($B173)=5),PGBL_BENEFICIO,0))</f>
        <v>0</v>
      </c>
      <c r="W173" s="180" t="n">
        <f aca="false">V173*$C$24</f>
        <v>0</v>
      </c>
      <c r="X173" s="180" t="n">
        <f aca="false">U173*$C$19</f>
        <v>2960.06513838598</v>
      </c>
      <c r="Y173" s="180" t="n">
        <f aca="false">U173*$C$22</f>
        <v>60.4794109554638</v>
      </c>
      <c r="Z173" s="180" t="n">
        <f aca="false">$C$23*MAX(0,X173-U173*$C$18)</f>
        <v>0</v>
      </c>
      <c r="AA173" s="180" t="n">
        <f aca="false">IF(AND($C$27=1,OR(MONTH($B173)=5,MONTH($B173)=11)),MAX(0,$C$28*MAX(0,(U173+X173-Y173-Z173+V173-W173)+AD172-AC173)-AD172),0)</f>
        <v>0</v>
      </c>
      <c r="AB173" s="181" t="n">
        <f aca="false">U173+X173-Y173-Z173+V173-W173-AA173</f>
        <v>365776.051460213</v>
      </c>
      <c r="AC173" s="180" t="n">
        <f aca="false">AC172+V173-W173</f>
        <v>150000</v>
      </c>
      <c r="AD173" s="180" t="n">
        <f aca="false">AD172+AA173</f>
        <v>0</v>
      </c>
      <c r="AE173" s="180" t="n">
        <f aca="false">AB173+AD173-AC173</f>
        <v>215776.051460213</v>
      </c>
      <c r="AF173" s="180" t="n">
        <f aca="false">MAX(0,IFERROR(INDEX(TAB_IR,MATCH($C173,TAB_IR_DIAS,1),MATCH($C$8,TAB_IR_REGIMES,0)),0)*IF($C$26=2,AB173,MAX(0,AE173))-AD173)</f>
        <v>32366.407719032</v>
      </c>
      <c r="AG173" s="181" t="n">
        <f aca="false">MAX(0,AB173-AF173-AB173*$C$25)</f>
        <v>333409.643741181</v>
      </c>
      <c r="AH173" s="180" t="n">
        <f aca="false">AG173/$D173</f>
        <v>231206.651513441</v>
      </c>
      <c r="AJ173" s="180" t="n">
        <f aca="false">AQ172</f>
        <v>323663.782787627</v>
      </c>
      <c r="AK173" s="180" t="n">
        <f aca="false">IF($D$9=0,0,IF($A173&gt;IN_PRAZO,0,IF(APORTE_CORRIGIDO="Sim",IN_APORTE*$D173,IN_APORTE))+IF(AND($D$35=1,PGBL_REINVESTE="Sim",$A173&gt;=13,$A173&lt;=IN_PRAZO,MONTH($B173)=5),PGBL_BENEFICIO,0))</f>
        <v>0</v>
      </c>
      <c r="AL173" s="180" t="n">
        <f aca="false">AK173*$D$24</f>
        <v>0</v>
      </c>
      <c r="AM173" s="180" t="n">
        <f aca="false">AJ173*$D$19</f>
        <v>2909.31568938807</v>
      </c>
      <c r="AN173" s="180" t="n">
        <f aca="false">AJ173*$D$22</f>
        <v>269.719818989689</v>
      </c>
      <c r="AO173" s="180" t="n">
        <f aca="false">$D$23*MAX(0,AM173-AJ173*$D$18)</f>
        <v>0</v>
      </c>
      <c r="AP173" s="180" t="n">
        <f aca="false">IF(AND($D$27=1,OR(MONTH($B173)=5,MONTH($B173)=11)),MAX(0,$D$28*MAX(0,(AJ173+AM173-AN173-AO173+AK173-AL173)+AS172-AR173)-AS172),0)</f>
        <v>0</v>
      </c>
      <c r="AQ173" s="181" t="n">
        <f aca="false">AJ173+AM173-AN173-AO173+AK173-AL173-AP173</f>
        <v>326303.378658025</v>
      </c>
      <c r="AR173" s="180" t="n">
        <f aca="false">AR172+AK173-AL173</f>
        <v>150000</v>
      </c>
      <c r="AS173" s="180" t="n">
        <f aca="false">AS172+AP173</f>
        <v>30646.5499036989</v>
      </c>
      <c r="AT173" s="180" t="n">
        <f aca="false">AQ173+AS173-AR173</f>
        <v>206949.928561724</v>
      </c>
      <c r="AU173" s="180" t="n">
        <f aca="false">MAX(0,IFERROR(INDEX(TAB_IR,MATCH($C173,TAB_IR_DIAS,1),MATCH($D$8,TAB_IR_REGIMES,0)),0)*IF($D$26=2,AQ173,MAX(0,AT173))-AS173)</f>
        <v>395.939380559757</v>
      </c>
      <c r="AV173" s="181" t="n">
        <f aca="false">MAX(0,AQ173-AU173-AQ173*$D$25)</f>
        <v>325907.439277466</v>
      </c>
      <c r="AW173" s="180" t="n">
        <f aca="false">AV173/$D173</f>
        <v>226004.163806243</v>
      </c>
      <c r="AY173" s="180" t="n">
        <f aca="false">BF172</f>
        <v>385450.354139241</v>
      </c>
      <c r="AZ173" s="180" t="n">
        <f aca="false">IF($E$9=0,0,IF($A173&gt;IN_PRAZO,0,IF(APORTE_CORRIGIDO="Sim",IN_APORTE*$D173,IN_APORTE))+IF(AND($E$35=1,PGBL_REINVESTE="Sim",$A173&gt;=13,$A173&lt;=IN_PRAZO,MONTH($B173)=5),PGBL_BENEFICIO,0))</f>
        <v>0</v>
      </c>
      <c r="BA173" s="180" t="n">
        <f aca="false">AZ173*$E$24</f>
        <v>0</v>
      </c>
      <c r="BB173" s="180" t="n">
        <f aca="false">AY173*$E$19</f>
        <v>3773.07536182479</v>
      </c>
      <c r="BC173" s="180" t="n">
        <f aca="false">AY173*$E$22</f>
        <v>481.812942674051</v>
      </c>
      <c r="BD173" s="180" t="n">
        <f aca="false">$E$23*MAX(0,BB173-AY173*$E$18)</f>
        <v>0</v>
      </c>
      <c r="BE173" s="180" t="n">
        <f aca="false">IF(AND($E$27=1,OR(MONTH($B173)=5,MONTH($B173)=11)),MAX(0,$E$28*MAX(0,(AY173+BB173-BC173-BD173+AZ173-BA173)+BH172-BG173)-BH172),0)</f>
        <v>0</v>
      </c>
      <c r="BF173" s="181" t="n">
        <f aca="false">AY173+BB173-BC173-BD173+AZ173-BA173-BE173</f>
        <v>388741.616558391</v>
      </c>
      <c r="BG173" s="180" t="n">
        <f aca="false">BG172+AZ173-BA173</f>
        <v>150000</v>
      </c>
      <c r="BH173" s="180" t="n">
        <f aca="false">BH172+BE173</f>
        <v>0</v>
      </c>
      <c r="BI173" s="180" t="n">
        <f aca="false">BF173+BH173-BG173</f>
        <v>238741.616558391</v>
      </c>
      <c r="BJ173" s="180" t="n">
        <f aca="false">MAX(0,IFERROR(INDEX(TAB_IR,MATCH($C173,TAB_IR_DIAS,1),MATCH($E$8,TAB_IR_REGIMES,0)),0)*IF($E$26=2,BF173,MAX(0,BI173))-BH173)</f>
        <v>35811.2424837587</v>
      </c>
      <c r="BK173" s="181" t="n">
        <f aca="false">MAX(0,BF173-BJ173-BF173*$E$25)</f>
        <v>352930.374074633</v>
      </c>
      <c r="BL173" s="180" t="n">
        <f aca="false">BK173/$D173</f>
        <v>244743.520587923</v>
      </c>
      <c r="BN173" s="180" t="n">
        <f aca="false">BU172</f>
        <v>385450.354139241</v>
      </c>
      <c r="BO173" s="180" t="n">
        <f aca="false">IF($F$9=0,0,IF($A173&gt;IN_PRAZO,0,IF(APORTE_CORRIGIDO="Sim",IN_APORTE*$D173,IN_APORTE))+IF(AND($F$35=1,PGBL_REINVESTE="Sim",$A173&gt;=13,$A173&lt;=IN_PRAZO,MONTH($B173)=5),PGBL_BENEFICIO,0))</f>
        <v>0</v>
      </c>
      <c r="BP173" s="180" t="n">
        <f aca="false">BO173*$F$24</f>
        <v>0</v>
      </c>
      <c r="BQ173" s="180" t="n">
        <f aca="false">BN173*$F$19</f>
        <v>3773.07536182479</v>
      </c>
      <c r="BR173" s="180" t="n">
        <f aca="false">BN173*$F$22</f>
        <v>481.812942674051</v>
      </c>
      <c r="BS173" s="180" t="n">
        <f aca="false">$F$23*MAX(0,BQ173-BN173*$F$18)</f>
        <v>0</v>
      </c>
      <c r="BT173" s="180" t="n">
        <f aca="false">IF(AND($F$27=1,OR(MONTH($B173)=5,MONTH($B173)=11)),MAX(0,$F$28*MAX(0,(BN173+BQ173-BR173-BS173+BO173-BP173)+BW172-BV173)-BW172),0)</f>
        <v>0</v>
      </c>
      <c r="BU173" s="181" t="n">
        <f aca="false">BN173+BQ173-BR173-BS173+BO173-BP173-BT173</f>
        <v>388741.616558391</v>
      </c>
      <c r="BV173" s="180" t="n">
        <f aca="false">BV172+BO173-BP173</f>
        <v>150000</v>
      </c>
      <c r="BW173" s="180" t="n">
        <f aca="false">BW172+BT173</f>
        <v>0</v>
      </c>
      <c r="BX173" s="180" t="n">
        <f aca="false">BU173+BW173-BV173</f>
        <v>238741.616558391</v>
      </c>
      <c r="BY173" s="180" t="n">
        <f aca="false">MAX(0,IFERROR(INDEX(TAB_IR,MATCH($C173,TAB_IR_DIAS,1),MATCH($F$8,TAB_IR_REGIMES,0)),0)*IF($F$26=2,BU173,MAX(0,BX173))-BW173)</f>
        <v>58311.2424837587</v>
      </c>
      <c r="BZ173" s="181" t="n">
        <f aca="false">MAX(0,BU173-BY173-BU173*$F$25)</f>
        <v>330430.374074633</v>
      </c>
      <c r="CA173" s="180" t="n">
        <f aca="false">BZ173/$D173</f>
        <v>229140.643596487</v>
      </c>
      <c r="CC173" s="180" t="n">
        <f aca="false">CJ172</f>
        <v>299266.384194034</v>
      </c>
      <c r="CD173" s="180" t="n">
        <f aca="false">IF($G$9=0,0,IF($A173&gt;IN_PRAZO,0,IF(APORTE_CORRIGIDO="Sim",IN_APORTE*$D173,IN_APORTE))+IF(AND($G$35=1,PGBL_REINVESTE="Sim",$A173&gt;=13,$A173&lt;=IN_PRAZO,MONTH($B173)=5),PGBL_BENEFICIO,0))</f>
        <v>0</v>
      </c>
      <c r="CE173" s="180" t="n">
        <f aca="false">CD173*$G$24</f>
        <v>0</v>
      </c>
      <c r="CF173" s="180" t="n">
        <f aca="false">CC173*$G$19</f>
        <v>2441.18336292415</v>
      </c>
      <c r="CG173" s="180" t="n">
        <f aca="false">CC173*$G$22</f>
        <v>249.388653495028</v>
      </c>
      <c r="CH173" s="180" t="n">
        <f aca="false">$G$23*MAX(0,CF173-CC173*$G$18)</f>
        <v>0</v>
      </c>
      <c r="CI173" s="180" t="n">
        <f aca="false">IF(AND($G$27=1,OR(MONTH($B173)=5,MONTH($B173)=11)),MAX(0,$G$28*MAX(0,(CC173+CF173-CG173-CH173+CD173-CE173)+CL172-CK173)-CL172),0)</f>
        <v>0</v>
      </c>
      <c r="CJ173" s="181" t="n">
        <f aca="false">CC173+CF173-CG173-CH173+CD173-CE173-CI173</f>
        <v>301458.178903463</v>
      </c>
      <c r="CK173" s="180" t="n">
        <f aca="false">CK172+CD173-CE173</f>
        <v>150000</v>
      </c>
      <c r="CL173" s="180" t="n">
        <f aca="false">CL172+CI173</f>
        <v>26341.1266224765</v>
      </c>
      <c r="CM173" s="180" t="n">
        <f aca="false">CJ173+CL173-CK173</f>
        <v>177799.305525939</v>
      </c>
      <c r="CN173" s="180" t="n">
        <f aca="false">MAX(0,IFERROR(INDEX(TAB_IR,MATCH($C173,TAB_IR_DIAS,1),MATCH($G$8,TAB_IR_REGIMES,0)),0)*IF($G$26=2,CJ173,MAX(0,CM173))-CL173)</f>
        <v>328.769206414374</v>
      </c>
      <c r="CO173" s="181" t="n">
        <f aca="false">MAX(0,CJ173-CN173-CJ173*$G$25)</f>
        <v>301129.409697049</v>
      </c>
      <c r="CP173" s="180" t="n">
        <f aca="false">CO173/$D173</f>
        <v>208821.561689201</v>
      </c>
    </row>
    <row r="174" customFormat="false" ht="12" hidden="false" customHeight="true" outlineLevel="0" collapsed="false">
      <c r="A174" s="177" t="n">
        <v>113</v>
      </c>
      <c r="B174" s="178" t="n">
        <f aca="false">EDATE(DATA_INICIO,$A174)</f>
        <v>49697</v>
      </c>
      <c r="C174" s="177" t="n">
        <f aca="false">$A174*30</f>
        <v>3390</v>
      </c>
      <c r="D174" s="179" t="n">
        <f aca="false">(1+IPCA_CENARIO)^($A174/12)</f>
        <v>1.44676261675897</v>
      </c>
      <c r="F174" s="180" t="n">
        <f aca="false">M173</f>
        <v>424060.848797</v>
      </c>
      <c r="G174" s="180" t="n">
        <f aca="false">IF($B$9=0,0,IF($A174&gt;IN_PRAZO,0,IF(APORTE_CORRIGIDO="Sim",IN_APORTE*$D174,IN_APORTE))+IF(AND($B$35=1,PGBL_REINVESTE="Sim",$A174&gt;=13,$A174&lt;=IN_PRAZO,MONTH($B174)=5),PGBL_BENEFICIO,0))</f>
        <v>0</v>
      </c>
      <c r="H174" s="180" t="n">
        <f aca="false">G174*$B$24</f>
        <v>0</v>
      </c>
      <c r="I174" s="180" t="n">
        <f aca="false">F174*$B$19</f>
        <v>4023.82558589826</v>
      </c>
      <c r="J174" s="180" t="n">
        <f aca="false">F174*$B$22</f>
        <v>70.6768081328333</v>
      </c>
      <c r="K174" s="180" t="n">
        <f aca="false">$B$23*MAX(0,I174-F174*$B$18)</f>
        <v>0</v>
      </c>
      <c r="L174" s="180" t="n">
        <f aca="false">IF(AND($B$27=1,OR(MONTH($B174)=5,MONTH($B174)=11)),MAX(0,$B$28*MAX(0,(F174+I174-J174-K174+G174-H174)+O173-N174)-O173),0)</f>
        <v>0</v>
      </c>
      <c r="M174" s="181" t="n">
        <f aca="false">F174+I174-J174-K174+G174-H174-L174</f>
        <v>428013.997574765</v>
      </c>
      <c r="N174" s="180" t="n">
        <f aca="false">N173+G174-H174</f>
        <v>150000</v>
      </c>
      <c r="O174" s="180" t="n">
        <f aca="false">O173+L174</f>
        <v>0</v>
      </c>
      <c r="P174" s="180" t="n">
        <f aca="false">M174+O174-N174</f>
        <v>278013.997574765</v>
      </c>
      <c r="Q174" s="180" t="n">
        <f aca="false">MAX(0,IFERROR(INDEX(TAB_IR,MATCH($C174,TAB_IR_DIAS,1),MATCH($B$8,TAB_IR_REGIMES,0)),0)*IF($B$26=2,M174,MAX(0,P174))-O174)</f>
        <v>41702.0996362148</v>
      </c>
      <c r="R174" s="181" t="n">
        <f aca="false">MAX(0,M174-Q174-M174*$B$25)</f>
        <v>386311.89793855</v>
      </c>
      <c r="S174" s="180" t="n">
        <f aca="false">R174/$D174</f>
        <v>267018.164185058</v>
      </c>
      <c r="U174" s="180" t="n">
        <f aca="false">AB173</f>
        <v>365776.051460213</v>
      </c>
      <c r="V174" s="180" t="n">
        <f aca="false">IF($C$9=0,0,IF($A174&gt;IN_PRAZO,0,IF(APORTE_CORRIGIDO="Sim",IN_APORTE*$D174,IN_APORTE))+IF(AND($C$35=1,PGBL_REINVESTE="Sim",$A174&gt;=13,$A174&lt;=IN_PRAZO,MONTH($B174)=5),PGBL_BENEFICIO,0))</f>
        <v>0</v>
      </c>
      <c r="W174" s="180" t="n">
        <f aca="false">V174*$C$24</f>
        <v>0</v>
      </c>
      <c r="X174" s="180" t="n">
        <f aca="false">U174*$C$19</f>
        <v>2983.7177128515</v>
      </c>
      <c r="Y174" s="180" t="n">
        <f aca="false">U174*$C$22</f>
        <v>60.9626752433689</v>
      </c>
      <c r="Z174" s="180" t="n">
        <f aca="false">$C$23*MAX(0,X174-U174*$C$18)</f>
        <v>0</v>
      </c>
      <c r="AA174" s="180" t="n">
        <f aca="false">IF(AND($C$27=1,OR(MONTH($B174)=5,MONTH($B174)=11)),MAX(0,$C$28*MAX(0,(U174+X174-Y174-Z174+V174-W174)+AD173-AC174)-AD173),0)</f>
        <v>0</v>
      </c>
      <c r="AB174" s="181" t="n">
        <f aca="false">U174+X174-Y174-Z174+V174-W174-AA174</f>
        <v>368698.806497822</v>
      </c>
      <c r="AC174" s="180" t="n">
        <f aca="false">AC173+V174-W174</f>
        <v>150000</v>
      </c>
      <c r="AD174" s="180" t="n">
        <f aca="false">AD173+AA174</f>
        <v>0</v>
      </c>
      <c r="AE174" s="180" t="n">
        <f aca="false">AB174+AD174-AC174</f>
        <v>218698.806497822</v>
      </c>
      <c r="AF174" s="180" t="n">
        <f aca="false">MAX(0,IFERROR(INDEX(TAB_IR,MATCH($C174,TAB_IR_DIAS,1),MATCH($C$8,TAB_IR_REGIMES,0)),0)*IF($C$26=2,AB174,MAX(0,AE174))-AD174)</f>
        <v>32804.8209746732</v>
      </c>
      <c r="AG174" s="181" t="n">
        <f aca="false">MAX(0,AB174-AF174-AB174*$C$25)</f>
        <v>335893.985523148</v>
      </c>
      <c r="AH174" s="180" t="n">
        <f aca="false">AG174/$D174</f>
        <v>232169.383997228</v>
      </c>
      <c r="AJ174" s="180" t="n">
        <f aca="false">AQ173</f>
        <v>326303.378658025</v>
      </c>
      <c r="AK174" s="180" t="n">
        <f aca="false">IF($D$9=0,0,IF($A174&gt;IN_PRAZO,0,IF(APORTE_CORRIGIDO="Sim",IN_APORTE*$D174,IN_APORTE))+IF(AND($D$35=1,PGBL_REINVESTE="Sim",$A174&gt;=13,$A174&lt;=IN_PRAZO,MONTH($B174)=5),PGBL_BENEFICIO,0))</f>
        <v>0</v>
      </c>
      <c r="AL174" s="180" t="n">
        <f aca="false">AK174*$D$24</f>
        <v>0</v>
      </c>
      <c r="AM174" s="180" t="n">
        <f aca="false">AJ174*$D$19</f>
        <v>2933.04221700031</v>
      </c>
      <c r="AN174" s="180" t="n">
        <f aca="false">AJ174*$D$22</f>
        <v>271.919482215021</v>
      </c>
      <c r="AO174" s="180" t="n">
        <f aca="false">$D$23*MAX(0,AM174-AJ174*$D$18)</f>
        <v>0</v>
      </c>
      <c r="AP174" s="180" t="n">
        <f aca="false">IF(AND($D$27=1,OR(MONTH($B174)=5,MONTH($B174)=11)),MAX(0,$D$28*MAX(0,(AJ174+AM174-AN174-AO174+AK174-AL174)+AS173-AR174)-AS173),0)</f>
        <v>0</v>
      </c>
      <c r="AQ174" s="181" t="n">
        <f aca="false">AJ174+AM174-AN174-AO174+AK174-AL174-AP174</f>
        <v>328964.501392811</v>
      </c>
      <c r="AR174" s="180" t="n">
        <f aca="false">AR173+AK174-AL174</f>
        <v>150000</v>
      </c>
      <c r="AS174" s="180" t="n">
        <f aca="false">AS173+AP174</f>
        <v>30646.5499036989</v>
      </c>
      <c r="AT174" s="180" t="n">
        <f aca="false">AQ174+AS174-AR174</f>
        <v>209611.05129651</v>
      </c>
      <c r="AU174" s="180" t="n">
        <f aca="false">MAX(0,IFERROR(INDEX(TAB_IR,MATCH($C174,TAB_IR_DIAS,1),MATCH($D$8,TAB_IR_REGIMES,0)),0)*IF($D$26=2,AQ174,MAX(0,AT174))-AS174)</f>
        <v>795.107790777554</v>
      </c>
      <c r="AV174" s="181" t="n">
        <f aca="false">MAX(0,AQ174-AU174-AQ174*$D$25)</f>
        <v>328169.393602033</v>
      </c>
      <c r="AW174" s="180" t="n">
        <f aca="false">AV174/$D174</f>
        <v>226830.158452114</v>
      </c>
      <c r="AY174" s="180" t="n">
        <f aca="false">BF173</f>
        <v>388741.616558391</v>
      </c>
      <c r="AZ174" s="180" t="n">
        <f aca="false">IF($E$9=0,0,IF($A174&gt;IN_PRAZO,0,IF(APORTE_CORRIGIDO="Sim",IN_APORTE*$D174,IN_APORTE))+IF(AND($E$35=1,PGBL_REINVESTE="Sim",$A174&gt;=13,$A174&lt;=IN_PRAZO,MONTH($B174)=5),PGBL_BENEFICIO,0))</f>
        <v>0</v>
      </c>
      <c r="BA174" s="180" t="n">
        <f aca="false">AZ174*$E$24</f>
        <v>0</v>
      </c>
      <c r="BB174" s="180" t="n">
        <f aca="false">AY174*$E$19</f>
        <v>3805.29269152663</v>
      </c>
      <c r="BC174" s="180" t="n">
        <f aca="false">AY174*$E$22</f>
        <v>485.927020697989</v>
      </c>
      <c r="BD174" s="180" t="n">
        <f aca="false">$E$23*MAX(0,BB174-AY174*$E$18)</f>
        <v>0</v>
      </c>
      <c r="BE174" s="180" t="n">
        <f aca="false">IF(AND($E$27=1,OR(MONTH($B174)=5,MONTH($B174)=11)),MAX(0,$E$28*MAX(0,(AY174+BB174-BC174-BD174+AZ174-BA174)+BH173-BG174)-BH173),0)</f>
        <v>0</v>
      </c>
      <c r="BF174" s="181" t="n">
        <f aca="false">AY174+BB174-BC174-BD174+AZ174-BA174-BE174</f>
        <v>392060.98222922</v>
      </c>
      <c r="BG174" s="180" t="n">
        <f aca="false">BG173+AZ174-BA174</f>
        <v>150000</v>
      </c>
      <c r="BH174" s="180" t="n">
        <f aca="false">BH173+BE174</f>
        <v>0</v>
      </c>
      <c r="BI174" s="180" t="n">
        <f aca="false">BF174+BH174-BG174</f>
        <v>242060.98222922</v>
      </c>
      <c r="BJ174" s="180" t="n">
        <f aca="false">MAX(0,IFERROR(INDEX(TAB_IR,MATCH($C174,TAB_IR_DIAS,1),MATCH($E$8,TAB_IR_REGIMES,0)),0)*IF($E$26=2,BF174,MAX(0,BI174))-BH174)</f>
        <v>36309.147334383</v>
      </c>
      <c r="BK174" s="181" t="n">
        <f aca="false">MAX(0,BF174-BJ174-BF174*$E$25)</f>
        <v>355751.834894837</v>
      </c>
      <c r="BL174" s="180" t="n">
        <f aca="false">BK174/$D174</f>
        <v>245895.097629624</v>
      </c>
      <c r="BN174" s="180" t="n">
        <f aca="false">BU173</f>
        <v>388741.616558391</v>
      </c>
      <c r="BO174" s="180" t="n">
        <f aca="false">IF($F$9=0,0,IF($A174&gt;IN_PRAZO,0,IF(APORTE_CORRIGIDO="Sim",IN_APORTE*$D174,IN_APORTE))+IF(AND($F$35=1,PGBL_REINVESTE="Sim",$A174&gt;=13,$A174&lt;=IN_PRAZO,MONTH($B174)=5),PGBL_BENEFICIO,0))</f>
        <v>0</v>
      </c>
      <c r="BP174" s="180" t="n">
        <f aca="false">BO174*$F$24</f>
        <v>0</v>
      </c>
      <c r="BQ174" s="180" t="n">
        <f aca="false">BN174*$F$19</f>
        <v>3805.29269152663</v>
      </c>
      <c r="BR174" s="180" t="n">
        <f aca="false">BN174*$F$22</f>
        <v>485.927020697989</v>
      </c>
      <c r="BS174" s="180" t="n">
        <f aca="false">$F$23*MAX(0,BQ174-BN174*$F$18)</f>
        <v>0</v>
      </c>
      <c r="BT174" s="180" t="n">
        <f aca="false">IF(AND($F$27=1,OR(MONTH($B174)=5,MONTH($B174)=11)),MAX(0,$F$28*MAX(0,(BN174+BQ174-BR174-BS174+BO174-BP174)+BW173-BV174)-BW173),0)</f>
        <v>0</v>
      </c>
      <c r="BU174" s="181" t="n">
        <f aca="false">BN174+BQ174-BR174-BS174+BO174-BP174-BT174</f>
        <v>392060.98222922</v>
      </c>
      <c r="BV174" s="180" t="n">
        <f aca="false">BV173+BO174-BP174</f>
        <v>150000</v>
      </c>
      <c r="BW174" s="180" t="n">
        <f aca="false">BW173+BT174</f>
        <v>0</v>
      </c>
      <c r="BX174" s="180" t="n">
        <f aca="false">BU174+BW174-BV174</f>
        <v>242060.98222922</v>
      </c>
      <c r="BY174" s="180" t="n">
        <f aca="false">MAX(0,IFERROR(INDEX(TAB_IR,MATCH($C174,TAB_IR_DIAS,1),MATCH($F$8,TAB_IR_REGIMES,0)),0)*IF($F$26=2,BU174,MAX(0,BX174))-BW174)</f>
        <v>58809.147334383</v>
      </c>
      <c r="BZ174" s="181" t="n">
        <f aca="false">MAX(0,BU174-BY174-BU174*$F$25)</f>
        <v>333251.834894837</v>
      </c>
      <c r="CA174" s="180" t="n">
        <f aca="false">BZ174/$D174</f>
        <v>230343.133721126</v>
      </c>
      <c r="CC174" s="180" t="n">
        <f aca="false">CJ173</f>
        <v>301458.178903463</v>
      </c>
      <c r="CD174" s="180" t="n">
        <f aca="false">IF($G$9=0,0,IF($A174&gt;IN_PRAZO,0,IF(APORTE_CORRIGIDO="Sim",IN_APORTE*$D174,IN_APORTE))+IF(AND($G$35=1,PGBL_REINVESTE="Sim",$A174&gt;=13,$A174&lt;=IN_PRAZO,MONTH($B174)=5),PGBL_BENEFICIO,0))</f>
        <v>0</v>
      </c>
      <c r="CE174" s="180" t="n">
        <f aca="false">CD174*$G$24</f>
        <v>0</v>
      </c>
      <c r="CF174" s="180" t="n">
        <f aca="false">CC174*$G$19</f>
        <v>2459.06232649038</v>
      </c>
      <c r="CG174" s="180" t="n">
        <f aca="false">CC174*$G$22</f>
        <v>251.215149086219</v>
      </c>
      <c r="CH174" s="180" t="n">
        <f aca="false">$G$23*MAX(0,CF174-CC174*$G$18)</f>
        <v>0</v>
      </c>
      <c r="CI174" s="180" t="n">
        <f aca="false">IF(AND($G$27=1,OR(MONTH($B174)=5,MONTH($B174)=11)),MAX(0,$G$28*MAX(0,(CC174+CF174-CG174-CH174+CD174-CE174)+CL173-CK174)-CL173),0)</f>
        <v>0</v>
      </c>
      <c r="CJ174" s="181" t="n">
        <f aca="false">CC174+CF174-CG174-CH174+CD174-CE174-CI174</f>
        <v>303666.026080867</v>
      </c>
      <c r="CK174" s="180" t="n">
        <f aca="false">CK173+CD174-CE174</f>
        <v>150000</v>
      </c>
      <c r="CL174" s="180" t="n">
        <f aca="false">CL173+CI174</f>
        <v>26341.1266224765</v>
      </c>
      <c r="CM174" s="180" t="n">
        <f aca="false">CJ174+CL174-CK174</f>
        <v>180007.152703344</v>
      </c>
      <c r="CN174" s="180" t="n">
        <f aca="false">MAX(0,IFERROR(INDEX(TAB_IR,MATCH($C174,TAB_IR_DIAS,1),MATCH($G$8,TAB_IR_REGIMES,0)),0)*IF($G$26=2,CJ174,MAX(0,CM174))-CL174)</f>
        <v>659.946283024994</v>
      </c>
      <c r="CO174" s="181" t="n">
        <f aca="false">MAX(0,CJ174-CN174-CJ174*$G$25)</f>
        <v>303006.079797842</v>
      </c>
      <c r="CP174" s="180" t="n">
        <f aca="false">CO174/$D174</f>
        <v>209437.316314292</v>
      </c>
    </row>
    <row r="175" customFormat="false" ht="12" hidden="false" customHeight="true" outlineLevel="0" collapsed="false">
      <c r="A175" s="177" t="n">
        <v>114</v>
      </c>
      <c r="B175" s="178" t="n">
        <f aca="false">EDATE(DATA_INICIO,$A175)</f>
        <v>49728</v>
      </c>
      <c r="C175" s="177" t="n">
        <f aca="false">$A175*30</f>
        <v>3420</v>
      </c>
      <c r="D175" s="179" t="n">
        <f aca="false">(1+IPCA_CENARIO)^($A175/12)</f>
        <v>1.45149894109285</v>
      </c>
      <c r="F175" s="180" t="n">
        <f aca="false">M174</f>
        <v>428013.997574765</v>
      </c>
      <c r="G175" s="180" t="n">
        <f aca="false">IF($B$9=0,0,IF($A175&gt;IN_PRAZO,0,IF(APORTE_CORRIGIDO="Sim",IN_APORTE*$D175,IN_APORTE))+IF(AND($B$35=1,PGBL_REINVESTE="Sim",$A175&gt;=13,$A175&lt;=IN_PRAZO,MONTH($B175)=5),PGBL_BENEFICIO,0))</f>
        <v>0</v>
      </c>
      <c r="H175" s="180" t="n">
        <f aca="false">G175*$B$24</f>
        <v>0</v>
      </c>
      <c r="I175" s="180" t="n">
        <f aca="false">F175*$B$19</f>
        <v>4061.33619609008</v>
      </c>
      <c r="J175" s="180" t="n">
        <f aca="false">F175*$B$22</f>
        <v>71.3356662624609</v>
      </c>
      <c r="K175" s="180" t="n">
        <f aca="false">$B$23*MAX(0,I175-F175*$B$18)</f>
        <v>0</v>
      </c>
      <c r="L175" s="180" t="n">
        <f aca="false">IF(AND($B$27=1,OR(MONTH($B175)=5,MONTH($B175)=11)),MAX(0,$B$28*MAX(0,(F175+I175-J175-K175+G175-H175)+O174-N175)-O174),0)</f>
        <v>0</v>
      </c>
      <c r="M175" s="181" t="n">
        <f aca="false">F175+I175-J175-K175+G175-H175-L175</f>
        <v>432003.998104593</v>
      </c>
      <c r="N175" s="180" t="n">
        <f aca="false">N174+G175-H175</f>
        <v>150000</v>
      </c>
      <c r="O175" s="180" t="n">
        <f aca="false">O174+L175</f>
        <v>0</v>
      </c>
      <c r="P175" s="180" t="n">
        <f aca="false">M175+O175-N175</f>
        <v>282003.998104593</v>
      </c>
      <c r="Q175" s="180" t="n">
        <f aca="false">MAX(0,IFERROR(INDEX(TAB_IR,MATCH($C175,TAB_IR_DIAS,1),MATCH($B$8,TAB_IR_REGIMES,0)),0)*IF($B$26=2,M175,MAX(0,P175))-O175)</f>
        <v>42300.5997156889</v>
      </c>
      <c r="R175" s="181" t="n">
        <f aca="false">MAX(0,M175-Q175-M175*$B$25)</f>
        <v>389703.398388904</v>
      </c>
      <c r="S175" s="180" t="n">
        <f aca="false">R175/$D175</f>
        <v>268483.419006487</v>
      </c>
      <c r="U175" s="180" t="n">
        <f aca="false">AB174</f>
        <v>368698.806497822</v>
      </c>
      <c r="V175" s="180" t="n">
        <f aca="false">IF($C$9=0,0,IF($A175&gt;IN_PRAZO,0,IF(APORTE_CORRIGIDO="Sim",IN_APORTE*$D175,IN_APORTE))+IF(AND($C$35=1,PGBL_REINVESTE="Sim",$A175&gt;=13,$A175&lt;=IN_PRAZO,MONTH($B175)=5),PGBL_BENEFICIO,0))</f>
        <v>0</v>
      </c>
      <c r="W175" s="180" t="n">
        <f aca="false">V175*$C$24</f>
        <v>0</v>
      </c>
      <c r="X175" s="180" t="n">
        <f aca="false">U175*$C$19</f>
        <v>3007.55928460346</v>
      </c>
      <c r="Y175" s="180" t="n">
        <f aca="false">U175*$C$22</f>
        <v>61.4498010829703</v>
      </c>
      <c r="Z175" s="180" t="n">
        <f aca="false">$C$23*MAX(0,X175-U175*$C$18)</f>
        <v>0</v>
      </c>
      <c r="AA175" s="180" t="n">
        <f aca="false">IF(AND($C$27=1,OR(MONTH($B175)=5,MONTH($B175)=11)),MAX(0,$C$28*MAX(0,(U175+X175-Y175-Z175+V175-W175)+AD174-AC175)-AD174),0)</f>
        <v>0</v>
      </c>
      <c r="AB175" s="181" t="n">
        <f aca="false">U175+X175-Y175-Z175+V175-W175-AA175</f>
        <v>371644.915981342</v>
      </c>
      <c r="AC175" s="180" t="n">
        <f aca="false">AC174+V175-W175</f>
        <v>150000</v>
      </c>
      <c r="AD175" s="180" t="n">
        <f aca="false">AD174+AA175</f>
        <v>0</v>
      </c>
      <c r="AE175" s="180" t="n">
        <f aca="false">AB175+AD175-AC175</f>
        <v>221644.915981342</v>
      </c>
      <c r="AF175" s="180" t="n">
        <f aca="false">MAX(0,IFERROR(INDEX(TAB_IR,MATCH($C175,TAB_IR_DIAS,1),MATCH($C$8,TAB_IR_REGIMES,0)),0)*IF($C$26=2,AB175,MAX(0,AE175))-AD175)</f>
        <v>33246.7373972013</v>
      </c>
      <c r="AG175" s="181" t="n">
        <f aca="false">MAX(0,AB175-AF175-AB175*$C$25)</f>
        <v>338398.178584141</v>
      </c>
      <c r="AH175" s="180" t="n">
        <f aca="false">AG175/$D175</f>
        <v>233137.048194714</v>
      </c>
      <c r="AJ175" s="180" t="n">
        <f aca="false">AQ174</f>
        <v>328964.501392811</v>
      </c>
      <c r="AK175" s="180" t="n">
        <f aca="false">IF($D$9=0,0,IF($A175&gt;IN_PRAZO,0,IF(APORTE_CORRIGIDO="Sim",IN_APORTE*$D175,IN_APORTE))+IF(AND($D$35=1,PGBL_REINVESTE="Sim",$A175&gt;=13,$A175&lt;=IN_PRAZO,MONTH($B175)=5),PGBL_BENEFICIO,0))</f>
        <v>0</v>
      </c>
      <c r="AL175" s="180" t="n">
        <f aca="false">AK175*$D$24</f>
        <v>0</v>
      </c>
      <c r="AM175" s="180" t="n">
        <f aca="false">AJ175*$D$19</f>
        <v>2956.96224307495</v>
      </c>
      <c r="AN175" s="180" t="n">
        <f aca="false">AJ175*$D$22</f>
        <v>274.137084494009</v>
      </c>
      <c r="AO175" s="180" t="n">
        <f aca="false">$D$23*MAX(0,AM175-AJ175*$D$18)</f>
        <v>0</v>
      </c>
      <c r="AP175" s="180" t="n">
        <f aca="false">IF(AND($D$27=1,OR(MONTH($B175)=5,MONTH($B175)=11)),MAX(0,$D$28*MAX(0,(AJ175+AM175-AN175-AO175+AK175-AL175)+AS174-AR175)-AS174),0)</f>
        <v>0</v>
      </c>
      <c r="AQ175" s="181" t="n">
        <f aca="false">AJ175+AM175-AN175-AO175+AK175-AL175-AP175</f>
        <v>331647.326551392</v>
      </c>
      <c r="AR175" s="180" t="n">
        <f aca="false">AR174+AK175-AL175</f>
        <v>150000</v>
      </c>
      <c r="AS175" s="180" t="n">
        <f aca="false">AS174+AP175</f>
        <v>30646.5499036989</v>
      </c>
      <c r="AT175" s="180" t="n">
        <f aca="false">AQ175+AS175-AR175</f>
        <v>212293.87645509</v>
      </c>
      <c r="AU175" s="180" t="n">
        <f aca="false">MAX(0,IFERROR(INDEX(TAB_IR,MATCH($C175,TAB_IR_DIAS,1),MATCH($D$8,TAB_IR_REGIMES,0)),0)*IF($D$26=2,AQ175,MAX(0,AT175))-AS175)</f>
        <v>1197.5315645647</v>
      </c>
      <c r="AV175" s="181" t="n">
        <f aca="false">MAX(0,AQ175-AU175-AQ175*$D$25)</f>
        <v>330449.794986827</v>
      </c>
      <c r="AW175" s="180" t="n">
        <f aca="false">AV175/$D175</f>
        <v>227661.065145543</v>
      </c>
      <c r="AY175" s="180" t="n">
        <f aca="false">BF174</f>
        <v>392060.98222922</v>
      </c>
      <c r="AZ175" s="180" t="n">
        <f aca="false">IF($E$9=0,0,IF($A175&gt;IN_PRAZO,0,IF(APORTE_CORRIGIDO="Sim",IN_APORTE*$D175,IN_APORTE))+IF(AND($E$35=1,PGBL_REINVESTE="Sim",$A175&gt;=13,$A175&lt;=IN_PRAZO,MONTH($B175)=5),PGBL_BENEFICIO,0))</f>
        <v>0</v>
      </c>
      <c r="BA175" s="180" t="n">
        <f aca="false">AZ175*$E$24</f>
        <v>0</v>
      </c>
      <c r="BB175" s="180" t="n">
        <f aca="false">AY175*$E$19</f>
        <v>3837.78511680267</v>
      </c>
      <c r="BC175" s="180" t="n">
        <f aca="false">AY175*$E$22</f>
        <v>490.076227786525</v>
      </c>
      <c r="BD175" s="180" t="n">
        <f aca="false">$E$23*MAX(0,BB175-AY175*$E$18)</f>
        <v>0</v>
      </c>
      <c r="BE175" s="180" t="n">
        <f aca="false">IF(AND($E$27=1,OR(MONTH($B175)=5,MONTH($B175)=11)),MAX(0,$E$28*MAX(0,(AY175+BB175-BC175-BD175+AZ175-BA175)+BH174-BG175)-BH174),0)</f>
        <v>0</v>
      </c>
      <c r="BF175" s="181" t="n">
        <f aca="false">AY175+BB175-BC175-BD175+AZ175-BA175-BE175</f>
        <v>395408.691118236</v>
      </c>
      <c r="BG175" s="180" t="n">
        <f aca="false">BG174+AZ175-BA175</f>
        <v>150000</v>
      </c>
      <c r="BH175" s="180" t="n">
        <f aca="false">BH174+BE175</f>
        <v>0</v>
      </c>
      <c r="BI175" s="180" t="n">
        <f aca="false">BF175+BH175-BG175</f>
        <v>245408.691118236</v>
      </c>
      <c r="BJ175" s="180" t="n">
        <f aca="false">MAX(0,IFERROR(INDEX(TAB_IR,MATCH($C175,TAB_IR_DIAS,1),MATCH($E$8,TAB_IR_REGIMES,0)),0)*IF($E$26=2,BF175,MAX(0,BI175))-BH175)</f>
        <v>36811.3036677354</v>
      </c>
      <c r="BK175" s="181" t="n">
        <f aca="false">MAX(0,BF175-BJ175-BF175*$E$25)</f>
        <v>358597.387450501</v>
      </c>
      <c r="BL175" s="180" t="n">
        <f aca="false">BK175/$D175</f>
        <v>247053.151262038</v>
      </c>
      <c r="BN175" s="180" t="n">
        <f aca="false">BU174</f>
        <v>392060.98222922</v>
      </c>
      <c r="BO175" s="180" t="n">
        <f aca="false">IF($F$9=0,0,IF($A175&gt;IN_PRAZO,0,IF(APORTE_CORRIGIDO="Sim",IN_APORTE*$D175,IN_APORTE))+IF(AND($F$35=1,PGBL_REINVESTE="Sim",$A175&gt;=13,$A175&lt;=IN_PRAZO,MONTH($B175)=5),PGBL_BENEFICIO,0))</f>
        <v>0</v>
      </c>
      <c r="BP175" s="180" t="n">
        <f aca="false">BO175*$F$24</f>
        <v>0</v>
      </c>
      <c r="BQ175" s="180" t="n">
        <f aca="false">BN175*$F$19</f>
        <v>3837.78511680267</v>
      </c>
      <c r="BR175" s="180" t="n">
        <f aca="false">BN175*$F$22</f>
        <v>490.076227786525</v>
      </c>
      <c r="BS175" s="180" t="n">
        <f aca="false">$F$23*MAX(0,BQ175-BN175*$F$18)</f>
        <v>0</v>
      </c>
      <c r="BT175" s="180" t="n">
        <f aca="false">IF(AND($F$27=1,OR(MONTH($B175)=5,MONTH($B175)=11)),MAX(0,$F$28*MAX(0,(BN175+BQ175-BR175-BS175+BO175-BP175)+BW174-BV175)-BW174),0)</f>
        <v>0</v>
      </c>
      <c r="BU175" s="181" t="n">
        <f aca="false">BN175+BQ175-BR175-BS175+BO175-BP175-BT175</f>
        <v>395408.691118236</v>
      </c>
      <c r="BV175" s="180" t="n">
        <f aca="false">BV174+BO175-BP175</f>
        <v>150000</v>
      </c>
      <c r="BW175" s="180" t="n">
        <f aca="false">BW174+BT175</f>
        <v>0</v>
      </c>
      <c r="BX175" s="180" t="n">
        <f aca="false">BU175+BW175-BV175</f>
        <v>245408.691118236</v>
      </c>
      <c r="BY175" s="180" t="n">
        <f aca="false">MAX(0,IFERROR(INDEX(TAB_IR,MATCH($C175,TAB_IR_DIAS,1),MATCH($F$8,TAB_IR_REGIMES,0)),0)*IF($F$26=2,BU175,MAX(0,BX175))-BW175)</f>
        <v>59311.3036677354</v>
      </c>
      <c r="BZ175" s="181" t="n">
        <f aca="false">MAX(0,BU175-BY175-BU175*$F$25)</f>
        <v>336097.387450501</v>
      </c>
      <c r="CA175" s="180" t="n">
        <f aca="false">BZ175/$D175</f>
        <v>231551.934304167</v>
      </c>
      <c r="CC175" s="180" t="n">
        <f aca="false">CJ174</f>
        <v>303666.026080867</v>
      </c>
      <c r="CD175" s="180" t="n">
        <f aca="false">IF($G$9=0,0,IF($A175&gt;IN_PRAZO,0,IF(APORTE_CORRIGIDO="Sim",IN_APORTE*$D175,IN_APORTE))+IF(AND($G$35=1,PGBL_REINVESTE="Sim",$A175&gt;=13,$A175&lt;=IN_PRAZO,MONTH($B175)=5),PGBL_BENEFICIO,0))</f>
        <v>0</v>
      </c>
      <c r="CE175" s="180" t="n">
        <f aca="false">CD175*$G$24</f>
        <v>0</v>
      </c>
      <c r="CF175" s="180" t="n">
        <f aca="false">CC175*$G$19</f>
        <v>2477.07223365678</v>
      </c>
      <c r="CG175" s="180" t="n">
        <f aca="false">CC175*$G$22</f>
        <v>253.055021734056</v>
      </c>
      <c r="CH175" s="180" t="n">
        <f aca="false">$G$23*MAX(0,CF175-CC175*$G$18)</f>
        <v>0</v>
      </c>
      <c r="CI175" s="180" t="n">
        <f aca="false">IF(AND($G$27=1,OR(MONTH($B175)=5,MONTH($B175)=11)),MAX(0,$G$28*MAX(0,(CC175+CF175-CG175-CH175+CD175-CE175)+CL174-CK175)-CL174),0)</f>
        <v>0</v>
      </c>
      <c r="CJ175" s="181" t="n">
        <f aca="false">CC175+CF175-CG175-CH175+CD175-CE175-CI175</f>
        <v>305890.04329279</v>
      </c>
      <c r="CK175" s="180" t="n">
        <f aca="false">CK174+CD175-CE175</f>
        <v>150000</v>
      </c>
      <c r="CL175" s="180" t="n">
        <f aca="false">CL174+CI175</f>
        <v>26341.1266224765</v>
      </c>
      <c r="CM175" s="180" t="n">
        <f aca="false">CJ175+CL175-CK175</f>
        <v>182231.169915266</v>
      </c>
      <c r="CN175" s="180" t="n">
        <f aca="false">MAX(0,IFERROR(INDEX(TAB_IR,MATCH($C175,TAB_IR_DIAS,1),MATCH($G$8,TAB_IR_REGIMES,0)),0)*IF($G$26=2,CJ175,MAX(0,CM175))-CL175)</f>
        <v>993.548864813405</v>
      </c>
      <c r="CO175" s="181" t="n">
        <f aca="false">MAX(0,CJ175-CN175-CJ175*$G$25)</f>
        <v>304896.494427976</v>
      </c>
      <c r="CP175" s="180" t="n">
        <f aca="false">CO175/$D175</f>
        <v>210056.298214324</v>
      </c>
    </row>
    <row r="176" customFormat="false" ht="12" hidden="false" customHeight="true" outlineLevel="0" collapsed="false">
      <c r="A176" s="177" t="n">
        <v>115</v>
      </c>
      <c r="B176" s="178" t="n">
        <f aca="false">EDATE(DATA_INICIO,$A176)</f>
        <v>49757</v>
      </c>
      <c r="C176" s="177" t="n">
        <f aca="false">$A176*30</f>
        <v>3450</v>
      </c>
      <c r="D176" s="179" t="n">
        <f aca="false">(1+IPCA_CENARIO)^($A176/12)</f>
        <v>1.45625077092013</v>
      </c>
      <c r="F176" s="180" t="n">
        <f aca="false">M175</f>
        <v>432003.998104593</v>
      </c>
      <c r="G176" s="180" t="n">
        <f aca="false">IF($B$9=0,0,IF($A176&gt;IN_PRAZO,0,IF(APORTE_CORRIGIDO="Sim",IN_APORTE*$D176,IN_APORTE))+IF(AND($B$35=1,PGBL_REINVESTE="Sim",$A176&gt;=13,$A176&lt;=IN_PRAZO,MONTH($B176)=5),PGBL_BENEFICIO,0))</f>
        <v>0</v>
      </c>
      <c r="H176" s="180" t="n">
        <f aca="false">G176*$B$24</f>
        <v>0</v>
      </c>
      <c r="I176" s="180" t="n">
        <f aca="false">F176*$B$19</f>
        <v>4099.19648492649</v>
      </c>
      <c r="J176" s="180" t="n">
        <f aca="false">F176*$B$22</f>
        <v>72.0006663507655</v>
      </c>
      <c r="K176" s="180" t="n">
        <f aca="false">$B$23*MAX(0,I176-F176*$B$18)</f>
        <v>0</v>
      </c>
      <c r="L176" s="180" t="n">
        <f aca="false">IF(AND($B$27=1,OR(MONTH($B176)=5,MONTH($B176)=11)),MAX(0,$B$28*MAX(0,(F176+I176-J176-K176+G176-H176)+O175-N176)-O175),0)</f>
        <v>0</v>
      </c>
      <c r="M176" s="181" t="n">
        <f aca="false">F176+I176-J176-K176+G176-H176-L176</f>
        <v>436031.193923169</v>
      </c>
      <c r="N176" s="180" t="n">
        <f aca="false">N175+G176-H176</f>
        <v>150000</v>
      </c>
      <c r="O176" s="180" t="n">
        <f aca="false">O175+L176</f>
        <v>0</v>
      </c>
      <c r="P176" s="180" t="n">
        <f aca="false">M176+O176-N176</f>
        <v>286031.193923169</v>
      </c>
      <c r="Q176" s="180" t="n">
        <f aca="false">MAX(0,IFERROR(INDEX(TAB_IR,MATCH($C176,TAB_IR_DIAS,1),MATCH($B$8,TAB_IR_REGIMES,0)),0)*IF($B$26=2,M176,MAX(0,P176))-O176)</f>
        <v>42904.6790884753</v>
      </c>
      <c r="R176" s="181" t="n">
        <f aca="false">MAX(0,M176-Q176-M176*$B$25)</f>
        <v>393126.514834693</v>
      </c>
      <c r="S176" s="180" t="n">
        <f aca="false">R176/$D176</f>
        <v>269957.978862595</v>
      </c>
      <c r="U176" s="180" t="n">
        <f aca="false">AB175</f>
        <v>371644.915981342</v>
      </c>
      <c r="V176" s="180" t="n">
        <f aca="false">IF($C$9=0,0,IF($A176&gt;IN_PRAZO,0,IF(APORTE_CORRIGIDO="Sim",IN_APORTE*$D176,IN_APORTE))+IF(AND($C$35=1,PGBL_REINVESTE="Sim",$A176&gt;=13,$A176&lt;=IN_PRAZO,MONTH($B176)=5),PGBL_BENEFICIO,0))</f>
        <v>0</v>
      </c>
      <c r="W176" s="180" t="n">
        <f aca="false">V176*$C$24</f>
        <v>0</v>
      </c>
      <c r="X176" s="180" t="n">
        <f aca="false">U176*$C$19</f>
        <v>3031.59136383578</v>
      </c>
      <c r="Y176" s="180" t="n">
        <f aca="false">U176*$C$22</f>
        <v>61.9408193302237</v>
      </c>
      <c r="Z176" s="180" t="n">
        <f aca="false">$C$23*MAX(0,X176-U176*$C$18)</f>
        <v>0</v>
      </c>
      <c r="AA176" s="180" t="n">
        <f aca="false">IF(AND($C$27=1,OR(MONTH($B176)=5,MONTH($B176)=11)),MAX(0,$C$28*MAX(0,(U176+X176-Y176-Z176+V176-W176)+AD175-AC176)-AD175),0)</f>
        <v>0</v>
      </c>
      <c r="AB176" s="181" t="n">
        <f aca="false">U176+X176-Y176-Z176+V176-W176-AA176</f>
        <v>374614.566525848</v>
      </c>
      <c r="AC176" s="180" t="n">
        <f aca="false">AC175+V176-W176</f>
        <v>150000</v>
      </c>
      <c r="AD176" s="180" t="n">
        <f aca="false">AD175+AA176</f>
        <v>0</v>
      </c>
      <c r="AE176" s="180" t="n">
        <f aca="false">AB176+AD176-AC176</f>
        <v>224614.566525848</v>
      </c>
      <c r="AF176" s="180" t="n">
        <f aca="false">MAX(0,IFERROR(INDEX(TAB_IR,MATCH($C176,TAB_IR_DIAS,1),MATCH($C$8,TAB_IR_REGIMES,0)),0)*IF($C$26=2,AB176,MAX(0,AE176))-AD176)</f>
        <v>33692.1849788771</v>
      </c>
      <c r="AG176" s="181" t="n">
        <f aca="false">MAX(0,AB176-AF176-AB176*$C$25)</f>
        <v>340922.38154697</v>
      </c>
      <c r="AH176" s="180" t="n">
        <f aca="false">AG176/$D176</f>
        <v>234109.665968836</v>
      </c>
      <c r="AJ176" s="180" t="n">
        <f aca="false">AQ175</f>
        <v>331647.326551392</v>
      </c>
      <c r="AK176" s="180" t="n">
        <f aca="false">IF($D$9=0,0,IF($A176&gt;IN_PRAZO,0,IF(APORTE_CORRIGIDO="Sim",IN_APORTE*$D176,IN_APORTE))+IF(AND($D$35=1,PGBL_REINVESTE="Sim",$A176&gt;=13,$A176&lt;=IN_PRAZO,MONTH($B176)=5),PGBL_BENEFICIO,0))</f>
        <v>0</v>
      </c>
      <c r="AL176" s="180" t="n">
        <f aca="false">AK176*$D$24</f>
        <v>0</v>
      </c>
      <c r="AM176" s="180" t="n">
        <f aca="false">AJ176*$D$19</f>
        <v>2981.07734566234</v>
      </c>
      <c r="AN176" s="180" t="n">
        <f aca="false">AJ176*$D$22</f>
        <v>276.37277212616</v>
      </c>
      <c r="AO176" s="180" t="n">
        <f aca="false">$D$23*MAX(0,AM176-AJ176*$D$18)</f>
        <v>0</v>
      </c>
      <c r="AP176" s="180" t="n">
        <f aca="false">IF(AND($D$27=1,OR(MONTH($B176)=5,MONTH($B176)=11)),MAX(0,$D$28*MAX(0,(AJ176+AM176-AN176-AO176+AK176-AL176)+AS175-AR176)-AS175),0)</f>
        <v>0</v>
      </c>
      <c r="AQ176" s="181" t="n">
        <f aca="false">AJ176+AM176-AN176-AO176+AK176-AL176-AP176</f>
        <v>334352.031124928</v>
      </c>
      <c r="AR176" s="180" t="n">
        <f aca="false">AR175+AK176-AL176</f>
        <v>150000</v>
      </c>
      <c r="AS176" s="180" t="n">
        <f aca="false">AS175+AP176</f>
        <v>30646.5499036989</v>
      </c>
      <c r="AT176" s="180" t="n">
        <f aca="false">AQ176+AS176-AR176</f>
        <v>214998.581028627</v>
      </c>
      <c r="AU176" s="180" t="n">
        <f aca="false">MAX(0,IFERROR(INDEX(TAB_IR,MATCH($C176,TAB_IR_DIAS,1),MATCH($D$8,TAB_IR_REGIMES,0)),0)*IF($D$26=2,AQ176,MAX(0,AT176))-AS176)</f>
        <v>1603.23725059513</v>
      </c>
      <c r="AV176" s="181" t="n">
        <f aca="false">MAX(0,AQ176-AU176-AQ176*$D$25)</f>
        <v>332748.793874333</v>
      </c>
      <c r="AW176" s="180" t="n">
        <f aca="false">AV176/$D176</f>
        <v>228496.904873112</v>
      </c>
      <c r="AY176" s="180" t="n">
        <f aca="false">BF175</f>
        <v>395408.691118236</v>
      </c>
      <c r="AZ176" s="180" t="n">
        <f aca="false">IF($E$9=0,0,IF($A176&gt;IN_PRAZO,0,IF(APORTE_CORRIGIDO="Sim",IN_APORTE*$D176,IN_APORTE))+IF(AND($E$35=1,PGBL_REINVESTE="Sim",$A176&gt;=13,$A176&lt;=IN_PRAZO,MONTH($B176)=5),PGBL_BENEFICIO,0))</f>
        <v>0</v>
      </c>
      <c r="BA176" s="180" t="n">
        <f aca="false">AZ176*$E$24</f>
        <v>0</v>
      </c>
      <c r="BB176" s="180" t="n">
        <f aca="false">AY176*$E$19</f>
        <v>3870.55498662395</v>
      </c>
      <c r="BC176" s="180" t="n">
        <f aca="false">AY176*$E$22</f>
        <v>494.260863897795</v>
      </c>
      <c r="BD176" s="180" t="n">
        <f aca="false">$E$23*MAX(0,BB176-AY176*$E$18)</f>
        <v>0</v>
      </c>
      <c r="BE176" s="180" t="n">
        <f aca="false">IF(AND($E$27=1,OR(MONTH($B176)=5,MONTH($B176)=11)),MAX(0,$E$28*MAX(0,(AY176+BB176-BC176-BD176+AZ176-BA176)+BH175-BG176)-BH175),0)</f>
        <v>0</v>
      </c>
      <c r="BF176" s="181" t="n">
        <f aca="false">AY176+BB176-BC176-BD176+AZ176-BA176-BE176</f>
        <v>398784.985240962</v>
      </c>
      <c r="BG176" s="180" t="n">
        <f aca="false">BG175+AZ176-BA176</f>
        <v>150000</v>
      </c>
      <c r="BH176" s="180" t="n">
        <f aca="false">BH175+BE176</f>
        <v>0</v>
      </c>
      <c r="BI176" s="180" t="n">
        <f aca="false">BF176+BH176-BG176</f>
        <v>248784.985240962</v>
      </c>
      <c r="BJ176" s="180" t="n">
        <f aca="false">MAX(0,IFERROR(INDEX(TAB_IR,MATCH($C176,TAB_IR_DIAS,1),MATCH($E$8,TAB_IR_REGIMES,0)),0)*IF($E$26=2,BF176,MAX(0,BI176))-BH176)</f>
        <v>37317.7477861444</v>
      </c>
      <c r="BK176" s="181" t="n">
        <f aca="false">MAX(0,BF176-BJ176-BF176*$E$25)</f>
        <v>361467.237454818</v>
      </c>
      <c r="BL176" s="180" t="n">
        <f aca="false">BK176/$D176</f>
        <v>248217.714059252</v>
      </c>
      <c r="BN176" s="180" t="n">
        <f aca="false">BU175</f>
        <v>395408.691118236</v>
      </c>
      <c r="BO176" s="180" t="n">
        <f aca="false">IF($F$9=0,0,IF($A176&gt;IN_PRAZO,0,IF(APORTE_CORRIGIDO="Sim",IN_APORTE*$D176,IN_APORTE))+IF(AND($F$35=1,PGBL_REINVESTE="Sim",$A176&gt;=13,$A176&lt;=IN_PRAZO,MONTH($B176)=5),PGBL_BENEFICIO,0))</f>
        <v>0</v>
      </c>
      <c r="BP176" s="180" t="n">
        <f aca="false">BO176*$F$24</f>
        <v>0</v>
      </c>
      <c r="BQ176" s="180" t="n">
        <f aca="false">BN176*$F$19</f>
        <v>3870.55498662395</v>
      </c>
      <c r="BR176" s="180" t="n">
        <f aca="false">BN176*$F$22</f>
        <v>494.260863897795</v>
      </c>
      <c r="BS176" s="180" t="n">
        <f aca="false">$F$23*MAX(0,BQ176-BN176*$F$18)</f>
        <v>0</v>
      </c>
      <c r="BT176" s="180" t="n">
        <f aca="false">IF(AND($F$27=1,OR(MONTH($B176)=5,MONTH($B176)=11)),MAX(0,$F$28*MAX(0,(BN176+BQ176-BR176-BS176+BO176-BP176)+BW175-BV176)-BW175),0)</f>
        <v>0</v>
      </c>
      <c r="BU176" s="181" t="n">
        <f aca="false">BN176+BQ176-BR176-BS176+BO176-BP176-BT176</f>
        <v>398784.985240962</v>
      </c>
      <c r="BV176" s="180" t="n">
        <f aca="false">BV175+BO176-BP176</f>
        <v>150000</v>
      </c>
      <c r="BW176" s="180" t="n">
        <f aca="false">BW175+BT176</f>
        <v>0</v>
      </c>
      <c r="BX176" s="180" t="n">
        <f aca="false">BU176+BW176-BV176</f>
        <v>248784.985240962</v>
      </c>
      <c r="BY176" s="180" t="n">
        <f aca="false">MAX(0,IFERROR(INDEX(TAB_IR,MATCH($C176,TAB_IR_DIAS,1),MATCH($F$8,TAB_IR_REGIMES,0)),0)*IF($F$26=2,BU176,MAX(0,BX176))-BW176)</f>
        <v>59817.7477861444</v>
      </c>
      <c r="BZ176" s="181" t="n">
        <f aca="false">MAX(0,BU176-BY176-BU176*$F$25)</f>
        <v>338967.237454818</v>
      </c>
      <c r="CA176" s="180" t="n">
        <f aca="false">BZ176/$D176</f>
        <v>232767.078461797</v>
      </c>
      <c r="CC176" s="180" t="n">
        <f aca="false">CJ175</f>
        <v>305890.04329279</v>
      </c>
      <c r="CD176" s="180" t="n">
        <f aca="false">IF($G$9=0,0,IF($A176&gt;IN_PRAZO,0,IF(APORTE_CORRIGIDO="Sim",IN_APORTE*$D176,IN_APORTE))+IF(AND($G$35=1,PGBL_REINVESTE="Sim",$A176&gt;=13,$A176&lt;=IN_PRAZO,MONTH($B176)=5),PGBL_BENEFICIO,0))</f>
        <v>0</v>
      </c>
      <c r="CE176" s="180" t="n">
        <f aca="false">CD176*$G$24</f>
        <v>0</v>
      </c>
      <c r="CF176" s="180" t="n">
        <f aca="false">CC176*$G$19</f>
        <v>2495.21404344014</v>
      </c>
      <c r="CG176" s="180" t="n">
        <f aca="false">CC176*$G$22</f>
        <v>254.908369410658</v>
      </c>
      <c r="CH176" s="180" t="n">
        <f aca="false">$G$23*MAX(0,CF176-CC176*$G$18)</f>
        <v>0</v>
      </c>
      <c r="CI176" s="180" t="n">
        <f aca="false">IF(AND($G$27=1,OR(MONTH($B176)=5,MONTH($B176)=11)),MAX(0,$G$28*MAX(0,(CC176+CF176-CG176-CH176+CD176-CE176)+CL175-CK176)-CL175),0)</f>
        <v>0</v>
      </c>
      <c r="CJ176" s="181" t="n">
        <f aca="false">CC176+CF176-CG176-CH176+CD176-CE176-CI176</f>
        <v>308130.348966819</v>
      </c>
      <c r="CK176" s="180" t="n">
        <f aca="false">CK175+CD176-CE176</f>
        <v>150000</v>
      </c>
      <c r="CL176" s="180" t="n">
        <f aca="false">CL175+CI176</f>
        <v>26341.1266224765</v>
      </c>
      <c r="CM176" s="180" t="n">
        <f aca="false">CJ176+CL176-CK176</f>
        <v>184471.475589296</v>
      </c>
      <c r="CN176" s="180" t="n">
        <f aca="false">MAX(0,IFERROR(INDEX(TAB_IR,MATCH($C176,TAB_IR_DIAS,1),MATCH($G$8,TAB_IR_REGIMES,0)),0)*IF($G$26=2,CJ176,MAX(0,CM176))-CL176)</f>
        <v>1329.59471591783</v>
      </c>
      <c r="CO176" s="181" t="n">
        <f aca="false">MAX(0,CJ176-CN176-CJ176*$G$25)</f>
        <v>306800.754250901</v>
      </c>
      <c r="CP176" s="180" t="n">
        <f aca="false">CO176/$D176</f>
        <v>210678.517998003</v>
      </c>
    </row>
    <row r="177" customFormat="false" ht="12" hidden="false" customHeight="true" outlineLevel="0" collapsed="false">
      <c r="A177" s="177" t="n">
        <v>116</v>
      </c>
      <c r="B177" s="178" t="n">
        <f aca="false">EDATE(DATA_INICIO,$A177)</f>
        <v>49788</v>
      </c>
      <c r="C177" s="177" t="n">
        <f aca="false">$A177*30</f>
        <v>3480</v>
      </c>
      <c r="D177" s="179" t="n">
        <f aca="false">(1+IPCA_CENARIO)^($A177/12)</f>
        <v>1.46101815700175</v>
      </c>
      <c r="F177" s="180" t="n">
        <f aca="false">M176</f>
        <v>436031.193923169</v>
      </c>
      <c r="G177" s="180" t="n">
        <f aca="false">IF($B$9=0,0,IF($A177&gt;IN_PRAZO,0,IF(APORTE_CORRIGIDO="Sim",IN_APORTE*$D177,IN_APORTE))+IF(AND($B$35=1,PGBL_REINVESTE="Sim",$A177&gt;=13,$A177&lt;=IN_PRAZO,MONTH($B177)=5),PGBL_BENEFICIO,0))</f>
        <v>0</v>
      </c>
      <c r="H177" s="180" t="n">
        <f aca="false">G177*$B$24</f>
        <v>0</v>
      </c>
      <c r="I177" s="180" t="n">
        <f aca="false">F177*$B$19</f>
        <v>4137.40971215597</v>
      </c>
      <c r="J177" s="180" t="n">
        <f aca="false">F177*$B$22</f>
        <v>72.6718656538614</v>
      </c>
      <c r="K177" s="180" t="n">
        <f aca="false">$B$23*MAX(0,I177-F177*$B$18)</f>
        <v>0</v>
      </c>
      <c r="L177" s="180" t="n">
        <f aca="false">IF(AND($B$27=1,OR(MONTH($B177)=5,MONTH($B177)=11)),MAX(0,$B$28*MAX(0,(F177+I177-J177-K177+G177-H177)+O176-N177)-O176),0)</f>
        <v>0</v>
      </c>
      <c r="M177" s="181" t="n">
        <f aca="false">F177+I177-J177-K177+G177-H177-L177</f>
        <v>440095.931769671</v>
      </c>
      <c r="N177" s="180" t="n">
        <f aca="false">N176+G177-H177</f>
        <v>150000</v>
      </c>
      <c r="O177" s="180" t="n">
        <f aca="false">O176+L177</f>
        <v>0</v>
      </c>
      <c r="P177" s="180" t="n">
        <f aca="false">M177+O177-N177</f>
        <v>290095.931769671</v>
      </c>
      <c r="Q177" s="180" t="n">
        <f aca="false">MAX(0,IFERROR(INDEX(TAB_IR,MATCH($C177,TAB_IR_DIAS,1),MATCH($B$8,TAB_IR_REGIMES,0)),0)*IF($B$26=2,M177,MAX(0,P177))-O177)</f>
        <v>43514.3897654506</v>
      </c>
      <c r="R177" s="181" t="n">
        <f aca="false">MAX(0,M177-Q177-M177*$B$25)</f>
        <v>396581.54200422</v>
      </c>
      <c r="S177" s="180" t="n">
        <f aca="false">R177/$D177</f>
        <v>271441.898311566</v>
      </c>
      <c r="U177" s="180" t="n">
        <f aca="false">AB176</f>
        <v>374614.566525848</v>
      </c>
      <c r="V177" s="180" t="n">
        <f aca="false">IF($C$9=0,0,IF($A177&gt;IN_PRAZO,0,IF(APORTE_CORRIGIDO="Sim",IN_APORTE*$D177,IN_APORTE))+IF(AND($C$35=1,PGBL_REINVESTE="Sim",$A177&gt;=13,$A177&lt;=IN_PRAZO,MONTH($B177)=5),PGBL_BENEFICIO,0))</f>
        <v>0</v>
      </c>
      <c r="W177" s="180" t="n">
        <f aca="false">V177*$C$24</f>
        <v>0</v>
      </c>
      <c r="X177" s="180" t="n">
        <f aca="false">U177*$C$19</f>
        <v>3055.8154728097</v>
      </c>
      <c r="Y177" s="180" t="n">
        <f aca="false">U177*$C$22</f>
        <v>62.4357610876413</v>
      </c>
      <c r="Z177" s="180" t="n">
        <f aca="false">$C$23*MAX(0,X177-U177*$C$18)</f>
        <v>0</v>
      </c>
      <c r="AA177" s="180" t="n">
        <f aca="false">IF(AND($C$27=1,OR(MONTH($B177)=5,MONTH($B177)=11)),MAX(0,$C$28*MAX(0,(U177+X177-Y177-Z177+V177-W177)+AD176-AC177)-AD176),0)</f>
        <v>0</v>
      </c>
      <c r="AB177" s="181" t="n">
        <f aca="false">U177+X177-Y177-Z177+V177-W177-AA177</f>
        <v>377607.94623757</v>
      </c>
      <c r="AC177" s="180" t="n">
        <f aca="false">AC176+V177-W177</f>
        <v>150000</v>
      </c>
      <c r="AD177" s="180" t="n">
        <f aca="false">AD176+AA177</f>
        <v>0</v>
      </c>
      <c r="AE177" s="180" t="n">
        <f aca="false">AB177+AD177-AC177</f>
        <v>227607.94623757</v>
      </c>
      <c r="AF177" s="180" t="n">
        <f aca="false">MAX(0,IFERROR(INDEX(TAB_IR,MATCH($C177,TAB_IR_DIAS,1),MATCH($C$8,TAB_IR_REGIMES,0)),0)*IF($C$26=2,AB177,MAX(0,AE177))-AD177)</f>
        <v>34141.1919356355</v>
      </c>
      <c r="AG177" s="181" t="n">
        <f aca="false">MAX(0,AB177-AF177-AB177*$C$25)</f>
        <v>343466.754301934</v>
      </c>
      <c r="AH177" s="180" t="n">
        <f aca="false">AG177/$D177</f>
        <v>235087.259289635</v>
      </c>
      <c r="AJ177" s="180" t="n">
        <f aca="false">AQ176</f>
        <v>334352.031124928</v>
      </c>
      <c r="AK177" s="180" t="n">
        <f aca="false">IF($D$9=0,0,IF($A177&gt;IN_PRAZO,0,IF(APORTE_CORRIGIDO="Sim",IN_APORTE*$D177,IN_APORTE))+IF(AND($D$35=1,PGBL_REINVESTE="Sim",$A177&gt;=13,$A177&lt;=IN_PRAZO,MONTH($B177)=5),PGBL_BENEFICIO,0))</f>
        <v>0</v>
      </c>
      <c r="AL177" s="180" t="n">
        <f aca="false">AK177*$D$24</f>
        <v>0</v>
      </c>
      <c r="AM177" s="180" t="n">
        <f aca="false">AJ177*$D$19</f>
        <v>3005.38911568238</v>
      </c>
      <c r="AN177" s="180" t="n">
        <f aca="false">AJ177*$D$22</f>
        <v>278.626692604107</v>
      </c>
      <c r="AO177" s="180" t="n">
        <f aca="false">$D$23*MAX(0,AM177-AJ177*$D$18)</f>
        <v>0</v>
      </c>
      <c r="AP177" s="180" t="n">
        <f aca="false">IF(AND($D$27=1,OR(MONTH($B177)=5,MONTH($B177)=11)),MAX(0,$D$28*MAX(0,(AJ177+AM177-AN177-AO177+AK177-AL177)+AS176-AR177)-AS176),0)</f>
        <v>0</v>
      </c>
      <c r="AQ177" s="181" t="n">
        <f aca="false">AJ177+AM177-AN177-AO177+AK177-AL177-AP177</f>
        <v>337078.793548006</v>
      </c>
      <c r="AR177" s="180" t="n">
        <f aca="false">AR176+AK177-AL177</f>
        <v>150000</v>
      </c>
      <c r="AS177" s="180" t="n">
        <f aca="false">AS176+AP177</f>
        <v>30646.5499036989</v>
      </c>
      <c r="AT177" s="180" t="n">
        <f aca="false">AQ177+AS177-AR177</f>
        <v>217725.343451705</v>
      </c>
      <c r="AU177" s="180" t="n">
        <f aca="false">MAX(0,IFERROR(INDEX(TAB_IR,MATCH($C177,TAB_IR_DIAS,1),MATCH($D$8,TAB_IR_REGIMES,0)),0)*IF($D$26=2,AQ177,MAX(0,AT177))-AS177)</f>
        <v>2012.25161405687</v>
      </c>
      <c r="AV177" s="181" t="n">
        <f aca="false">MAX(0,AQ177-AU177-AQ177*$D$25)</f>
        <v>335066.541933949</v>
      </c>
      <c r="AW177" s="180" t="n">
        <f aca="false">AV177/$D177</f>
        <v>229337.698733027</v>
      </c>
      <c r="AY177" s="180" t="n">
        <f aca="false">BF176</f>
        <v>398784.985240962</v>
      </c>
      <c r="AZ177" s="180" t="n">
        <f aca="false">IF($E$9=0,0,IF($A177&gt;IN_PRAZO,0,IF(APORTE_CORRIGIDO="Sim",IN_APORTE*$D177,IN_APORTE))+IF(AND($E$35=1,PGBL_REINVESTE="Sim",$A177&gt;=13,$A177&lt;=IN_PRAZO,MONTH($B177)=5),PGBL_BENEFICIO,0))</f>
        <v>0</v>
      </c>
      <c r="BA177" s="180" t="n">
        <f aca="false">AZ177*$E$24</f>
        <v>0</v>
      </c>
      <c r="BB177" s="180" t="n">
        <f aca="false">AY177*$E$19</f>
        <v>3903.60467001879</v>
      </c>
      <c r="BC177" s="180" t="n">
        <f aca="false">AY177*$E$22</f>
        <v>498.481231551203</v>
      </c>
      <c r="BD177" s="180" t="n">
        <f aca="false">$E$23*MAX(0,BB177-AY177*$E$18)</f>
        <v>0</v>
      </c>
      <c r="BE177" s="180" t="n">
        <f aca="false">IF(AND($E$27=1,OR(MONTH($B177)=5,MONTH($B177)=11)),MAX(0,$E$28*MAX(0,(AY177+BB177-BC177-BD177+AZ177-BA177)+BH176-BG177)-BH176),0)</f>
        <v>0</v>
      </c>
      <c r="BF177" s="181" t="n">
        <f aca="false">AY177+BB177-BC177-BD177+AZ177-BA177-BE177</f>
        <v>402190.10867943</v>
      </c>
      <c r="BG177" s="180" t="n">
        <f aca="false">BG176+AZ177-BA177</f>
        <v>150000</v>
      </c>
      <c r="BH177" s="180" t="n">
        <f aca="false">BH176+BE177</f>
        <v>0</v>
      </c>
      <c r="BI177" s="180" t="n">
        <f aca="false">BF177+BH177-BG177</f>
        <v>252190.10867943</v>
      </c>
      <c r="BJ177" s="180" t="n">
        <f aca="false">MAX(0,IFERROR(INDEX(TAB_IR,MATCH($C177,TAB_IR_DIAS,1),MATCH($E$8,TAB_IR_REGIMES,0)),0)*IF($E$26=2,BF177,MAX(0,BI177))-BH177)</f>
        <v>37828.5163019145</v>
      </c>
      <c r="BK177" s="181" t="n">
        <f aca="false">MAX(0,BF177-BJ177-BF177*$E$25)</f>
        <v>364361.592377515</v>
      </c>
      <c r="BL177" s="180" t="n">
        <f aca="false">BK177/$D177</f>
        <v>249388.818770908</v>
      </c>
      <c r="BN177" s="180" t="n">
        <f aca="false">BU176</f>
        <v>398784.985240962</v>
      </c>
      <c r="BO177" s="180" t="n">
        <f aca="false">IF($F$9=0,0,IF($A177&gt;IN_PRAZO,0,IF(APORTE_CORRIGIDO="Sim",IN_APORTE*$D177,IN_APORTE))+IF(AND($F$35=1,PGBL_REINVESTE="Sim",$A177&gt;=13,$A177&lt;=IN_PRAZO,MONTH($B177)=5),PGBL_BENEFICIO,0))</f>
        <v>0</v>
      </c>
      <c r="BP177" s="180" t="n">
        <f aca="false">BO177*$F$24</f>
        <v>0</v>
      </c>
      <c r="BQ177" s="180" t="n">
        <f aca="false">BN177*$F$19</f>
        <v>3903.60467001879</v>
      </c>
      <c r="BR177" s="180" t="n">
        <f aca="false">BN177*$F$22</f>
        <v>498.481231551203</v>
      </c>
      <c r="BS177" s="180" t="n">
        <f aca="false">$F$23*MAX(0,BQ177-BN177*$F$18)</f>
        <v>0</v>
      </c>
      <c r="BT177" s="180" t="n">
        <f aca="false">IF(AND($F$27=1,OR(MONTH($B177)=5,MONTH($B177)=11)),MAX(0,$F$28*MAX(0,(BN177+BQ177-BR177-BS177+BO177-BP177)+BW176-BV177)-BW176),0)</f>
        <v>0</v>
      </c>
      <c r="BU177" s="181" t="n">
        <f aca="false">BN177+BQ177-BR177-BS177+BO177-BP177-BT177</f>
        <v>402190.10867943</v>
      </c>
      <c r="BV177" s="180" t="n">
        <f aca="false">BV176+BO177-BP177</f>
        <v>150000</v>
      </c>
      <c r="BW177" s="180" t="n">
        <f aca="false">BW176+BT177</f>
        <v>0</v>
      </c>
      <c r="BX177" s="180" t="n">
        <f aca="false">BU177+BW177-BV177</f>
        <v>252190.10867943</v>
      </c>
      <c r="BY177" s="180" t="n">
        <f aca="false">MAX(0,IFERROR(INDEX(TAB_IR,MATCH($C177,TAB_IR_DIAS,1),MATCH($F$8,TAB_IR_REGIMES,0)),0)*IF($F$26=2,BU177,MAX(0,BX177))-BW177)</f>
        <v>60328.5163019145</v>
      </c>
      <c r="BZ177" s="181" t="n">
        <f aca="false">MAX(0,BU177-BY177-BU177*$F$25)</f>
        <v>341861.592377515</v>
      </c>
      <c r="CA177" s="180" t="n">
        <f aca="false">BZ177/$D177</f>
        <v>233988.599483988</v>
      </c>
      <c r="CC177" s="180" t="n">
        <f aca="false">CJ176</f>
        <v>308130.348966819</v>
      </c>
      <c r="CD177" s="180" t="n">
        <f aca="false">IF($G$9=0,0,IF($A177&gt;IN_PRAZO,0,IF(APORTE_CORRIGIDO="Sim",IN_APORTE*$D177,IN_APORTE))+IF(AND($G$35=1,PGBL_REINVESTE="Sim",$A177&gt;=13,$A177&lt;=IN_PRAZO,MONTH($B177)=5),PGBL_BENEFICIO,0))</f>
        <v>0</v>
      </c>
      <c r="CE177" s="180" t="n">
        <f aca="false">CD177*$G$24</f>
        <v>0</v>
      </c>
      <c r="CF177" s="180" t="n">
        <f aca="false">CC177*$G$19</f>
        <v>2513.488721881</v>
      </c>
      <c r="CG177" s="180" t="n">
        <f aca="false">CC177*$G$22</f>
        <v>256.775290805683</v>
      </c>
      <c r="CH177" s="180" t="n">
        <f aca="false">$G$23*MAX(0,CF177-CC177*$G$18)</f>
        <v>0</v>
      </c>
      <c r="CI177" s="180" t="n">
        <f aca="false">IF(AND($G$27=1,OR(MONTH($B177)=5,MONTH($B177)=11)),MAX(0,$G$28*MAX(0,(CC177+CF177-CG177-CH177+CD177-CE177)+CL176-CK177)-CL176),0)</f>
        <v>0</v>
      </c>
      <c r="CJ177" s="181" t="n">
        <f aca="false">CC177+CF177-CG177-CH177+CD177-CE177-CI177</f>
        <v>310387.062397895</v>
      </c>
      <c r="CK177" s="180" t="n">
        <f aca="false">CK176+CD177-CE177</f>
        <v>150000</v>
      </c>
      <c r="CL177" s="180" t="n">
        <f aca="false">CL176+CI177</f>
        <v>26341.1266224765</v>
      </c>
      <c r="CM177" s="180" t="n">
        <f aca="false">CJ177+CL177-CK177</f>
        <v>186728.189020371</v>
      </c>
      <c r="CN177" s="180" t="n">
        <f aca="false">MAX(0,IFERROR(INDEX(TAB_IR,MATCH($C177,TAB_IR_DIAS,1),MATCH($G$8,TAB_IR_REGIMES,0)),0)*IF($G$26=2,CJ177,MAX(0,CM177))-CL177)</f>
        <v>1668.10173057912</v>
      </c>
      <c r="CO177" s="181" t="n">
        <f aca="false">MAX(0,CJ177-CN177-CJ177*$G$25)</f>
        <v>308718.960667315</v>
      </c>
      <c r="CP177" s="180" t="n">
        <f aca="false">CO177/$D177</f>
        <v>211303.986324755</v>
      </c>
    </row>
    <row r="178" customFormat="false" ht="12" hidden="false" customHeight="true" outlineLevel="0" collapsed="false">
      <c r="A178" s="177" t="n">
        <v>117</v>
      </c>
      <c r="B178" s="178" t="n">
        <f aca="false">EDATE(DATA_INICIO,$A178)</f>
        <v>49818</v>
      </c>
      <c r="C178" s="177" t="n">
        <f aca="false">$A178*30</f>
        <v>3510</v>
      </c>
      <c r="D178" s="179" t="n">
        <f aca="false">(1+IPCA_CENARIO)^($A178/12)</f>
        <v>1.46580115026484</v>
      </c>
      <c r="F178" s="180" t="n">
        <f aca="false">M177</f>
        <v>440095.931769671</v>
      </c>
      <c r="G178" s="180" t="n">
        <f aca="false">IF($B$9=0,0,IF($A178&gt;IN_PRAZO,0,IF(APORTE_CORRIGIDO="Sim",IN_APORTE*$D178,IN_APORTE))+IF(AND($B$35=1,PGBL_REINVESTE="Sim",$A178&gt;=13,$A178&lt;=IN_PRAZO,MONTH($B178)=5),PGBL_BENEFICIO,0))</f>
        <v>0</v>
      </c>
      <c r="H178" s="180" t="n">
        <f aca="false">G178*$B$24</f>
        <v>0</v>
      </c>
      <c r="I178" s="180" t="n">
        <f aca="false">F178*$B$19</f>
        <v>4175.97916791479</v>
      </c>
      <c r="J178" s="180" t="n">
        <f aca="false">F178*$B$22</f>
        <v>73.3493219616118</v>
      </c>
      <c r="K178" s="180" t="n">
        <f aca="false">$B$23*MAX(0,I178-F178*$B$18)</f>
        <v>0</v>
      </c>
      <c r="L178" s="180" t="n">
        <f aca="false">IF(AND($B$27=1,OR(MONTH($B178)=5,MONTH($B178)=11)),MAX(0,$B$28*MAX(0,(F178+I178-J178-K178+G178-H178)+O177-N178)-O177),0)</f>
        <v>0</v>
      </c>
      <c r="M178" s="181" t="n">
        <f aca="false">F178+I178-J178-K178+G178-H178-L178</f>
        <v>444198.561615624</v>
      </c>
      <c r="N178" s="180" t="n">
        <f aca="false">N177+G178-H178</f>
        <v>150000</v>
      </c>
      <c r="O178" s="180" t="n">
        <f aca="false">O177+L178</f>
        <v>0</v>
      </c>
      <c r="P178" s="180" t="n">
        <f aca="false">M178+O178-N178</f>
        <v>294198.561615624</v>
      </c>
      <c r="Q178" s="180" t="n">
        <f aca="false">MAX(0,IFERROR(INDEX(TAB_IR,MATCH($C178,TAB_IR_DIAS,1),MATCH($B$8,TAB_IR_REGIMES,0)),0)*IF($B$26=2,M178,MAX(0,P178))-O178)</f>
        <v>44129.7842423436</v>
      </c>
      <c r="R178" s="181" t="n">
        <f aca="false">MAX(0,M178-Q178-M178*$B$25)</f>
        <v>400068.77737328</v>
      </c>
      <c r="S178" s="180" t="n">
        <f aca="false">R178/$D178</f>
        <v>272935.232245517</v>
      </c>
      <c r="U178" s="180" t="n">
        <f aca="false">AB177</f>
        <v>377607.94623757</v>
      </c>
      <c r="V178" s="180" t="n">
        <f aca="false">IF($C$9=0,0,IF($A178&gt;IN_PRAZO,0,IF(APORTE_CORRIGIDO="Sim",IN_APORTE*$D178,IN_APORTE))+IF(AND($C$35=1,PGBL_REINVESTE="Sim",$A178&gt;=13,$A178&lt;=IN_PRAZO,MONTH($B178)=5),PGBL_BENEFICIO,0))</f>
        <v>0</v>
      </c>
      <c r="W178" s="180" t="n">
        <f aca="false">V178*$C$24</f>
        <v>0</v>
      </c>
      <c r="X178" s="180" t="n">
        <f aca="false">U178*$C$19</f>
        <v>3080.23314595014</v>
      </c>
      <c r="Y178" s="180" t="n">
        <f aca="false">U178*$C$22</f>
        <v>62.9346577062616</v>
      </c>
      <c r="Z178" s="180" t="n">
        <f aca="false">$C$23*MAX(0,X178-U178*$C$18)</f>
        <v>0</v>
      </c>
      <c r="AA178" s="180" t="n">
        <f aca="false">IF(AND($C$27=1,OR(MONTH($B178)=5,MONTH($B178)=11)),MAX(0,$C$28*MAX(0,(U178+X178-Y178-Z178+V178-W178)+AD177-AC178)-AD177),0)</f>
        <v>0</v>
      </c>
      <c r="AB178" s="181" t="n">
        <f aca="false">U178+X178-Y178-Z178+V178-W178-AA178</f>
        <v>380625.244725814</v>
      </c>
      <c r="AC178" s="180" t="n">
        <f aca="false">AC177+V178-W178</f>
        <v>150000</v>
      </c>
      <c r="AD178" s="180" t="n">
        <f aca="false">AD177+AA178</f>
        <v>0</v>
      </c>
      <c r="AE178" s="180" t="n">
        <f aca="false">AB178+AD178-AC178</f>
        <v>230625.244725814</v>
      </c>
      <c r="AF178" s="180" t="n">
        <f aca="false">MAX(0,IFERROR(INDEX(TAB_IR,MATCH($C178,TAB_IR_DIAS,1),MATCH($C$8,TAB_IR_REGIMES,0)),0)*IF($C$26=2,AB178,MAX(0,AE178))-AD178)</f>
        <v>34593.786708872</v>
      </c>
      <c r="AG178" s="181" t="n">
        <f aca="false">MAX(0,AB178-AF178-AB178*$C$25)</f>
        <v>346031.458016942</v>
      </c>
      <c r="AH178" s="180" t="n">
        <f aca="false">AG178/$D178</f>
        <v>236069.850234748</v>
      </c>
      <c r="AJ178" s="180" t="n">
        <f aca="false">AQ177</f>
        <v>337078.793548006</v>
      </c>
      <c r="AK178" s="180" t="n">
        <f aca="false">IF($D$9=0,0,IF($A178&gt;IN_PRAZO,0,IF(APORTE_CORRIGIDO="Sim",IN_APORTE*$D178,IN_APORTE))+IF(AND($D$35=1,PGBL_REINVESTE="Sim",$A178&gt;=13,$A178&lt;=IN_PRAZO,MONTH($B178)=5),PGBL_BENEFICIO,0))</f>
        <v>0</v>
      </c>
      <c r="AL178" s="180" t="n">
        <f aca="false">AK178*$D$24</f>
        <v>0</v>
      </c>
      <c r="AM178" s="180" t="n">
        <f aca="false">AJ178*$D$19</f>
        <v>3029.89915702951</v>
      </c>
      <c r="AN178" s="180" t="n">
        <f aca="false">AJ178*$D$22</f>
        <v>280.898994623338</v>
      </c>
      <c r="AO178" s="180" t="n">
        <f aca="false">$D$23*MAX(0,AM178-AJ178*$D$18)</f>
        <v>0</v>
      </c>
      <c r="AP178" s="180" t="n">
        <f aca="false">IF(AND($D$27=1,OR(MONTH($B178)=5,MONTH($B178)=11)),MAX(0,$D$28*MAX(0,(AJ178+AM178-AN178-AO178+AK178-AL178)+AS177-AR178)-AS177),0)</f>
        <v>2424.6016384178</v>
      </c>
      <c r="AQ178" s="181" t="n">
        <f aca="false">AJ178+AM178-AN178-AO178+AK178-AL178-AP178</f>
        <v>337403.192071995</v>
      </c>
      <c r="AR178" s="180" t="n">
        <f aca="false">AR177+AK178-AL178</f>
        <v>150000</v>
      </c>
      <c r="AS178" s="180" t="n">
        <f aca="false">AS177+AP178</f>
        <v>33071.1515421167</v>
      </c>
      <c r="AT178" s="180" t="n">
        <f aca="false">AQ178+AS178-AR178</f>
        <v>220474.343614111</v>
      </c>
      <c r="AU178" s="180" t="n">
        <f aca="false">MAX(0,IFERROR(INDEX(TAB_IR,MATCH($C178,TAB_IR_DIAS,1),MATCH($D$8,TAB_IR_REGIMES,0)),0)*IF($D$26=2,AQ178,MAX(0,AT178))-AS178)</f>
        <v>0</v>
      </c>
      <c r="AV178" s="181" t="n">
        <f aca="false">MAX(0,AQ178-AU178-AQ178*$D$25)</f>
        <v>337403.192071995</v>
      </c>
      <c r="AW178" s="180" t="n">
        <f aca="false">AV178/$D178</f>
        <v>230183.467935629</v>
      </c>
      <c r="AY178" s="180" t="n">
        <f aca="false">BF177</f>
        <v>402190.10867943</v>
      </c>
      <c r="AZ178" s="180" t="n">
        <f aca="false">IF($E$9=0,0,IF($A178&gt;IN_PRAZO,0,IF(APORTE_CORRIGIDO="Sim",IN_APORTE*$D178,IN_APORTE))+IF(AND($E$35=1,PGBL_REINVESTE="Sim",$A178&gt;=13,$A178&lt;=IN_PRAZO,MONTH($B178)=5),PGBL_BENEFICIO,0))</f>
        <v>0</v>
      </c>
      <c r="BA178" s="180" t="n">
        <f aca="false">AZ178*$E$24</f>
        <v>0</v>
      </c>
      <c r="BB178" s="180" t="n">
        <f aca="false">AY178*$E$19</f>
        <v>3936.93655624404</v>
      </c>
      <c r="BC178" s="180" t="n">
        <f aca="false">AY178*$E$22</f>
        <v>502.737635849287</v>
      </c>
      <c r="BD178" s="180" t="n">
        <f aca="false">$E$23*MAX(0,BB178-AY178*$E$18)</f>
        <v>0</v>
      </c>
      <c r="BE178" s="180" t="n">
        <f aca="false">IF(AND($E$27=1,OR(MONTH($B178)=5,MONTH($B178)=11)),MAX(0,$E$28*MAX(0,(AY178+BB178-BC178-BD178+AZ178-BA178)+BH177-BG178)-BH177),0)</f>
        <v>0</v>
      </c>
      <c r="BF178" s="181" t="n">
        <f aca="false">AY178+BB178-BC178-BD178+AZ178-BA178-BE178</f>
        <v>405624.307599825</v>
      </c>
      <c r="BG178" s="180" t="n">
        <f aca="false">BG177+AZ178-BA178</f>
        <v>150000</v>
      </c>
      <c r="BH178" s="180" t="n">
        <f aca="false">BH177+BE178</f>
        <v>0</v>
      </c>
      <c r="BI178" s="180" t="n">
        <f aca="false">BF178+BH178-BG178</f>
        <v>255624.307599825</v>
      </c>
      <c r="BJ178" s="180" t="n">
        <f aca="false">MAX(0,IFERROR(INDEX(TAB_IR,MATCH($C178,TAB_IR_DIAS,1),MATCH($E$8,TAB_IR_REGIMES,0)),0)*IF($E$26=2,BF178,MAX(0,BI178))-BH178)</f>
        <v>38343.6461399737</v>
      </c>
      <c r="BK178" s="181" t="n">
        <f aca="false">MAX(0,BF178-BJ178-BF178*$E$25)</f>
        <v>367280.661459851</v>
      </c>
      <c r="BL178" s="180" t="n">
        <f aca="false">BK178/$D178</f>
        <v>250566.498323112</v>
      </c>
      <c r="BN178" s="180" t="n">
        <f aca="false">BU177</f>
        <v>402190.10867943</v>
      </c>
      <c r="BO178" s="180" t="n">
        <f aca="false">IF($F$9=0,0,IF($A178&gt;IN_PRAZO,0,IF(APORTE_CORRIGIDO="Sim",IN_APORTE*$D178,IN_APORTE))+IF(AND($F$35=1,PGBL_REINVESTE="Sim",$A178&gt;=13,$A178&lt;=IN_PRAZO,MONTH($B178)=5),PGBL_BENEFICIO,0))</f>
        <v>0</v>
      </c>
      <c r="BP178" s="180" t="n">
        <f aca="false">BO178*$F$24</f>
        <v>0</v>
      </c>
      <c r="BQ178" s="180" t="n">
        <f aca="false">BN178*$F$19</f>
        <v>3936.93655624404</v>
      </c>
      <c r="BR178" s="180" t="n">
        <f aca="false">BN178*$F$22</f>
        <v>502.737635849287</v>
      </c>
      <c r="BS178" s="180" t="n">
        <f aca="false">$F$23*MAX(0,BQ178-BN178*$F$18)</f>
        <v>0</v>
      </c>
      <c r="BT178" s="180" t="n">
        <f aca="false">IF(AND($F$27=1,OR(MONTH($B178)=5,MONTH($B178)=11)),MAX(0,$F$28*MAX(0,(BN178+BQ178-BR178-BS178+BO178-BP178)+BW177-BV178)-BW177),0)</f>
        <v>0</v>
      </c>
      <c r="BU178" s="181" t="n">
        <f aca="false">BN178+BQ178-BR178-BS178+BO178-BP178-BT178</f>
        <v>405624.307599825</v>
      </c>
      <c r="BV178" s="180" t="n">
        <f aca="false">BV177+BO178-BP178</f>
        <v>150000</v>
      </c>
      <c r="BW178" s="180" t="n">
        <f aca="false">BW177+BT178</f>
        <v>0</v>
      </c>
      <c r="BX178" s="180" t="n">
        <f aca="false">BU178+BW178-BV178</f>
        <v>255624.307599825</v>
      </c>
      <c r="BY178" s="180" t="n">
        <f aca="false">MAX(0,IFERROR(INDEX(TAB_IR,MATCH($C178,TAB_IR_DIAS,1),MATCH($F$8,TAB_IR_REGIMES,0)),0)*IF($F$26=2,BU178,MAX(0,BX178))-BW178)</f>
        <v>60843.6461399737</v>
      </c>
      <c r="BZ178" s="181" t="n">
        <f aca="false">MAX(0,BU178-BY178-BU178*$F$25)</f>
        <v>344780.661459851</v>
      </c>
      <c r="CA178" s="180" t="n">
        <f aca="false">BZ178/$D178</f>
        <v>235216.530835411</v>
      </c>
      <c r="CC178" s="180" t="n">
        <f aca="false">CJ177</f>
        <v>310387.062397895</v>
      </c>
      <c r="CD178" s="180" t="n">
        <f aca="false">IF($G$9=0,0,IF($A178&gt;IN_PRAZO,0,IF(APORTE_CORRIGIDO="Sim",IN_APORTE*$D178,IN_APORTE))+IF(AND($G$35=1,PGBL_REINVESTE="Sim",$A178&gt;=13,$A178&lt;=IN_PRAZO,MONTH($B178)=5),PGBL_BENEFICIO,0))</f>
        <v>0</v>
      </c>
      <c r="CE178" s="180" t="n">
        <f aca="false">CD178*$G$24</f>
        <v>0</v>
      </c>
      <c r="CF178" s="180" t="n">
        <f aca="false">CC178*$G$19</f>
        <v>2531.89724209507</v>
      </c>
      <c r="CG178" s="180" t="n">
        <f aca="false">CC178*$G$22</f>
        <v>258.655885331579</v>
      </c>
      <c r="CH178" s="180" t="n">
        <f aca="false">$G$23*MAX(0,CF178-CC178*$G$18)</f>
        <v>0</v>
      </c>
      <c r="CI178" s="180" t="n">
        <f aca="false">IF(AND($G$27=1,OR(MONTH($B178)=5,MONTH($B178)=11)),MAX(0,$G$28*MAX(0,(CC178+CF178-CG178-CH178+CD178-CE178)+CL177-CK178)-CL177),0)</f>
        <v>2009.08793409365</v>
      </c>
      <c r="CJ178" s="181" t="n">
        <f aca="false">CC178+CF178-CG178-CH178+CD178-CE178-CI178</f>
        <v>310651.215820564</v>
      </c>
      <c r="CK178" s="180" t="n">
        <f aca="false">CK177+CD178-CE178</f>
        <v>150000</v>
      </c>
      <c r="CL178" s="180" t="n">
        <f aca="false">CL177+CI178</f>
        <v>28350.2145565702</v>
      </c>
      <c r="CM178" s="180" t="n">
        <f aca="false">CJ178+CL178-CK178</f>
        <v>189001.430377135</v>
      </c>
      <c r="CN178" s="180" t="n">
        <f aca="false">MAX(0,IFERROR(INDEX(TAB_IR,MATCH($C178,TAB_IR_DIAS,1),MATCH($G$8,TAB_IR_REGIMES,0)),0)*IF($G$26=2,CJ178,MAX(0,CM178))-CL178)</f>
        <v>0</v>
      </c>
      <c r="CO178" s="181" t="n">
        <f aca="false">MAX(0,CJ178-CN178-CJ178*$G$25)</f>
        <v>310651.215820564</v>
      </c>
      <c r="CP178" s="180" t="n">
        <f aca="false">CO178/$D178</f>
        <v>211932.713904909</v>
      </c>
    </row>
    <row r="179" customFormat="false" ht="12" hidden="false" customHeight="true" outlineLevel="0" collapsed="false">
      <c r="A179" s="177" t="n">
        <v>118</v>
      </c>
      <c r="B179" s="178" t="n">
        <f aca="false">EDATE(DATA_INICIO,$A179)</f>
        <v>49849</v>
      </c>
      <c r="C179" s="177" t="n">
        <f aca="false">$A179*30</f>
        <v>3540</v>
      </c>
      <c r="D179" s="179" t="n">
        <f aca="false">(1+IPCA_CENARIO)^($A179/12)</f>
        <v>1.47059980180325</v>
      </c>
      <c r="F179" s="180" t="n">
        <f aca="false">M178</f>
        <v>444198.561615624</v>
      </c>
      <c r="G179" s="180" t="n">
        <f aca="false">IF($B$9=0,0,IF($A179&gt;IN_PRAZO,0,IF(APORTE_CORRIGIDO="Sim",IN_APORTE*$D179,IN_APORTE))+IF(AND($B$35=1,PGBL_REINVESTE="Sim",$A179&gt;=13,$A179&lt;=IN_PRAZO,MONTH($B179)=5),PGBL_BENEFICIO,0))</f>
        <v>0</v>
      </c>
      <c r="H179" s="180" t="n">
        <f aca="false">G179*$B$24</f>
        <v>0</v>
      </c>
      <c r="I179" s="180" t="n">
        <f aca="false">F179*$B$19</f>
        <v>4214.90817301028</v>
      </c>
      <c r="J179" s="180" t="n">
        <f aca="false">F179*$B$22</f>
        <v>74.033093602604</v>
      </c>
      <c r="K179" s="180" t="n">
        <f aca="false">$B$23*MAX(0,I179-F179*$B$18)</f>
        <v>0</v>
      </c>
      <c r="L179" s="180" t="n">
        <f aca="false">IF(AND($B$27=1,OR(MONTH($B179)=5,MONTH($B179)=11)),MAX(0,$B$28*MAX(0,(F179+I179-J179-K179+G179-H179)+O178-N179)-O178),0)</f>
        <v>0</v>
      </c>
      <c r="M179" s="181" t="n">
        <f aca="false">F179+I179-J179-K179+G179-H179-L179</f>
        <v>448339.436695032</v>
      </c>
      <c r="N179" s="180" t="n">
        <f aca="false">N178+G179-H179</f>
        <v>150000</v>
      </c>
      <c r="O179" s="180" t="n">
        <f aca="false">O178+L179</f>
        <v>0</v>
      </c>
      <c r="P179" s="180" t="n">
        <f aca="false">M179+O179-N179</f>
        <v>298339.436695032</v>
      </c>
      <c r="Q179" s="180" t="n">
        <f aca="false">MAX(0,IFERROR(INDEX(TAB_IR,MATCH($C179,TAB_IR_DIAS,1),MATCH($B$8,TAB_IR_REGIMES,0)),0)*IF($B$26=2,M179,MAX(0,P179))-O179)</f>
        <v>44750.9155042547</v>
      </c>
      <c r="R179" s="181" t="n">
        <f aca="false">MAX(0,M179-Q179-M179*$B$25)</f>
        <v>403588.521190777</v>
      </c>
      <c r="S179" s="180" t="n">
        <f aca="false">R179/$D179</f>
        <v>274438.035892495</v>
      </c>
      <c r="U179" s="180" t="n">
        <f aca="false">AB178</f>
        <v>380625.244725814</v>
      </c>
      <c r="V179" s="180" t="n">
        <f aca="false">IF($C$9=0,0,IF($A179&gt;IN_PRAZO,0,IF(APORTE_CORRIGIDO="Sim",IN_APORTE*$D179,IN_APORTE))+IF(AND($C$35=1,PGBL_REINVESTE="Sim",$A179&gt;=13,$A179&lt;=IN_PRAZO,MONTH($B179)=5),PGBL_BENEFICIO,0))</f>
        <v>0</v>
      </c>
      <c r="W179" s="180" t="n">
        <f aca="false">V179*$C$24</f>
        <v>0</v>
      </c>
      <c r="X179" s="180" t="n">
        <f aca="false">U179*$C$19</f>
        <v>3104.84592994295</v>
      </c>
      <c r="Y179" s="180" t="n">
        <f aca="false">U179*$C$22</f>
        <v>63.4375407876356</v>
      </c>
      <c r="Z179" s="180" t="n">
        <f aca="false">$C$23*MAX(0,X179-U179*$C$18)</f>
        <v>0</v>
      </c>
      <c r="AA179" s="180" t="n">
        <f aca="false">IF(AND($C$27=1,OR(MONTH($B179)=5,MONTH($B179)=11)),MAX(0,$C$28*MAX(0,(U179+X179-Y179-Z179+V179-W179)+AD178-AC179)-AD178),0)</f>
        <v>0</v>
      </c>
      <c r="AB179" s="181" t="n">
        <f aca="false">U179+X179-Y179-Z179+V179-W179-AA179</f>
        <v>383666.653114969</v>
      </c>
      <c r="AC179" s="180" t="n">
        <f aca="false">AC178+V179-W179</f>
        <v>150000</v>
      </c>
      <c r="AD179" s="180" t="n">
        <f aca="false">AD178+AA179</f>
        <v>0</v>
      </c>
      <c r="AE179" s="180" t="n">
        <f aca="false">AB179+AD179-AC179</f>
        <v>233666.653114969</v>
      </c>
      <c r="AF179" s="180" t="n">
        <f aca="false">MAX(0,IFERROR(INDEX(TAB_IR,MATCH($C179,TAB_IR_DIAS,1),MATCH($C$8,TAB_IR_REGIMES,0)),0)*IF($C$26=2,AB179,MAX(0,AE179))-AD179)</f>
        <v>35049.9979672453</v>
      </c>
      <c r="AG179" s="181" t="n">
        <f aca="false">MAX(0,AB179-AF179-AB179*$C$25)</f>
        <v>348616.655147724</v>
      </c>
      <c r="AH179" s="180" t="n">
        <f aca="false">AG179/$D179</f>
        <v>237057.460989896</v>
      </c>
      <c r="AJ179" s="180" t="n">
        <f aca="false">AQ178</f>
        <v>337403.192071995</v>
      </c>
      <c r="AK179" s="180" t="n">
        <f aca="false">IF($D$9=0,0,IF($A179&gt;IN_PRAZO,0,IF(APORTE_CORRIGIDO="Sim",IN_APORTE*$D179,IN_APORTE))+IF(AND($D$35=1,PGBL_REINVESTE="Sim",$A179&gt;=13,$A179&lt;=IN_PRAZO,MONTH($B179)=5),PGBL_BENEFICIO,0))</f>
        <v>0</v>
      </c>
      <c r="AL179" s="180" t="n">
        <f aca="false">AK179*$D$24</f>
        <v>0</v>
      </c>
      <c r="AM179" s="180" t="n">
        <f aca="false">AJ179*$D$19</f>
        <v>3032.81507708497</v>
      </c>
      <c r="AN179" s="180" t="n">
        <f aca="false">AJ179*$D$22</f>
        <v>281.169326726662</v>
      </c>
      <c r="AO179" s="180" t="n">
        <f aca="false">$D$23*MAX(0,AM179-AJ179*$D$18)</f>
        <v>0</v>
      </c>
      <c r="AP179" s="180" t="n">
        <f aca="false">IF(AND($D$27=1,OR(MONTH($B179)=5,MONTH($B179)=11)),MAX(0,$D$28*MAX(0,(AJ179+AM179-AN179-AO179+AK179-AL179)+AS178-AR179)-AS178),0)</f>
        <v>0</v>
      </c>
      <c r="AQ179" s="181" t="n">
        <f aca="false">AJ179+AM179-AN179-AO179+AK179-AL179-AP179</f>
        <v>340154.837822353</v>
      </c>
      <c r="AR179" s="180" t="n">
        <f aca="false">AR178+AK179-AL179</f>
        <v>150000</v>
      </c>
      <c r="AS179" s="180" t="n">
        <f aca="false">AS178+AP179</f>
        <v>33071.1515421167</v>
      </c>
      <c r="AT179" s="180" t="n">
        <f aca="false">AQ179+AS179-AR179</f>
        <v>223225.989364469</v>
      </c>
      <c r="AU179" s="180" t="n">
        <f aca="false">MAX(0,IFERROR(INDEX(TAB_IR,MATCH($C179,TAB_IR_DIAS,1),MATCH($D$8,TAB_IR_REGIMES,0)),0)*IF($D$26=2,AQ179,MAX(0,AT179))-AS179)</f>
        <v>412.746862553751</v>
      </c>
      <c r="AV179" s="181" t="n">
        <f aca="false">MAX(0,AQ179-AU179-AQ179*$D$25)</f>
        <v>339742.090959799</v>
      </c>
      <c r="AW179" s="180" t="n">
        <f aca="false">AV179/$D179</f>
        <v>231022.804806043</v>
      </c>
      <c r="AY179" s="180" t="n">
        <f aca="false">BF178</f>
        <v>405624.307599825</v>
      </c>
      <c r="AZ179" s="180" t="n">
        <f aca="false">IF($E$9=0,0,IF($A179&gt;IN_PRAZO,0,IF(APORTE_CORRIGIDO="Sim",IN_APORTE*$D179,IN_APORTE))+IF(AND($E$35=1,PGBL_REINVESTE="Sim",$A179&gt;=13,$A179&lt;=IN_PRAZO,MONTH($B179)=5),PGBL_BENEFICIO,0))</f>
        <v>0</v>
      </c>
      <c r="BA179" s="180" t="n">
        <f aca="false">AZ179*$E$24</f>
        <v>0</v>
      </c>
      <c r="BB179" s="180" t="n">
        <f aca="false">AY179*$E$19</f>
        <v>3970.55305495782</v>
      </c>
      <c r="BC179" s="180" t="n">
        <f aca="false">AY179*$E$22</f>
        <v>507.030384499781</v>
      </c>
      <c r="BD179" s="180" t="n">
        <f aca="false">$E$23*MAX(0,BB179-AY179*$E$18)</f>
        <v>0</v>
      </c>
      <c r="BE179" s="180" t="n">
        <f aca="false">IF(AND($E$27=1,OR(MONTH($B179)=5,MONTH($B179)=11)),MAX(0,$E$28*MAX(0,(AY179+BB179-BC179-BD179+AZ179-BA179)+BH178-BG179)-BH178),0)</f>
        <v>0</v>
      </c>
      <c r="BF179" s="181" t="n">
        <f aca="false">AY179+BB179-BC179-BD179+AZ179-BA179-BE179</f>
        <v>409087.830270283</v>
      </c>
      <c r="BG179" s="180" t="n">
        <f aca="false">BG178+AZ179-BA179</f>
        <v>150000</v>
      </c>
      <c r="BH179" s="180" t="n">
        <f aca="false">BH178+BE179</f>
        <v>0</v>
      </c>
      <c r="BI179" s="180" t="n">
        <f aca="false">BF179+BH179-BG179</f>
        <v>259087.830270283</v>
      </c>
      <c r="BJ179" s="180" t="n">
        <f aca="false">MAX(0,IFERROR(INDEX(TAB_IR,MATCH($C179,TAB_IR_DIAS,1),MATCH($E$8,TAB_IR_REGIMES,0)),0)*IF($E$26=2,BF179,MAX(0,BI179))-BH179)</f>
        <v>38863.1745405424</v>
      </c>
      <c r="BK179" s="181" t="n">
        <f aca="false">MAX(0,BF179-BJ179-BF179*$E$25)</f>
        <v>370224.65572974</v>
      </c>
      <c r="BL179" s="180" t="n">
        <f aca="false">BK179/$D179</f>
        <v>251750.785819344</v>
      </c>
      <c r="BN179" s="180" t="n">
        <f aca="false">BU178</f>
        <v>405624.307599825</v>
      </c>
      <c r="BO179" s="180" t="n">
        <f aca="false">IF($F$9=0,0,IF($A179&gt;IN_PRAZO,0,IF(APORTE_CORRIGIDO="Sim",IN_APORTE*$D179,IN_APORTE))+IF(AND($F$35=1,PGBL_REINVESTE="Sim",$A179&gt;=13,$A179&lt;=IN_PRAZO,MONTH($B179)=5),PGBL_BENEFICIO,0))</f>
        <v>0</v>
      </c>
      <c r="BP179" s="180" t="n">
        <f aca="false">BO179*$F$24</f>
        <v>0</v>
      </c>
      <c r="BQ179" s="180" t="n">
        <f aca="false">BN179*$F$19</f>
        <v>3970.55305495782</v>
      </c>
      <c r="BR179" s="180" t="n">
        <f aca="false">BN179*$F$22</f>
        <v>507.030384499781</v>
      </c>
      <c r="BS179" s="180" t="n">
        <f aca="false">$F$23*MAX(0,BQ179-BN179*$F$18)</f>
        <v>0</v>
      </c>
      <c r="BT179" s="180" t="n">
        <f aca="false">IF(AND($F$27=1,OR(MONTH($B179)=5,MONTH($B179)=11)),MAX(0,$F$28*MAX(0,(BN179+BQ179-BR179-BS179+BO179-BP179)+BW178-BV179)-BW178),0)</f>
        <v>0</v>
      </c>
      <c r="BU179" s="181" t="n">
        <f aca="false">BN179+BQ179-BR179-BS179+BO179-BP179-BT179</f>
        <v>409087.830270283</v>
      </c>
      <c r="BV179" s="180" t="n">
        <f aca="false">BV178+BO179-BP179</f>
        <v>150000</v>
      </c>
      <c r="BW179" s="180" t="n">
        <f aca="false">BW178+BT179</f>
        <v>0</v>
      </c>
      <c r="BX179" s="180" t="n">
        <f aca="false">BU179+BW179-BV179</f>
        <v>259087.830270283</v>
      </c>
      <c r="BY179" s="180" t="n">
        <f aca="false">MAX(0,IFERROR(INDEX(TAB_IR,MATCH($C179,TAB_IR_DIAS,1),MATCH($F$8,TAB_IR_REGIMES,0)),0)*IF($F$26=2,BU179,MAX(0,BX179))-BW179)</f>
        <v>61363.1745405424</v>
      </c>
      <c r="BZ179" s="181" t="n">
        <f aca="false">MAX(0,BU179-BY179-BU179*$F$25)</f>
        <v>347724.65572974</v>
      </c>
      <c r="CA179" s="180" t="n">
        <f aca="false">BZ179/$D179</f>
        <v>236450.906156358</v>
      </c>
      <c r="CC179" s="180" t="n">
        <f aca="false">CJ178</f>
        <v>310651.215820564</v>
      </c>
      <c r="CD179" s="180" t="n">
        <f aca="false">IF($G$9=0,0,IF($A179&gt;IN_PRAZO,0,IF(APORTE_CORRIGIDO="Sim",IN_APORTE*$D179,IN_APORTE))+IF(AND($G$35=1,PGBL_REINVESTE="Sim",$A179&gt;=13,$A179&lt;=IN_PRAZO,MONTH($B179)=5),PGBL_BENEFICIO,0))</f>
        <v>0</v>
      </c>
      <c r="CE179" s="180" t="n">
        <f aca="false">CD179*$G$24</f>
        <v>0</v>
      </c>
      <c r="CF179" s="180" t="n">
        <f aca="false">CC179*$G$19</f>
        <v>2534.05200111493</v>
      </c>
      <c r="CG179" s="180" t="n">
        <f aca="false">CC179*$G$22</f>
        <v>258.876013183804</v>
      </c>
      <c r="CH179" s="180" t="n">
        <f aca="false">$G$23*MAX(0,CF179-CC179*$G$18)</f>
        <v>0</v>
      </c>
      <c r="CI179" s="180" t="n">
        <f aca="false">IF(AND($G$27=1,OR(MONTH($B179)=5,MONTH($B179)=11)),MAX(0,$G$28*MAX(0,(CC179+CF179-CG179-CH179+CD179-CE179)+CL178-CK179)-CL178),0)</f>
        <v>0</v>
      </c>
      <c r="CJ179" s="181" t="n">
        <f aca="false">CC179+CF179-CG179-CH179+CD179-CE179-CI179</f>
        <v>312926.391808496</v>
      </c>
      <c r="CK179" s="180" t="n">
        <f aca="false">CK178+CD179-CE179</f>
        <v>150000</v>
      </c>
      <c r="CL179" s="180" t="n">
        <f aca="false">CL178+CI179</f>
        <v>28350.2145565702</v>
      </c>
      <c r="CM179" s="180" t="n">
        <f aca="false">CJ179+CL179-CK179</f>
        <v>191276.606365066</v>
      </c>
      <c r="CN179" s="180" t="n">
        <f aca="false">MAX(0,IFERROR(INDEX(TAB_IR,MATCH($C179,TAB_IR_DIAS,1),MATCH($G$8,TAB_IR_REGIMES,0)),0)*IF($G$26=2,CJ179,MAX(0,CM179))-CL179)</f>
        <v>341.276398189664</v>
      </c>
      <c r="CO179" s="181" t="n">
        <f aca="false">MAX(0,CJ179-CN179-CJ179*$G$25)</f>
        <v>312585.115410306</v>
      </c>
      <c r="CP179" s="180" t="n">
        <f aca="false">CO179/$D179</f>
        <v>212556.20667636</v>
      </c>
    </row>
    <row r="180" customFormat="false" ht="12" hidden="false" customHeight="true" outlineLevel="0" collapsed="false">
      <c r="A180" s="177" t="n">
        <v>119</v>
      </c>
      <c r="B180" s="178" t="n">
        <f aca="false">EDATE(DATA_INICIO,$A180)</f>
        <v>49879</v>
      </c>
      <c r="C180" s="177" t="n">
        <f aca="false">$A180*30</f>
        <v>3570</v>
      </c>
      <c r="D180" s="179" t="n">
        <f aca="false">(1+IPCA_CENARIO)^($A180/12)</f>
        <v>1.47541416287811</v>
      </c>
      <c r="F180" s="180" t="n">
        <f aca="false">M179</f>
        <v>448339.436695032</v>
      </c>
      <c r="G180" s="180" t="n">
        <f aca="false">IF($B$9=0,0,IF($A180&gt;IN_PRAZO,0,IF(APORTE_CORRIGIDO="Sim",IN_APORTE*$D180,IN_APORTE))+IF(AND($B$35=1,PGBL_REINVESTE="Sim",$A180&gt;=13,$A180&lt;=IN_PRAZO,MONTH($B180)=5),PGBL_BENEFICIO,0))</f>
        <v>0</v>
      </c>
      <c r="H180" s="180" t="n">
        <f aca="false">G180*$B$24</f>
        <v>0</v>
      </c>
      <c r="I180" s="180" t="n">
        <f aca="false">F180*$B$19</f>
        <v>4254.20007920676</v>
      </c>
      <c r="J180" s="180" t="n">
        <f aca="false">F180*$B$22</f>
        <v>74.7232394491719</v>
      </c>
      <c r="K180" s="180" t="n">
        <f aca="false">$B$23*MAX(0,I180-F180*$B$18)</f>
        <v>0</v>
      </c>
      <c r="L180" s="180" t="n">
        <f aca="false">IF(AND($B$27=1,OR(MONTH($B180)=5,MONTH($B180)=11)),MAX(0,$B$28*MAX(0,(F180+I180-J180-K180+G180-H180)+O179-N180)-O179),0)</f>
        <v>0</v>
      </c>
      <c r="M180" s="181" t="n">
        <f aca="false">F180+I180-J180-K180+G180-H180-L180</f>
        <v>452518.913534789</v>
      </c>
      <c r="N180" s="180" t="n">
        <f aca="false">N179+G180-H180</f>
        <v>150000</v>
      </c>
      <c r="O180" s="180" t="n">
        <f aca="false">O179+L180</f>
        <v>0</v>
      </c>
      <c r="P180" s="180" t="n">
        <f aca="false">M180+O180-N180</f>
        <v>302518.913534789</v>
      </c>
      <c r="Q180" s="180" t="n">
        <f aca="false">MAX(0,IFERROR(INDEX(TAB_IR,MATCH($C180,TAB_IR_DIAS,1),MATCH($B$8,TAB_IR_REGIMES,0)),0)*IF($B$26=2,M180,MAX(0,P180))-O180)</f>
        <v>45377.8370302184</v>
      </c>
      <c r="R180" s="181" t="n">
        <f aca="false">MAX(0,M180-Q180-M180*$B$25)</f>
        <v>407141.076504571</v>
      </c>
      <c r="S180" s="180" t="n">
        <f aca="false">R180/$D180</f>
        <v>275950.364818483</v>
      </c>
      <c r="U180" s="180" t="n">
        <f aca="false">AB179</f>
        <v>383666.653114969</v>
      </c>
      <c r="V180" s="180" t="n">
        <f aca="false">IF($C$9=0,0,IF($A180&gt;IN_PRAZO,0,IF(APORTE_CORRIGIDO="Sim",IN_APORTE*$D180,IN_APORTE))+IF(AND($C$35=1,PGBL_REINVESTE="Sim",$A180&gt;=13,$A180&lt;=IN_PRAZO,MONTH($B180)=5),PGBL_BENEFICIO,0))</f>
        <v>0</v>
      </c>
      <c r="W180" s="180" t="n">
        <f aca="false">V180*$C$24</f>
        <v>0</v>
      </c>
      <c r="X180" s="180" t="n">
        <f aca="false">U180*$C$19</f>
        <v>3129.65538383286</v>
      </c>
      <c r="Y180" s="180" t="n">
        <f aca="false">U180*$C$22</f>
        <v>63.9444421858282</v>
      </c>
      <c r="Z180" s="180" t="n">
        <f aca="false">$C$23*MAX(0,X180-U180*$C$18)</f>
        <v>0</v>
      </c>
      <c r="AA180" s="180" t="n">
        <f aca="false">IF(AND($C$27=1,OR(MONTH($B180)=5,MONTH($B180)=11)),MAX(0,$C$28*MAX(0,(U180+X180-Y180-Z180+V180-W180)+AD179-AC180)-AD179),0)</f>
        <v>0</v>
      </c>
      <c r="AB180" s="181" t="n">
        <f aca="false">U180+X180-Y180-Z180+V180-W180-AA180</f>
        <v>386732.364056616</v>
      </c>
      <c r="AC180" s="180" t="n">
        <f aca="false">AC179+V180-W180</f>
        <v>150000</v>
      </c>
      <c r="AD180" s="180" t="n">
        <f aca="false">AD179+AA180</f>
        <v>0</v>
      </c>
      <c r="AE180" s="180" t="n">
        <f aca="false">AB180+AD180-AC180</f>
        <v>236732.364056616</v>
      </c>
      <c r="AF180" s="180" t="n">
        <f aca="false">MAX(0,IFERROR(INDEX(TAB_IR,MATCH($C180,TAB_IR_DIAS,1),MATCH($C$8,TAB_IR_REGIMES,0)),0)*IF($C$26=2,AB180,MAX(0,AE180))-AD180)</f>
        <v>35509.8546084924</v>
      </c>
      <c r="AG180" s="181" t="n">
        <f aca="false">MAX(0,AB180-AF180-AB180*$C$25)</f>
        <v>351222.509448124</v>
      </c>
      <c r="AH180" s="180" t="n">
        <f aca="false">AG180/$D180</f>
        <v>238050.113849381</v>
      </c>
      <c r="AJ180" s="180" t="n">
        <f aca="false">AQ179</f>
        <v>340154.837822353</v>
      </c>
      <c r="AK180" s="180" t="n">
        <f aca="false">IF($D$9=0,0,IF($A180&gt;IN_PRAZO,0,IF(APORTE_CORRIGIDO="Sim",IN_APORTE*$D180,IN_APORTE))+IF(AND($D$35=1,PGBL_REINVESTE="Sim",$A180&gt;=13,$A180&lt;=IN_PRAZO,MONTH($B180)=5),PGBL_BENEFICIO,0))</f>
        <v>0</v>
      </c>
      <c r="AL180" s="180" t="n">
        <f aca="false">AK180*$D$24</f>
        <v>0</v>
      </c>
      <c r="AM180" s="180" t="n">
        <f aca="false">AJ180*$D$19</f>
        <v>3057.54878712261</v>
      </c>
      <c r="AN180" s="180" t="n">
        <f aca="false">AJ180*$D$22</f>
        <v>283.462364851961</v>
      </c>
      <c r="AO180" s="180" t="n">
        <f aca="false">$D$23*MAX(0,AM180-AJ180*$D$18)</f>
        <v>0</v>
      </c>
      <c r="AP180" s="180" t="n">
        <f aca="false">IF(AND($D$27=1,OR(MONTH($B180)=5,MONTH($B180)=11)),MAX(0,$D$28*MAX(0,(AJ180+AM180-AN180-AO180+AK180-AL180)+AS179-AR180)-AS179),0)</f>
        <v>0</v>
      </c>
      <c r="AQ180" s="181" t="n">
        <f aca="false">AJ180+AM180-AN180-AO180+AK180-AL180-AP180</f>
        <v>342928.924244623</v>
      </c>
      <c r="AR180" s="180" t="n">
        <f aca="false">AR179+AK180-AL180</f>
        <v>150000</v>
      </c>
      <c r="AS180" s="180" t="n">
        <f aca="false">AS179+AP180</f>
        <v>33071.1515421167</v>
      </c>
      <c r="AT180" s="180" t="n">
        <f aca="false">AQ180+AS180-AR180</f>
        <v>226000.07578674</v>
      </c>
      <c r="AU180" s="180" t="n">
        <f aca="false">MAX(0,IFERROR(INDEX(TAB_IR,MATCH($C180,TAB_IR_DIAS,1),MATCH($D$8,TAB_IR_REGIMES,0)),0)*IF($D$26=2,AQ180,MAX(0,AT180))-AS180)</f>
        <v>828.859825894346</v>
      </c>
      <c r="AV180" s="181" t="n">
        <f aca="false">MAX(0,AQ180-AU180-AQ180*$D$25)</f>
        <v>342100.064418729</v>
      </c>
      <c r="AW180" s="180" t="n">
        <f aca="false">AV180/$D180</f>
        <v>231867.141461751</v>
      </c>
      <c r="AY180" s="180" t="n">
        <f aca="false">BF179</f>
        <v>409087.830270283</v>
      </c>
      <c r="AZ180" s="180" t="n">
        <f aca="false">IF($E$9=0,0,IF($A180&gt;IN_PRAZO,0,IF(APORTE_CORRIGIDO="Sim",IN_APORTE*$D180,IN_APORTE))+IF(AND($E$35=1,PGBL_REINVESTE="Sim",$A180&gt;=13,$A180&lt;=IN_PRAZO,MONTH($B180)=5),PGBL_BENEFICIO,0))</f>
        <v>0</v>
      </c>
      <c r="BA180" s="180" t="n">
        <f aca="false">AZ180*$E$24</f>
        <v>0</v>
      </c>
      <c r="BB180" s="180" t="n">
        <f aca="false">AY180*$E$19</f>
        <v>4004.45659639368</v>
      </c>
      <c r="BC180" s="180" t="n">
        <f aca="false">AY180*$E$22</f>
        <v>511.359787837853</v>
      </c>
      <c r="BD180" s="180" t="n">
        <f aca="false">$E$23*MAX(0,BB180-AY180*$E$18)</f>
        <v>0</v>
      </c>
      <c r="BE180" s="180" t="n">
        <f aca="false">IF(AND($E$27=1,OR(MONTH($B180)=5,MONTH($B180)=11)),MAX(0,$E$28*MAX(0,(AY180+BB180-BC180-BD180+AZ180-BA180)+BH179-BG180)-BH179),0)</f>
        <v>0</v>
      </c>
      <c r="BF180" s="181" t="n">
        <f aca="false">AY180+BB180-BC180-BD180+AZ180-BA180-BE180</f>
        <v>412580.927078839</v>
      </c>
      <c r="BG180" s="180" t="n">
        <f aca="false">BG179+AZ180-BA180</f>
        <v>150000</v>
      </c>
      <c r="BH180" s="180" t="n">
        <f aca="false">BH179+BE180</f>
        <v>0</v>
      </c>
      <c r="BI180" s="180" t="n">
        <f aca="false">BF180+BH180-BG180</f>
        <v>262580.927078839</v>
      </c>
      <c r="BJ180" s="180" t="n">
        <f aca="false">MAX(0,IFERROR(INDEX(TAB_IR,MATCH($C180,TAB_IR_DIAS,1),MATCH($E$8,TAB_IR_REGIMES,0)),0)*IF($E$26=2,BF180,MAX(0,BI180))-BH180)</f>
        <v>39387.1390618258</v>
      </c>
      <c r="BK180" s="181" t="n">
        <f aca="false">MAX(0,BF180-BJ180-BF180*$E$25)</f>
        <v>373193.788017013</v>
      </c>
      <c r="BL180" s="180" t="n">
        <f aca="false">BK180/$D180</f>
        <v>252941.714541372</v>
      </c>
      <c r="BN180" s="180" t="n">
        <f aca="false">BU179</f>
        <v>409087.830270283</v>
      </c>
      <c r="BO180" s="180" t="n">
        <f aca="false">IF($F$9=0,0,IF($A180&gt;IN_PRAZO,0,IF(APORTE_CORRIGIDO="Sim",IN_APORTE*$D180,IN_APORTE))+IF(AND($F$35=1,PGBL_REINVESTE="Sim",$A180&gt;=13,$A180&lt;=IN_PRAZO,MONTH($B180)=5),PGBL_BENEFICIO,0))</f>
        <v>0</v>
      </c>
      <c r="BP180" s="180" t="n">
        <f aca="false">BO180*$F$24</f>
        <v>0</v>
      </c>
      <c r="BQ180" s="180" t="n">
        <f aca="false">BN180*$F$19</f>
        <v>4004.45659639368</v>
      </c>
      <c r="BR180" s="180" t="n">
        <f aca="false">BN180*$F$22</f>
        <v>511.359787837853</v>
      </c>
      <c r="BS180" s="180" t="n">
        <f aca="false">$F$23*MAX(0,BQ180-BN180*$F$18)</f>
        <v>0</v>
      </c>
      <c r="BT180" s="180" t="n">
        <f aca="false">IF(AND($F$27=1,OR(MONTH($B180)=5,MONTH($B180)=11)),MAX(0,$F$28*MAX(0,(BN180+BQ180-BR180-BS180+BO180-BP180)+BW179-BV180)-BW179),0)</f>
        <v>0</v>
      </c>
      <c r="BU180" s="181" t="n">
        <f aca="false">BN180+BQ180-BR180-BS180+BO180-BP180-BT180</f>
        <v>412580.927078839</v>
      </c>
      <c r="BV180" s="180" t="n">
        <f aca="false">BV179+BO180-BP180</f>
        <v>150000</v>
      </c>
      <c r="BW180" s="180" t="n">
        <f aca="false">BW179+BT180</f>
        <v>0</v>
      </c>
      <c r="BX180" s="180" t="n">
        <f aca="false">BU180+BW180-BV180</f>
        <v>262580.927078839</v>
      </c>
      <c r="BY180" s="180" t="n">
        <f aca="false">MAX(0,IFERROR(INDEX(TAB_IR,MATCH($C180,TAB_IR_DIAS,1),MATCH($F$8,TAB_IR_REGIMES,0)),0)*IF($F$26=2,BU180,MAX(0,BX180))-BW180)</f>
        <v>61887.1390618258</v>
      </c>
      <c r="BZ180" s="181" t="n">
        <f aca="false">MAX(0,BU180-BY180-BU180*$F$25)</f>
        <v>350693.788017013</v>
      </c>
      <c r="CA180" s="180" t="n">
        <f aca="false">BZ180/$D180</f>
        <v>237691.759263656</v>
      </c>
      <c r="CC180" s="180" t="n">
        <f aca="false">CJ179</f>
        <v>312926.391808496</v>
      </c>
      <c r="CD180" s="180" t="n">
        <f aca="false">IF($G$9=0,0,IF($A180&gt;IN_PRAZO,0,IF(APORTE_CORRIGIDO="Sim",IN_APORTE*$D180,IN_APORTE))+IF(AND($G$35=1,PGBL_REINVESTE="Sim",$A180&gt;=13,$A180&lt;=IN_PRAZO,MONTH($B180)=5),PGBL_BENEFICIO,0))</f>
        <v>0</v>
      </c>
      <c r="CE180" s="180" t="n">
        <f aca="false">CD180*$G$24</f>
        <v>0</v>
      </c>
      <c r="CF180" s="180" t="n">
        <f aca="false">CC180*$G$19</f>
        <v>2552.6111245675</v>
      </c>
      <c r="CG180" s="180" t="n">
        <f aca="false">CC180*$G$22</f>
        <v>260.771993173746</v>
      </c>
      <c r="CH180" s="180" t="n">
        <f aca="false">$G$23*MAX(0,CF180-CC180*$G$18)</f>
        <v>0</v>
      </c>
      <c r="CI180" s="180" t="n">
        <f aca="false">IF(AND($G$27=1,OR(MONTH($B180)=5,MONTH($B180)=11)),MAX(0,$G$28*MAX(0,(CC180+CF180-CG180-CH180+CD180-CE180)+CL179-CK180)-CL179),0)</f>
        <v>0</v>
      </c>
      <c r="CJ180" s="181" t="n">
        <f aca="false">CC180+CF180-CG180-CH180+CD180-CE180-CI180</f>
        <v>315218.230939889</v>
      </c>
      <c r="CK180" s="180" t="n">
        <f aca="false">CK179+CD180-CE180</f>
        <v>150000</v>
      </c>
      <c r="CL180" s="180" t="n">
        <f aca="false">CL179+CI180</f>
        <v>28350.2145565702</v>
      </c>
      <c r="CM180" s="180" t="n">
        <f aca="false">CJ180+CL180-CK180</f>
        <v>193568.445496459</v>
      </c>
      <c r="CN180" s="180" t="n">
        <f aca="false">MAX(0,IFERROR(INDEX(TAB_IR,MATCH($C180,TAB_IR_DIAS,1),MATCH($G$8,TAB_IR_REGIMES,0)),0)*IF($G$26=2,CJ180,MAX(0,CM180))-CL180)</f>
        <v>685.052267898729</v>
      </c>
      <c r="CO180" s="181" t="n">
        <f aca="false">MAX(0,CJ180-CN180-CJ180*$G$25)</f>
        <v>314533.178671991</v>
      </c>
      <c r="CP180" s="180" t="n">
        <f aca="false">CO180/$D180</f>
        <v>213182.973693587</v>
      </c>
    </row>
    <row r="181" customFormat="false" ht="12" hidden="false" customHeight="true" outlineLevel="0" collapsed="false">
      <c r="A181" s="177" t="n">
        <v>120</v>
      </c>
      <c r="B181" s="178" t="n">
        <f aca="false">EDATE(DATA_INICIO,$A181)</f>
        <v>49910</v>
      </c>
      <c r="C181" s="177" t="n">
        <f aca="false">$A181*30</f>
        <v>3600</v>
      </c>
      <c r="D181" s="179" t="n">
        <f aca="false">(1+IPCA_CENARIO)^($A181/12)</f>
        <v>1.48024428491834</v>
      </c>
      <c r="F181" s="180" t="n">
        <f aca="false">M180</f>
        <v>452518.913534789</v>
      </c>
      <c r="G181" s="180" t="n">
        <f aca="false">IF($B$9=0,0,IF($A181&gt;IN_PRAZO,0,IF(APORTE_CORRIGIDO="Sim",IN_APORTE*$D181,IN_APORTE))+IF(AND($B$35=1,PGBL_REINVESTE="Sim",$A181&gt;=13,$A181&lt;=IN_PRAZO,MONTH($B181)=5),PGBL_BENEFICIO,0))</f>
        <v>0</v>
      </c>
      <c r="H181" s="180" t="n">
        <f aca="false">G181*$B$24</f>
        <v>0</v>
      </c>
      <c r="I181" s="180" t="n">
        <f aca="false">F181*$B$19</f>
        <v>4293.8582695141</v>
      </c>
      <c r="J181" s="180" t="n">
        <f aca="false">F181*$B$22</f>
        <v>75.4198189224649</v>
      </c>
      <c r="K181" s="180" t="n">
        <f aca="false">$B$23*MAX(0,I181-F181*$B$18)</f>
        <v>0</v>
      </c>
      <c r="L181" s="180" t="n">
        <f aca="false">IF(AND($B$27=1,OR(MONTH($B181)=5,MONTH($B181)=11)),MAX(0,$B$28*MAX(0,(F181+I181-J181-K181+G181-H181)+O180-N181)-O180),0)</f>
        <v>0</v>
      </c>
      <c r="M181" s="181" t="n">
        <f aca="false">F181+I181-J181-K181+G181-H181-L181</f>
        <v>456737.351985381</v>
      </c>
      <c r="N181" s="180" t="n">
        <f aca="false">N180+G181-H181</f>
        <v>150000</v>
      </c>
      <c r="O181" s="180" t="n">
        <f aca="false">O180+L181</f>
        <v>0</v>
      </c>
      <c r="P181" s="180" t="n">
        <f aca="false">M181+O181-N181</f>
        <v>306737.351985381</v>
      </c>
      <c r="Q181" s="180" t="n">
        <f aca="false">MAX(0,IFERROR(INDEX(TAB_IR,MATCH($C181,TAB_IR_DIAS,1),MATCH($B$8,TAB_IR_REGIMES,0)),0)*IF($B$26=2,M181,MAX(0,P181))-O181)</f>
        <v>46010.6027978071</v>
      </c>
      <c r="R181" s="181" t="n">
        <f aca="false">MAX(0,M181-Q181-M181*$B$25)</f>
        <v>410726.749187574</v>
      </c>
      <c r="S181" s="180" t="n">
        <f aca="false">R181/$D181</f>
        <v>277472.274929425</v>
      </c>
      <c r="U181" s="180" t="n">
        <f aca="false">AB180</f>
        <v>386732.364056616</v>
      </c>
      <c r="V181" s="180" t="n">
        <f aca="false">IF($C$9=0,0,IF($A181&gt;IN_PRAZO,0,IF(APORTE_CORRIGIDO="Sim",IN_APORTE*$D181,IN_APORTE))+IF(AND($C$35=1,PGBL_REINVESTE="Sim",$A181&gt;=13,$A181&lt;=IN_PRAZO,MONTH($B181)=5),PGBL_BENEFICIO,0))</f>
        <v>0</v>
      </c>
      <c r="W181" s="180" t="n">
        <f aca="false">V181*$C$24</f>
        <v>0</v>
      </c>
      <c r="X181" s="180" t="n">
        <f aca="false">U181*$C$19</f>
        <v>3154.66307912226</v>
      </c>
      <c r="Y181" s="180" t="n">
        <f aca="false">U181*$C$22</f>
        <v>64.455394009436</v>
      </c>
      <c r="Z181" s="180" t="n">
        <f aca="false">$C$23*MAX(0,X181-U181*$C$18)</f>
        <v>0</v>
      </c>
      <c r="AA181" s="180" t="n">
        <f aca="false">IF(AND($C$27=1,OR(MONTH($B181)=5,MONTH($B181)=11)),MAX(0,$C$28*MAX(0,(U181+X181-Y181-Z181+V181-W181)+AD180-AC181)-AD180),0)</f>
        <v>0</v>
      </c>
      <c r="AB181" s="181" t="n">
        <f aca="false">U181+X181-Y181-Z181+V181-W181-AA181</f>
        <v>389822.571741729</v>
      </c>
      <c r="AC181" s="180" t="n">
        <f aca="false">AC180+V181-W181</f>
        <v>150000</v>
      </c>
      <c r="AD181" s="180" t="n">
        <f aca="false">AD180+AA181</f>
        <v>0</v>
      </c>
      <c r="AE181" s="180" t="n">
        <f aca="false">AB181+AD181-AC181</f>
        <v>239822.571741729</v>
      </c>
      <c r="AF181" s="180" t="n">
        <f aca="false">MAX(0,IFERROR(INDEX(TAB_IR,MATCH($C181,TAB_IR_DIAS,1),MATCH($C$8,TAB_IR_REGIMES,0)),0)*IF($C$26=2,AB181,MAX(0,AE181))-AD181)</f>
        <v>35973.3857612593</v>
      </c>
      <c r="AG181" s="181" t="n">
        <f aca="false">MAX(0,AB181-AF181-AB181*$C$25)</f>
        <v>353849.18598047</v>
      </c>
      <c r="AH181" s="180" t="n">
        <f aca="false">AG181/$D181</f>
        <v>239047.831216581</v>
      </c>
      <c r="AJ181" s="180" t="n">
        <f aca="false">AQ180</f>
        <v>342928.924244623</v>
      </c>
      <c r="AK181" s="180" t="n">
        <f aca="false">IF($D$9=0,0,IF($A181&gt;IN_PRAZO,0,IF(APORTE_CORRIGIDO="Sim",IN_APORTE*$D181,IN_APORTE))+IF(AND($D$35=1,PGBL_REINVESTE="Sim",$A181&gt;=13,$A181&lt;=IN_PRAZO,MONTH($B181)=5),PGBL_BENEFICIO,0))</f>
        <v>0</v>
      </c>
      <c r="AL181" s="180" t="n">
        <f aca="false">AK181*$D$24</f>
        <v>0</v>
      </c>
      <c r="AM181" s="180" t="n">
        <f aca="false">AJ181*$D$19</f>
        <v>3082.48420956166</v>
      </c>
      <c r="AN181" s="180" t="n">
        <f aca="false">AJ181*$D$22</f>
        <v>285.774103537186</v>
      </c>
      <c r="AO181" s="180" t="n">
        <f aca="false">$D$23*MAX(0,AM181-AJ181*$D$18)</f>
        <v>0</v>
      </c>
      <c r="AP181" s="180" t="n">
        <f aca="false">IF(AND($D$27=1,OR(MONTH($B181)=5,MONTH($B181)=11)),MAX(0,$D$28*MAX(0,(AJ181+AM181-AN181-AO181+AK181-AL181)+AS180-AR181)-AS180),0)</f>
        <v>0</v>
      </c>
      <c r="AQ181" s="181" t="n">
        <f aca="false">AJ181+AM181-AN181-AO181+AK181-AL181-AP181</f>
        <v>345725.634350648</v>
      </c>
      <c r="AR181" s="180" t="n">
        <f aca="false">AR180+AK181-AL181</f>
        <v>150000</v>
      </c>
      <c r="AS181" s="180" t="n">
        <f aca="false">AS180+AP181</f>
        <v>33071.1515421167</v>
      </c>
      <c r="AT181" s="180" t="n">
        <f aca="false">AQ181+AS181-AR181</f>
        <v>228796.785892765</v>
      </c>
      <c r="AU181" s="180" t="n">
        <f aca="false">MAX(0,IFERROR(INDEX(TAB_IR,MATCH($C181,TAB_IR_DIAS,1),MATCH($D$8,TAB_IR_REGIMES,0)),0)*IF($D$26=2,AQ181,MAX(0,AT181))-AS181)</f>
        <v>1248.36634179801</v>
      </c>
      <c r="AV181" s="181" t="n">
        <f aca="false">MAX(0,AQ181-AU181-AQ181*$D$25)</f>
        <v>344477.26800885</v>
      </c>
      <c r="AW181" s="180" t="n">
        <f aca="false">AV181/$D181</f>
        <v>232716.499241781</v>
      </c>
      <c r="AY181" s="180" t="n">
        <f aca="false">BF180</f>
        <v>412580.927078839</v>
      </c>
      <c r="AZ181" s="180" t="n">
        <f aca="false">IF($E$9=0,0,IF($A181&gt;IN_PRAZO,0,IF(APORTE_CORRIGIDO="Sim",IN_APORTE*$D181,IN_APORTE))+IF(AND($E$35=1,PGBL_REINVESTE="Sim",$A181&gt;=13,$A181&lt;=IN_PRAZO,MONTH($B181)=5),PGBL_BENEFICIO,0))</f>
        <v>0</v>
      </c>
      <c r="BA181" s="180" t="n">
        <f aca="false">AZ181*$E$24</f>
        <v>0</v>
      </c>
      <c r="BB181" s="180" t="n">
        <f aca="false">AY181*$E$19</f>
        <v>4038.64963153633</v>
      </c>
      <c r="BC181" s="180" t="n">
        <f aca="false">AY181*$E$22</f>
        <v>515.726158848548</v>
      </c>
      <c r="BD181" s="180" t="n">
        <f aca="false">$E$23*MAX(0,BB181-AY181*$E$18)</f>
        <v>0</v>
      </c>
      <c r="BE181" s="180" t="n">
        <f aca="false">IF(AND($E$27=1,OR(MONTH($B181)=5,MONTH($B181)=11)),MAX(0,$E$28*MAX(0,(AY181+BB181-BC181-BD181+AZ181-BA181)+BH180-BG181)-BH180),0)</f>
        <v>0</v>
      </c>
      <c r="BF181" s="181" t="n">
        <f aca="false">AY181+BB181-BC181-BD181+AZ181-BA181-BE181</f>
        <v>416103.850551526</v>
      </c>
      <c r="BG181" s="180" t="n">
        <f aca="false">BG180+AZ181-BA181</f>
        <v>150000</v>
      </c>
      <c r="BH181" s="180" t="n">
        <f aca="false">BH180+BE181</f>
        <v>0</v>
      </c>
      <c r="BI181" s="180" t="n">
        <f aca="false">BF181+BH181-BG181</f>
        <v>266103.850551526</v>
      </c>
      <c r="BJ181" s="180" t="n">
        <f aca="false">MAX(0,IFERROR(INDEX(TAB_IR,MATCH($C181,TAB_IR_DIAS,1),MATCH($E$8,TAB_IR_REGIMES,0)),0)*IF($E$26=2,BF181,MAX(0,BI181))-BH181)</f>
        <v>39915.577582729</v>
      </c>
      <c r="BK181" s="181" t="n">
        <f aca="false">MAX(0,BF181-BJ181-BF181*$E$25)</f>
        <v>376188.272968797</v>
      </c>
      <c r="BL181" s="180" t="n">
        <f aca="false">BK181/$D181</f>
        <v>254139.317950178</v>
      </c>
      <c r="BN181" s="180" t="n">
        <f aca="false">BU180</f>
        <v>412580.927078839</v>
      </c>
      <c r="BO181" s="180" t="n">
        <f aca="false">IF($F$9=0,0,IF($A181&gt;IN_PRAZO,0,IF(APORTE_CORRIGIDO="Sim",IN_APORTE*$D181,IN_APORTE))+IF(AND($F$35=1,PGBL_REINVESTE="Sim",$A181&gt;=13,$A181&lt;=IN_PRAZO,MONTH($B181)=5),PGBL_BENEFICIO,0))</f>
        <v>0</v>
      </c>
      <c r="BP181" s="180" t="n">
        <f aca="false">BO181*$F$24</f>
        <v>0</v>
      </c>
      <c r="BQ181" s="180" t="n">
        <f aca="false">BN181*$F$19</f>
        <v>4038.64963153633</v>
      </c>
      <c r="BR181" s="180" t="n">
        <f aca="false">BN181*$F$22</f>
        <v>515.726158848548</v>
      </c>
      <c r="BS181" s="180" t="n">
        <f aca="false">$F$23*MAX(0,BQ181-BN181*$F$18)</f>
        <v>0</v>
      </c>
      <c r="BT181" s="180" t="n">
        <f aca="false">IF(AND($F$27=1,OR(MONTH($B181)=5,MONTH($B181)=11)),MAX(0,$F$28*MAX(0,(BN181+BQ181-BR181-BS181+BO181-BP181)+BW180-BV181)-BW180),0)</f>
        <v>0</v>
      </c>
      <c r="BU181" s="181" t="n">
        <f aca="false">BN181+BQ181-BR181-BS181+BO181-BP181-BT181</f>
        <v>416103.850551526</v>
      </c>
      <c r="BV181" s="180" t="n">
        <f aca="false">BV180+BO181-BP181</f>
        <v>150000</v>
      </c>
      <c r="BW181" s="180" t="n">
        <f aca="false">BW180+BT181</f>
        <v>0</v>
      </c>
      <c r="BX181" s="180" t="n">
        <f aca="false">BU181+BW181-BV181</f>
        <v>266103.850551526</v>
      </c>
      <c r="BY181" s="180" t="n">
        <f aca="false">MAX(0,IFERROR(INDEX(TAB_IR,MATCH($C181,TAB_IR_DIAS,1),MATCH($F$8,TAB_IR_REGIMES,0)),0)*IF($F$26=2,BU181,MAX(0,BX181))-BW181)</f>
        <v>62415.577582729</v>
      </c>
      <c r="BZ181" s="181" t="n">
        <f aca="false">MAX(0,BU181-BY181-BU181*$F$25)</f>
        <v>353688.272968797</v>
      </c>
      <c r="CA181" s="180" t="n">
        <f aca="false">BZ181/$D181</f>
        <v>238939.124151598</v>
      </c>
      <c r="CC181" s="180" t="n">
        <f aca="false">CJ180</f>
        <v>315218.230939889</v>
      </c>
      <c r="CD181" s="180" t="n">
        <f aca="false">IF($G$9=0,0,IF($A181&gt;IN_PRAZO,0,IF(APORTE_CORRIGIDO="Sim",IN_APORTE*$D181,IN_APORTE))+IF(AND($G$35=1,PGBL_REINVESTE="Sim",$A181&gt;=13,$A181&lt;=IN_PRAZO,MONTH($B181)=5),PGBL_BENEFICIO,0))</f>
        <v>0</v>
      </c>
      <c r="CE181" s="180" t="n">
        <f aca="false">CD181*$G$24</f>
        <v>0</v>
      </c>
      <c r="CF181" s="180" t="n">
        <f aca="false">CC181*$G$19</f>
        <v>2571.30617303786</v>
      </c>
      <c r="CG181" s="180" t="n">
        <f aca="false">CC181*$G$22</f>
        <v>262.681859116574</v>
      </c>
      <c r="CH181" s="180" t="n">
        <f aca="false">$G$23*MAX(0,CF181-CC181*$G$18)</f>
        <v>0</v>
      </c>
      <c r="CI181" s="180" t="n">
        <f aca="false">IF(AND($G$27=1,OR(MONTH($B181)=5,MONTH($B181)=11)),MAX(0,$G$28*MAX(0,(CC181+CF181-CG181-CH181+CD181-CE181)+CL180-CK181)-CL180),0)</f>
        <v>0</v>
      </c>
      <c r="CJ181" s="181" t="n">
        <f aca="false">CC181+CF181-CG181-CH181+CD181-CE181-CI181</f>
        <v>317526.855253811</v>
      </c>
      <c r="CK181" s="180" t="n">
        <f aca="false">CK180+CD181-CE181</f>
        <v>150000</v>
      </c>
      <c r="CL181" s="180" t="n">
        <f aca="false">CL180+CI181</f>
        <v>28350.2145565702</v>
      </c>
      <c r="CM181" s="180" t="n">
        <f aca="false">CJ181+CL181-CK181</f>
        <v>195877.069810381</v>
      </c>
      <c r="CN181" s="180" t="n">
        <f aca="false">MAX(0,IFERROR(INDEX(TAB_IR,MATCH($C181,TAB_IR_DIAS,1),MATCH($G$8,TAB_IR_REGIMES,0)),0)*IF($G$26=2,CJ181,MAX(0,CM181))-CL181)</f>
        <v>1031.34591498692</v>
      </c>
      <c r="CO181" s="181" t="n">
        <f aca="false">MAX(0,CJ181-CN181-CJ181*$G$25)</f>
        <v>316495.509338824</v>
      </c>
      <c r="CP181" s="180" t="n">
        <f aca="false">CO181/$D181</f>
        <v>213813.02570358</v>
      </c>
    </row>
    <row r="182" customFormat="false" ht="12" hidden="false" customHeight="true" outlineLevel="0" collapsed="false">
      <c r="A182" s="177" t="n">
        <v>121</v>
      </c>
      <c r="B182" s="178" t="n">
        <f aca="false">EDATE(DATA_INICIO,$A182)</f>
        <v>49941</v>
      </c>
      <c r="C182" s="177" t="n">
        <f aca="false">$A182*30</f>
        <v>3630</v>
      </c>
      <c r="D182" s="179" t="n">
        <f aca="false">(1+IPCA_CENARIO)^($A182/12)</f>
        <v>1.48509021952125</v>
      </c>
      <c r="F182" s="180" t="n">
        <f aca="false">M181</f>
        <v>456737.351985381</v>
      </c>
      <c r="G182" s="180" t="n">
        <f aca="false">IF($B$9=0,0,IF($A182&gt;IN_PRAZO,0,IF(APORTE_CORRIGIDO="Sim",IN_APORTE*$D182,IN_APORTE))+IF(AND($B$35=1,PGBL_REINVESTE="Sim",$A182&gt;=13,$A182&lt;=IN_PRAZO,MONTH($B182)=5),PGBL_BENEFICIO,0))</f>
        <v>0</v>
      </c>
      <c r="H182" s="180" t="n">
        <f aca="false">G182*$B$24</f>
        <v>0</v>
      </c>
      <c r="I182" s="180" t="n">
        <f aca="false">F182*$B$19</f>
        <v>4333.88615847905</v>
      </c>
      <c r="J182" s="180" t="n">
        <f aca="false">F182*$B$22</f>
        <v>76.1228919975635</v>
      </c>
      <c r="K182" s="180" t="n">
        <f aca="false">$B$23*MAX(0,I182-F182*$B$18)</f>
        <v>0</v>
      </c>
      <c r="L182" s="180" t="n">
        <f aca="false">IF(AND($B$27=1,OR(MONTH($B182)=5,MONTH($B182)=11)),MAX(0,$B$28*MAX(0,(F182+I182-J182-K182+G182-H182)+O181-N182)-O181),0)</f>
        <v>0</v>
      </c>
      <c r="M182" s="181" t="n">
        <f aca="false">F182+I182-J182-K182+G182-H182-L182</f>
        <v>460995.115251862</v>
      </c>
      <c r="N182" s="180" t="n">
        <f aca="false">N181+G182-H182</f>
        <v>150000</v>
      </c>
      <c r="O182" s="180" t="n">
        <f aca="false">O181+L182</f>
        <v>0</v>
      </c>
      <c r="P182" s="180" t="n">
        <f aca="false">M182+O182-N182</f>
        <v>310995.115251862</v>
      </c>
      <c r="Q182" s="180" t="n">
        <f aca="false">MAX(0,IFERROR(INDEX(TAB_IR,MATCH($C182,TAB_IR_DIAS,1),MATCH($B$8,TAB_IR_REGIMES,0)),0)*IF($B$26=2,M182,MAX(0,P182))-O182)</f>
        <v>46649.2672877793</v>
      </c>
      <c r="R182" s="181" t="n">
        <f aca="false">MAX(0,M182-Q182-M182*$B$25)</f>
        <v>414345.847964083</v>
      </c>
      <c r="S182" s="180" t="n">
        <f aca="false">R182/$D182</f>
        <v>279003.82247326</v>
      </c>
      <c r="U182" s="180" t="n">
        <f aca="false">AB181</f>
        <v>389822.571741729</v>
      </c>
      <c r="V182" s="180" t="n">
        <f aca="false">IF($C$9=0,0,IF($A182&gt;IN_PRAZO,0,IF(APORTE_CORRIGIDO="Sim",IN_APORTE*$D182,IN_APORTE))+IF(AND($C$35=1,PGBL_REINVESTE="Sim",$A182&gt;=13,$A182&lt;=IN_PRAZO,MONTH($B182)=5),PGBL_BENEFICIO,0))</f>
        <v>0</v>
      </c>
      <c r="W182" s="180" t="n">
        <f aca="false">V182*$C$24</f>
        <v>0</v>
      </c>
      <c r="X182" s="180" t="n">
        <f aca="false">U182*$C$19</f>
        <v>3179.87059987069</v>
      </c>
      <c r="Y182" s="180" t="n">
        <f aca="false">U182*$C$22</f>
        <v>64.9704286236215</v>
      </c>
      <c r="Z182" s="180" t="n">
        <f aca="false">$C$23*MAX(0,X182-U182*$C$18)</f>
        <v>0</v>
      </c>
      <c r="AA182" s="180" t="n">
        <f aca="false">IF(AND($C$27=1,OR(MONTH($B182)=5,MONTH($B182)=11)),MAX(0,$C$28*MAX(0,(U182+X182-Y182-Z182+V182-W182)+AD181-AC182)-AD181),0)</f>
        <v>0</v>
      </c>
      <c r="AB182" s="181" t="n">
        <f aca="false">U182+X182-Y182-Z182+V182-W182-AA182</f>
        <v>392937.471912976</v>
      </c>
      <c r="AC182" s="180" t="n">
        <f aca="false">AC181+V182-W182</f>
        <v>150000</v>
      </c>
      <c r="AD182" s="180" t="n">
        <f aca="false">AD181+AA182</f>
        <v>0</v>
      </c>
      <c r="AE182" s="180" t="n">
        <f aca="false">AB182+AD182-AC182</f>
        <v>242937.471912976</v>
      </c>
      <c r="AF182" s="180" t="n">
        <f aca="false">MAX(0,IFERROR(INDEX(TAB_IR,MATCH($C182,TAB_IR_DIAS,1),MATCH($C$8,TAB_IR_REGIMES,0)),0)*IF($C$26=2,AB182,MAX(0,AE182))-AD182)</f>
        <v>36440.6207869464</v>
      </c>
      <c r="AG182" s="181" t="n">
        <f aca="false">MAX(0,AB182-AF182-AB182*$C$25)</f>
        <v>356496.85112603</v>
      </c>
      <c r="AH182" s="180" t="n">
        <f aca="false">AG182/$D182</f>
        <v>240050.63560445</v>
      </c>
      <c r="AJ182" s="180" t="n">
        <f aca="false">AQ181</f>
        <v>345725.634350648</v>
      </c>
      <c r="AK182" s="180" t="n">
        <f aca="false">IF($D$9=0,0,IF($A182&gt;IN_PRAZO,0,IF(APORTE_CORRIGIDO="Sim",IN_APORTE*$D182,IN_APORTE))+IF(AND($D$35=1,PGBL_REINVESTE="Sim",$A182&gt;=13,$A182&lt;=IN_PRAZO,MONTH($B182)=5),PGBL_BENEFICIO,0))</f>
        <v>0</v>
      </c>
      <c r="AL182" s="180" t="n">
        <f aca="false">AK182*$D$24</f>
        <v>0</v>
      </c>
      <c r="AM182" s="180" t="n">
        <f aca="false">AJ182*$D$19</f>
        <v>3107.62298944012</v>
      </c>
      <c r="AN182" s="180" t="n">
        <f aca="false">AJ182*$D$22</f>
        <v>288.104695292207</v>
      </c>
      <c r="AO182" s="180" t="n">
        <f aca="false">$D$23*MAX(0,AM182-AJ182*$D$18)</f>
        <v>0</v>
      </c>
      <c r="AP182" s="180" t="n">
        <f aca="false">IF(AND($D$27=1,OR(MONTH($B182)=5,MONTH($B182)=11)),MAX(0,$D$28*MAX(0,(AJ182+AM182-AN182-AO182+AK182-AL182)+AS181-AR182)-AS181),0)</f>
        <v>0</v>
      </c>
      <c r="AQ182" s="181" t="n">
        <f aca="false">AJ182+AM182-AN182-AO182+AK182-AL182-AP182</f>
        <v>348545.152644796</v>
      </c>
      <c r="AR182" s="180" t="n">
        <f aca="false">AR181+AK182-AL182</f>
        <v>150000</v>
      </c>
      <c r="AS182" s="180" t="n">
        <f aca="false">AS181+AP182</f>
        <v>33071.1515421167</v>
      </c>
      <c r="AT182" s="180" t="n">
        <f aca="false">AQ182+AS182-AR182</f>
        <v>231616.304186913</v>
      </c>
      <c r="AU182" s="180" t="n">
        <f aca="false">MAX(0,IFERROR(INDEX(TAB_IR,MATCH($C182,TAB_IR_DIAS,1),MATCH($D$8,TAB_IR_REGIMES,0)),0)*IF($D$26=2,AQ182,MAX(0,AT182))-AS182)</f>
        <v>1671.2940859202</v>
      </c>
      <c r="AV182" s="181" t="n">
        <f aca="false">MAX(0,AQ182-AU182-AQ182*$D$25)</f>
        <v>346873.858558876</v>
      </c>
      <c r="AW182" s="180" t="n">
        <f aca="false">AV182/$D182</f>
        <v>233570.899598744</v>
      </c>
      <c r="AY182" s="180" t="n">
        <f aca="false">BF181</f>
        <v>416103.850551526</v>
      </c>
      <c r="AZ182" s="180" t="n">
        <f aca="false">IF($E$9=0,0,IF($A182&gt;IN_PRAZO,0,IF(APORTE_CORRIGIDO="Sim",IN_APORTE*$D182,IN_APORTE))+IF(AND($E$35=1,PGBL_REINVESTE="Sim",$A182&gt;=13,$A182&lt;=IN_PRAZO,MONTH($B182)=5),PGBL_BENEFICIO,0))</f>
        <v>0</v>
      </c>
      <c r="BA182" s="180" t="n">
        <f aca="false">AZ182*$E$24</f>
        <v>0</v>
      </c>
      <c r="BB182" s="180" t="n">
        <f aca="false">AY182*$E$19</f>
        <v>4073.13463229882</v>
      </c>
      <c r="BC182" s="180" t="n">
        <f aca="false">AY182*$E$22</f>
        <v>520.129813189408</v>
      </c>
      <c r="BD182" s="180" t="n">
        <f aca="false">$E$23*MAX(0,BB182-AY182*$E$18)</f>
        <v>0</v>
      </c>
      <c r="BE182" s="180" t="n">
        <f aca="false">IF(AND($E$27=1,OR(MONTH($B182)=5,MONTH($B182)=11)),MAX(0,$E$28*MAX(0,(AY182+BB182-BC182-BD182+AZ182-BA182)+BH181-BG182)-BH181),0)</f>
        <v>0</v>
      </c>
      <c r="BF182" s="181" t="n">
        <f aca="false">AY182+BB182-BC182-BD182+AZ182-BA182-BE182</f>
        <v>419656.855370636</v>
      </c>
      <c r="BG182" s="180" t="n">
        <f aca="false">BG181+AZ182-BA182</f>
        <v>150000</v>
      </c>
      <c r="BH182" s="180" t="n">
        <f aca="false">BH181+BE182</f>
        <v>0</v>
      </c>
      <c r="BI182" s="180" t="n">
        <f aca="false">BF182+BH182-BG182</f>
        <v>269656.855370636</v>
      </c>
      <c r="BJ182" s="180" t="n">
        <f aca="false">MAX(0,IFERROR(INDEX(TAB_IR,MATCH($C182,TAB_IR_DIAS,1),MATCH($E$8,TAB_IR_REGIMES,0)),0)*IF($E$26=2,BF182,MAX(0,BI182))-BH182)</f>
        <v>26965.6855370636</v>
      </c>
      <c r="BK182" s="181" t="n">
        <f aca="false">MAX(0,BF182-BJ182-BF182*$E$25)</f>
        <v>392691.169833572</v>
      </c>
      <c r="BL182" s="180" t="n">
        <f aca="false">BK182/$D182</f>
        <v>264422.433513947</v>
      </c>
      <c r="BN182" s="180" t="n">
        <f aca="false">BU181</f>
        <v>416103.850551526</v>
      </c>
      <c r="BO182" s="180" t="n">
        <f aca="false">IF($F$9=0,0,IF($A182&gt;IN_PRAZO,0,IF(APORTE_CORRIGIDO="Sim",IN_APORTE*$D182,IN_APORTE))+IF(AND($F$35=1,PGBL_REINVESTE="Sim",$A182&gt;=13,$A182&lt;=IN_PRAZO,MONTH($B182)=5),PGBL_BENEFICIO,0))</f>
        <v>0</v>
      </c>
      <c r="BP182" s="180" t="n">
        <f aca="false">BO182*$F$24</f>
        <v>0</v>
      </c>
      <c r="BQ182" s="180" t="n">
        <f aca="false">BN182*$F$19</f>
        <v>4073.13463229882</v>
      </c>
      <c r="BR182" s="180" t="n">
        <f aca="false">BN182*$F$22</f>
        <v>520.129813189408</v>
      </c>
      <c r="BS182" s="180" t="n">
        <f aca="false">$F$23*MAX(0,BQ182-BN182*$F$18)</f>
        <v>0</v>
      </c>
      <c r="BT182" s="180" t="n">
        <f aca="false">IF(AND($F$27=1,OR(MONTH($B182)=5,MONTH($B182)=11)),MAX(0,$F$28*MAX(0,(BN182+BQ182-BR182-BS182+BO182-BP182)+BW181-BV182)-BW181),0)</f>
        <v>0</v>
      </c>
      <c r="BU182" s="181" t="n">
        <f aca="false">BN182+BQ182-BR182-BS182+BO182-BP182-BT182</f>
        <v>419656.855370636</v>
      </c>
      <c r="BV182" s="180" t="n">
        <f aca="false">BV181+BO182-BP182</f>
        <v>150000</v>
      </c>
      <c r="BW182" s="180" t="n">
        <f aca="false">BW181+BT182</f>
        <v>0</v>
      </c>
      <c r="BX182" s="180" t="n">
        <f aca="false">BU182+BW182-BV182</f>
        <v>269656.855370636</v>
      </c>
      <c r="BY182" s="180" t="n">
        <f aca="false">MAX(0,IFERROR(INDEX(TAB_IR,MATCH($C182,TAB_IR_DIAS,1),MATCH($F$8,TAB_IR_REGIMES,0)),0)*IF($F$26=2,BU182,MAX(0,BX182))-BW182)</f>
        <v>41965.6855370636</v>
      </c>
      <c r="BZ182" s="181" t="n">
        <f aca="false">MAX(0,BU182-BY182-BU182*$F$25)</f>
        <v>377691.169833572</v>
      </c>
      <c r="CA182" s="180" t="n">
        <f aca="false">BZ182/$D182</f>
        <v>254322.037051276</v>
      </c>
      <c r="CC182" s="180" t="n">
        <f aca="false">CJ181</f>
        <v>317526.855253811</v>
      </c>
      <c r="CD182" s="180" t="n">
        <f aca="false">IF($G$9=0,0,IF($A182&gt;IN_PRAZO,0,IF(APORTE_CORRIGIDO="Sim",IN_APORTE*$D182,IN_APORTE))+IF(AND($G$35=1,PGBL_REINVESTE="Sim",$A182&gt;=13,$A182&lt;=IN_PRAZO,MONTH($B182)=5),PGBL_BENEFICIO,0))</f>
        <v>0</v>
      </c>
      <c r="CE182" s="180" t="n">
        <f aca="false">CD182*$G$24</f>
        <v>0</v>
      </c>
      <c r="CF182" s="180" t="n">
        <f aca="false">CC182*$G$19</f>
        <v>2590.13814202617</v>
      </c>
      <c r="CG182" s="180" t="n">
        <f aca="false">CC182*$G$22</f>
        <v>264.605712711509</v>
      </c>
      <c r="CH182" s="180" t="n">
        <f aca="false">$G$23*MAX(0,CF182-CC182*$G$18)</f>
        <v>0</v>
      </c>
      <c r="CI182" s="180" t="n">
        <f aca="false">IF(AND($G$27=1,OR(MONTH($B182)=5,MONTH($B182)=11)),MAX(0,$G$28*MAX(0,(CC182+CF182-CG182-CH182+CD182-CE182)+CL181-CK182)-CL181),0)</f>
        <v>0</v>
      </c>
      <c r="CJ182" s="181" t="n">
        <f aca="false">CC182+CF182-CG182-CH182+CD182-CE182-CI182</f>
        <v>319852.387683125</v>
      </c>
      <c r="CK182" s="180" t="n">
        <f aca="false">CK181+CD182-CE182</f>
        <v>150000</v>
      </c>
      <c r="CL182" s="180" t="n">
        <f aca="false">CL181+CI182</f>
        <v>28350.2145565702</v>
      </c>
      <c r="CM182" s="180" t="n">
        <f aca="false">CJ182+CL182-CK182</f>
        <v>198202.602239695</v>
      </c>
      <c r="CN182" s="180" t="n">
        <f aca="false">MAX(0,IFERROR(INDEX(TAB_IR,MATCH($C182,TAB_IR_DIAS,1),MATCH($G$8,TAB_IR_REGIMES,0)),0)*IF($G$26=2,CJ182,MAX(0,CM182))-CL182)</f>
        <v>1380.17577938411</v>
      </c>
      <c r="CO182" s="181" t="n">
        <f aca="false">MAX(0,CJ182-CN182-CJ182*$G$25)</f>
        <v>318472.211903741</v>
      </c>
      <c r="CP182" s="180" t="n">
        <f aca="false">CO182/$D182</f>
        <v>214446.373504774</v>
      </c>
    </row>
    <row r="183" customFormat="false" ht="12" hidden="false" customHeight="true" outlineLevel="0" collapsed="false">
      <c r="A183" s="177" t="n">
        <v>122</v>
      </c>
      <c r="B183" s="178" t="n">
        <f aca="false">EDATE(DATA_INICIO,$A183)</f>
        <v>49971</v>
      </c>
      <c r="C183" s="177" t="n">
        <f aca="false">$A183*30</f>
        <v>3660</v>
      </c>
      <c r="D183" s="179" t="n">
        <f aca="false">(1+IPCA_CENARIO)^($A183/12)</f>
        <v>1.48995201845306</v>
      </c>
      <c r="F183" s="180" t="n">
        <f aca="false">M182</f>
        <v>460995.115251862</v>
      </c>
      <c r="G183" s="180" t="n">
        <f aca="false">IF($B$9=0,0,IF($A183&gt;IN_PRAZO,0,IF(APORTE_CORRIGIDO="Sim",IN_APORTE*$D183,IN_APORTE))+IF(AND($B$35=1,PGBL_REINVESTE="Sim",$A183&gt;=13,$A183&lt;=IN_PRAZO,MONTH($B183)=5),PGBL_BENEFICIO,0))</f>
        <v>0</v>
      </c>
      <c r="H183" s="180" t="n">
        <f aca="false">G183*$B$24</f>
        <v>0</v>
      </c>
      <c r="I183" s="180" t="n">
        <f aca="false">F183*$B$19</f>
        <v>4374.28719247917</v>
      </c>
      <c r="J183" s="180" t="n">
        <f aca="false">F183*$B$22</f>
        <v>76.8325192086437</v>
      </c>
      <c r="K183" s="180" t="n">
        <f aca="false">$B$23*MAX(0,I183-F183*$B$18)</f>
        <v>0</v>
      </c>
      <c r="L183" s="180" t="n">
        <f aca="false">IF(AND($B$27=1,OR(MONTH($B183)=5,MONTH($B183)=11)),MAX(0,$B$28*MAX(0,(F183+I183-J183-K183+G183-H183)+O182-N183)-O182),0)</f>
        <v>0</v>
      </c>
      <c r="M183" s="181" t="n">
        <f aca="false">F183+I183-J183-K183+G183-H183-L183</f>
        <v>465292.569925133</v>
      </c>
      <c r="N183" s="180" t="n">
        <f aca="false">N182+G183-H183</f>
        <v>150000</v>
      </c>
      <c r="O183" s="180" t="n">
        <f aca="false">O182+L183</f>
        <v>0</v>
      </c>
      <c r="P183" s="180" t="n">
        <f aca="false">M183+O183-N183</f>
        <v>315292.569925133</v>
      </c>
      <c r="Q183" s="180" t="n">
        <f aca="false">MAX(0,IFERROR(INDEX(TAB_IR,MATCH($C183,TAB_IR_DIAS,1),MATCH($B$8,TAB_IR_REGIMES,0)),0)*IF($B$26=2,M183,MAX(0,P183))-O183)</f>
        <v>47293.8854887699</v>
      </c>
      <c r="R183" s="181" t="n">
        <f aca="false">MAX(0,M183-Q183-M183*$B$25)</f>
        <v>417998.684436363</v>
      </c>
      <c r="S183" s="180" t="n">
        <f aca="false">R183/$D183</f>
        <v>280545.064041962</v>
      </c>
      <c r="U183" s="180" t="n">
        <f aca="false">AB182</f>
        <v>392937.471912976</v>
      </c>
      <c r="V183" s="180" t="n">
        <f aca="false">IF($C$9=0,0,IF($A183&gt;IN_PRAZO,0,IF(APORTE_CORRIGIDO="Sim",IN_APORTE*$D183,IN_APORTE))+IF(AND($C$35=1,PGBL_REINVESTE="Sim",$A183&gt;=13,$A183&lt;=IN_PRAZO,MONTH($B183)=5),PGBL_BENEFICIO,0))</f>
        <v>0</v>
      </c>
      <c r="W183" s="180" t="n">
        <f aca="false">V183*$C$24</f>
        <v>0</v>
      </c>
      <c r="X183" s="180" t="n">
        <f aca="false">U183*$C$19</f>
        <v>3205.27954279522</v>
      </c>
      <c r="Y183" s="180" t="n">
        <f aca="false">U183*$C$22</f>
        <v>65.4895786521627</v>
      </c>
      <c r="Z183" s="180" t="n">
        <f aca="false">$C$23*MAX(0,X183-U183*$C$18)</f>
        <v>0</v>
      </c>
      <c r="AA183" s="180" t="n">
        <f aca="false">IF(AND($C$27=1,OR(MONTH($B183)=5,MONTH($B183)=11)),MAX(0,$C$28*MAX(0,(U183+X183-Y183-Z183+V183-W183)+AD182-AC183)-AD182),0)</f>
        <v>0</v>
      </c>
      <c r="AB183" s="181" t="n">
        <f aca="false">U183+X183-Y183-Z183+V183-W183-AA183</f>
        <v>396077.261877119</v>
      </c>
      <c r="AC183" s="180" t="n">
        <f aca="false">AC182+V183-W183</f>
        <v>150000</v>
      </c>
      <c r="AD183" s="180" t="n">
        <f aca="false">AD182+AA183</f>
        <v>0</v>
      </c>
      <c r="AE183" s="180" t="n">
        <f aca="false">AB183+AD183-AC183</f>
        <v>246077.261877119</v>
      </c>
      <c r="AF183" s="180" t="n">
        <f aca="false">MAX(0,IFERROR(INDEX(TAB_IR,MATCH($C183,TAB_IR_DIAS,1),MATCH($C$8,TAB_IR_REGIMES,0)),0)*IF($C$26=2,AB183,MAX(0,AE183))-AD183)</f>
        <v>36911.5892815678</v>
      </c>
      <c r="AG183" s="181" t="n">
        <f aca="false">MAX(0,AB183-AF183-AB183*$C$25)</f>
        <v>359165.672595551</v>
      </c>
      <c r="AH183" s="180" t="n">
        <f aca="false">AG183/$D183</f>
        <v>241058.549636018</v>
      </c>
      <c r="AJ183" s="180" t="n">
        <f aca="false">AQ182</f>
        <v>348545.152644796</v>
      </c>
      <c r="AK183" s="180" t="n">
        <f aca="false">IF($D$9=0,0,IF($A183&gt;IN_PRAZO,0,IF(APORTE_CORRIGIDO="Sim",IN_APORTE*$D183,IN_APORTE))+IF(AND($D$35=1,PGBL_REINVESTE="Sim",$A183&gt;=13,$A183&lt;=IN_PRAZO,MONTH($B183)=5),PGBL_BENEFICIO,0))</f>
        <v>0</v>
      </c>
      <c r="AL183" s="180" t="n">
        <f aca="false">AK183*$D$24</f>
        <v>0</v>
      </c>
      <c r="AM183" s="180" t="n">
        <f aca="false">AJ183*$D$19</f>
        <v>3132.96678521186</v>
      </c>
      <c r="AN183" s="180" t="n">
        <f aca="false">AJ183*$D$22</f>
        <v>290.454293870663</v>
      </c>
      <c r="AO183" s="180" t="n">
        <f aca="false">$D$23*MAX(0,AM183-AJ183*$D$18)</f>
        <v>0</v>
      </c>
      <c r="AP183" s="180" t="n">
        <f aca="false">IF(AND($D$27=1,OR(MONTH($B183)=5,MONTH($B183)=11)),MAX(0,$D$28*MAX(0,(AJ183+AM183-AN183-AO183+AK183-AL183)+AS182-AR183)-AS182),0)</f>
        <v>0</v>
      </c>
      <c r="AQ183" s="181" t="n">
        <f aca="false">AJ183+AM183-AN183-AO183+AK183-AL183-AP183</f>
        <v>351387.665136137</v>
      </c>
      <c r="AR183" s="180" t="n">
        <f aca="false">AR182+AK183-AL183</f>
        <v>150000</v>
      </c>
      <c r="AS183" s="180" t="n">
        <f aca="false">AS182+AP183</f>
        <v>33071.1515421167</v>
      </c>
      <c r="AT183" s="180" t="n">
        <f aca="false">AQ183+AS183-AR183</f>
        <v>234458.816678254</v>
      </c>
      <c r="AU183" s="180" t="n">
        <f aca="false">MAX(0,IFERROR(INDEX(TAB_IR,MATCH($C183,TAB_IR_DIAS,1),MATCH($D$8,TAB_IR_REGIMES,0)),0)*IF($D$26=2,AQ183,MAX(0,AT183))-AS183)</f>
        <v>2097.67095962138</v>
      </c>
      <c r="AV183" s="181" t="n">
        <f aca="false">MAX(0,AQ183-AU183-AQ183*$D$25)</f>
        <v>349289.994176516</v>
      </c>
      <c r="AW183" s="180" t="n">
        <f aca="false">AV183/$D183</f>
        <v>234430.364099353</v>
      </c>
      <c r="AY183" s="180" t="n">
        <f aca="false">BF182</f>
        <v>419656.855370636</v>
      </c>
      <c r="AZ183" s="180" t="n">
        <f aca="false">IF($E$9=0,0,IF($A183&gt;IN_PRAZO,0,IF(APORTE_CORRIGIDO="Sim",IN_APORTE*$D183,IN_APORTE))+IF(AND($E$35=1,PGBL_REINVESTE="Sim",$A183&gt;=13,$A183&lt;=IN_PRAZO,MONTH($B183)=5),PGBL_BENEFICIO,0))</f>
        <v>0</v>
      </c>
      <c r="BA183" s="180" t="n">
        <f aca="false">AZ183*$E$24</f>
        <v>0</v>
      </c>
      <c r="BB183" s="180" t="n">
        <f aca="false">AY183*$E$19</f>
        <v>4107.91409170122</v>
      </c>
      <c r="BC183" s="180" t="n">
        <f aca="false">AY183*$E$22</f>
        <v>524.571069213295</v>
      </c>
      <c r="BD183" s="180" t="n">
        <f aca="false">$E$23*MAX(0,BB183-AY183*$E$18)</f>
        <v>0</v>
      </c>
      <c r="BE183" s="180" t="n">
        <f aca="false">IF(AND($E$27=1,OR(MONTH($B183)=5,MONTH($B183)=11)),MAX(0,$E$28*MAX(0,(AY183+BB183-BC183-BD183+AZ183-BA183)+BH182-BG183)-BH182),0)</f>
        <v>0</v>
      </c>
      <c r="BF183" s="181" t="n">
        <f aca="false">AY183+BB183-BC183-BD183+AZ183-BA183-BE183</f>
        <v>423240.198393124</v>
      </c>
      <c r="BG183" s="180" t="n">
        <f aca="false">BG182+AZ183-BA183</f>
        <v>150000</v>
      </c>
      <c r="BH183" s="180" t="n">
        <f aca="false">BH182+BE183</f>
        <v>0</v>
      </c>
      <c r="BI183" s="180" t="n">
        <f aca="false">BF183+BH183-BG183</f>
        <v>273240.198393124</v>
      </c>
      <c r="BJ183" s="180" t="n">
        <f aca="false">MAX(0,IFERROR(INDEX(TAB_IR,MATCH($C183,TAB_IR_DIAS,1),MATCH($E$8,TAB_IR_REGIMES,0)),0)*IF($E$26=2,BF183,MAX(0,BI183))-BH183)</f>
        <v>27324.0198393124</v>
      </c>
      <c r="BK183" s="181" t="n">
        <f aca="false">MAX(0,BF183-BJ183-BF183*$E$25)</f>
        <v>395916.178553811</v>
      </c>
      <c r="BL183" s="180" t="n">
        <f aca="false">BK183/$D183</f>
        <v>265724.113025379</v>
      </c>
      <c r="BN183" s="180" t="n">
        <f aca="false">BU182</f>
        <v>419656.855370636</v>
      </c>
      <c r="BO183" s="180" t="n">
        <f aca="false">IF($F$9=0,0,IF($A183&gt;IN_PRAZO,0,IF(APORTE_CORRIGIDO="Sim",IN_APORTE*$D183,IN_APORTE))+IF(AND($F$35=1,PGBL_REINVESTE="Sim",$A183&gt;=13,$A183&lt;=IN_PRAZO,MONTH($B183)=5),PGBL_BENEFICIO,0))</f>
        <v>0</v>
      </c>
      <c r="BP183" s="180" t="n">
        <f aca="false">BO183*$F$24</f>
        <v>0</v>
      </c>
      <c r="BQ183" s="180" t="n">
        <f aca="false">BN183*$F$19</f>
        <v>4107.91409170122</v>
      </c>
      <c r="BR183" s="180" t="n">
        <f aca="false">BN183*$F$22</f>
        <v>524.571069213295</v>
      </c>
      <c r="BS183" s="180" t="n">
        <f aca="false">$F$23*MAX(0,BQ183-BN183*$F$18)</f>
        <v>0</v>
      </c>
      <c r="BT183" s="180" t="n">
        <f aca="false">IF(AND($F$27=1,OR(MONTH($B183)=5,MONTH($B183)=11)),MAX(0,$F$28*MAX(0,(BN183+BQ183-BR183-BS183+BO183-BP183)+BW182-BV183)-BW182),0)</f>
        <v>0</v>
      </c>
      <c r="BU183" s="181" t="n">
        <f aca="false">BN183+BQ183-BR183-BS183+BO183-BP183-BT183</f>
        <v>423240.198393124</v>
      </c>
      <c r="BV183" s="180" t="n">
        <f aca="false">BV182+BO183-BP183</f>
        <v>150000</v>
      </c>
      <c r="BW183" s="180" t="n">
        <f aca="false">BW182+BT183</f>
        <v>0</v>
      </c>
      <c r="BX183" s="180" t="n">
        <f aca="false">BU183+BW183-BV183</f>
        <v>273240.198393124</v>
      </c>
      <c r="BY183" s="180" t="n">
        <f aca="false">MAX(0,IFERROR(INDEX(TAB_IR,MATCH($C183,TAB_IR_DIAS,1),MATCH($F$8,TAB_IR_REGIMES,0)),0)*IF($F$26=2,BU183,MAX(0,BX183))-BW183)</f>
        <v>42324.0198393124</v>
      </c>
      <c r="BZ183" s="181" t="n">
        <f aca="false">MAX(0,BU183-BY183-BU183*$F$25)</f>
        <v>380916.178553811</v>
      </c>
      <c r="CA183" s="180" t="n">
        <f aca="false">BZ183/$D183</f>
        <v>255656.674735941</v>
      </c>
      <c r="CC183" s="180" t="n">
        <f aca="false">CJ182</f>
        <v>319852.387683125</v>
      </c>
      <c r="CD183" s="180" t="n">
        <f aca="false">IF($G$9=0,0,IF($A183&gt;IN_PRAZO,0,IF(APORTE_CORRIGIDO="Sim",IN_APORTE*$D183,IN_APORTE))+IF(AND($G$35=1,PGBL_REINVESTE="Sim",$A183&gt;=13,$A183&lt;=IN_PRAZO,MONTH($B183)=5),PGBL_BENEFICIO,0))</f>
        <v>0</v>
      </c>
      <c r="CE183" s="180" t="n">
        <f aca="false">CD183*$G$24</f>
        <v>0</v>
      </c>
      <c r="CF183" s="180" t="n">
        <f aca="false">CC183*$G$19</f>
        <v>2609.10803432354</v>
      </c>
      <c r="CG183" s="180" t="n">
        <f aca="false">CC183*$G$22</f>
        <v>266.543656402604</v>
      </c>
      <c r="CH183" s="180" t="n">
        <f aca="false">$G$23*MAX(0,CF183-CC183*$G$18)</f>
        <v>0</v>
      </c>
      <c r="CI183" s="180" t="n">
        <f aca="false">IF(AND($G$27=1,OR(MONTH($B183)=5,MONTH($B183)=11)),MAX(0,$G$28*MAX(0,(CC183+CF183-CG183-CH183+CD183-CE183)+CL182-CK183)-CL182),0)</f>
        <v>0</v>
      </c>
      <c r="CJ183" s="181" t="n">
        <f aca="false">CC183+CF183-CG183-CH183+CD183-CE183-CI183</f>
        <v>322194.952061046</v>
      </c>
      <c r="CK183" s="180" t="n">
        <f aca="false">CK182+CD183-CE183</f>
        <v>150000</v>
      </c>
      <c r="CL183" s="180" t="n">
        <f aca="false">CL182+CI183</f>
        <v>28350.2145565702</v>
      </c>
      <c r="CM183" s="180" t="n">
        <f aca="false">CJ183+CL183-CK183</f>
        <v>200545.166617616</v>
      </c>
      <c r="CN183" s="180" t="n">
        <f aca="false">MAX(0,IFERROR(INDEX(TAB_IR,MATCH($C183,TAB_IR_DIAS,1),MATCH($G$8,TAB_IR_REGIMES,0)),0)*IF($G$26=2,CJ183,MAX(0,CM183))-CL183)</f>
        <v>1731.56043607225</v>
      </c>
      <c r="CO183" s="181" t="n">
        <f aca="false">MAX(0,CJ183-CN183-CJ183*$G$25)</f>
        <v>320463.391624974</v>
      </c>
      <c r="CP183" s="180" t="n">
        <f aca="false">CO183/$D183</f>
        <v>215083.027947232</v>
      </c>
    </row>
    <row r="184" customFormat="false" ht="12" hidden="false" customHeight="true" outlineLevel="0" collapsed="false">
      <c r="A184" s="177" t="n">
        <v>123</v>
      </c>
      <c r="B184" s="178" t="n">
        <f aca="false">EDATE(DATA_INICIO,$A184)</f>
        <v>50002</v>
      </c>
      <c r="C184" s="177" t="n">
        <f aca="false">$A184*30</f>
        <v>3690</v>
      </c>
      <c r="D184" s="179" t="n">
        <f aca="false">(1+IPCA_CENARIO)^($A184/12)</f>
        <v>1.49482973364943</v>
      </c>
      <c r="F184" s="180" t="n">
        <f aca="false">M183</f>
        <v>465292.569925133</v>
      </c>
      <c r="G184" s="180" t="n">
        <f aca="false">IF($B$9=0,0,IF($A184&gt;IN_PRAZO,0,IF(APORTE_CORRIGIDO="Sim",IN_APORTE*$D184,IN_APORTE))+IF(AND($B$35=1,PGBL_REINVESTE="Sim",$A184&gt;=13,$A184&lt;=IN_PRAZO,MONTH($B184)=5),PGBL_BENEFICIO,0))</f>
        <v>0</v>
      </c>
      <c r="H184" s="180" t="n">
        <f aca="false">G184*$B$24</f>
        <v>0</v>
      </c>
      <c r="I184" s="180" t="n">
        <f aca="false">F184*$B$19</f>
        <v>4415.06485001959</v>
      </c>
      <c r="J184" s="180" t="n">
        <f aca="false">F184*$B$22</f>
        <v>77.5487616541888</v>
      </c>
      <c r="K184" s="180" t="n">
        <f aca="false">$B$23*MAX(0,I184-F184*$B$18)</f>
        <v>0</v>
      </c>
      <c r="L184" s="180" t="n">
        <f aca="false">IF(AND($B$27=1,OR(MONTH($B184)=5,MONTH($B184)=11)),MAX(0,$B$28*MAX(0,(F184+I184-J184-K184+G184-H184)+O183-N184)-O183),0)</f>
        <v>0</v>
      </c>
      <c r="M184" s="181" t="n">
        <f aca="false">F184+I184-J184-K184+G184-H184-L184</f>
        <v>469630.086013498</v>
      </c>
      <c r="N184" s="180" t="n">
        <f aca="false">N183+G184-H184</f>
        <v>150000</v>
      </c>
      <c r="O184" s="180" t="n">
        <f aca="false">O183+L184</f>
        <v>0</v>
      </c>
      <c r="P184" s="180" t="n">
        <f aca="false">M184+O184-N184</f>
        <v>319630.086013498</v>
      </c>
      <c r="Q184" s="180" t="n">
        <f aca="false">MAX(0,IFERROR(INDEX(TAB_IR,MATCH($C184,TAB_IR_DIAS,1),MATCH($B$8,TAB_IR_REGIMES,0)),0)*IF($B$26=2,M184,MAX(0,P184))-O184)</f>
        <v>47944.5129020247</v>
      </c>
      <c r="R184" s="181" t="n">
        <f aca="false">MAX(0,M184-Q184-M184*$B$25)</f>
        <v>421685.573111473</v>
      </c>
      <c r="S184" s="180" t="n">
        <f aca="false">R184/$D184</f>
        <v>282096.056573603</v>
      </c>
      <c r="U184" s="180" t="n">
        <f aca="false">AB183</f>
        <v>396077.261877119</v>
      </c>
      <c r="V184" s="180" t="n">
        <f aca="false">IF($C$9=0,0,IF($A184&gt;IN_PRAZO,0,IF(APORTE_CORRIGIDO="Sim",IN_APORTE*$D184,IN_APORTE))+IF(AND($C$35=1,PGBL_REINVESTE="Sim",$A184&gt;=13,$A184&lt;=IN_PRAZO,MONTH($B184)=5),PGBL_BENEFICIO,0))</f>
        <v>0</v>
      </c>
      <c r="W184" s="180" t="n">
        <f aca="false">V184*$C$24</f>
        <v>0</v>
      </c>
      <c r="X184" s="180" t="n">
        <f aca="false">U184*$C$19</f>
        <v>3230.8915173716</v>
      </c>
      <c r="Y184" s="180" t="n">
        <f aca="false">U184*$C$22</f>
        <v>66.0128769795198</v>
      </c>
      <c r="Z184" s="180" t="n">
        <f aca="false">$C$23*MAX(0,X184-U184*$C$18)</f>
        <v>0</v>
      </c>
      <c r="AA184" s="180" t="n">
        <f aca="false">IF(AND($C$27=1,OR(MONTH($B184)=5,MONTH($B184)=11)),MAX(0,$C$28*MAX(0,(U184+X184-Y184-Z184+V184-W184)+AD183-AC184)-AD183),0)</f>
        <v>0</v>
      </c>
      <c r="AB184" s="181" t="n">
        <f aca="false">U184+X184-Y184-Z184+V184-W184-AA184</f>
        <v>399242.140517511</v>
      </c>
      <c r="AC184" s="180" t="n">
        <f aca="false">AC183+V184-W184</f>
        <v>150000</v>
      </c>
      <c r="AD184" s="180" t="n">
        <f aca="false">AD183+AA184</f>
        <v>0</v>
      </c>
      <c r="AE184" s="180" t="n">
        <f aca="false">AB184+AD184-AC184</f>
        <v>249242.140517511</v>
      </c>
      <c r="AF184" s="180" t="n">
        <f aca="false">MAX(0,IFERROR(INDEX(TAB_IR,MATCH($C184,TAB_IR_DIAS,1),MATCH($C$8,TAB_IR_REGIMES,0)),0)*IF($C$26=2,AB184,MAX(0,AE184))-AD184)</f>
        <v>37386.3210776267</v>
      </c>
      <c r="AG184" s="181" t="n">
        <f aca="false">MAX(0,AB184-AF184-AB184*$C$25)</f>
        <v>361855.819439884</v>
      </c>
      <c r="AH184" s="180" t="n">
        <f aca="false">AG184/$D184</f>
        <v>242071.596044896</v>
      </c>
      <c r="AJ184" s="180" t="n">
        <f aca="false">AQ183</f>
        <v>351387.665136137</v>
      </c>
      <c r="AK184" s="180" t="n">
        <f aca="false">IF($D$9=0,0,IF($A184&gt;IN_PRAZO,0,IF(APORTE_CORRIGIDO="Sim",IN_APORTE*$D184,IN_APORTE))+IF(AND($D$35=1,PGBL_REINVESTE="Sim",$A184&gt;=13,$A184&lt;=IN_PRAZO,MONTH($B184)=5),PGBL_BENEFICIO,0))</f>
        <v>0</v>
      </c>
      <c r="AL184" s="180" t="n">
        <f aca="false">AK184*$D$24</f>
        <v>0</v>
      </c>
      <c r="AM184" s="180" t="n">
        <f aca="false">AJ184*$D$19</f>
        <v>3158.51726885608</v>
      </c>
      <c r="AN184" s="180" t="n">
        <f aca="false">AJ184*$D$22</f>
        <v>292.823054280114</v>
      </c>
      <c r="AO184" s="180" t="n">
        <f aca="false">$D$23*MAX(0,AM184-AJ184*$D$18)</f>
        <v>0</v>
      </c>
      <c r="AP184" s="180" t="n">
        <f aca="false">IF(AND($D$27=1,OR(MONTH($B184)=5,MONTH($B184)=11)),MAX(0,$D$28*MAX(0,(AJ184+AM184-AN184-AO184+AK184-AL184)+AS183-AR184)-AS183),0)</f>
        <v>2527.52509180777</v>
      </c>
      <c r="AQ184" s="181" t="n">
        <f aca="false">AJ184+AM184-AN184-AO184+AK184-AL184-AP184</f>
        <v>351725.834258905</v>
      </c>
      <c r="AR184" s="180" t="n">
        <f aca="false">AR183+AK184-AL184</f>
        <v>150000</v>
      </c>
      <c r="AS184" s="180" t="n">
        <f aca="false">AS183+AP184</f>
        <v>35598.6766339244</v>
      </c>
      <c r="AT184" s="180" t="n">
        <f aca="false">AQ184+AS184-AR184</f>
        <v>237324.51089283</v>
      </c>
      <c r="AU184" s="180" t="n">
        <f aca="false">MAX(0,IFERROR(INDEX(TAB_IR,MATCH($C184,TAB_IR_DIAS,1),MATCH($D$8,TAB_IR_REGIMES,0)),0)*IF($D$26=2,AQ184,MAX(0,AT184))-AS184)</f>
        <v>0</v>
      </c>
      <c r="AV184" s="181" t="n">
        <f aca="false">MAX(0,AQ184-AU184-AQ184*$D$25)</f>
        <v>351725.834258905</v>
      </c>
      <c r="AW184" s="180" t="n">
        <f aca="false">AV184/$D184</f>
        <v>235294.914424944</v>
      </c>
      <c r="AY184" s="180" t="n">
        <f aca="false">BF183</f>
        <v>423240.198393124</v>
      </c>
      <c r="AZ184" s="180" t="n">
        <f aca="false">IF($E$9=0,0,IF($A184&gt;IN_PRAZO,0,IF(APORTE_CORRIGIDO="Sim",IN_APORTE*$D184,IN_APORTE))+IF(AND($E$35=1,PGBL_REINVESTE="Sim",$A184&gt;=13,$A184&lt;=IN_PRAZO,MONTH($B184)=5),PGBL_BENEFICIO,0))</f>
        <v>0</v>
      </c>
      <c r="BA184" s="180" t="n">
        <f aca="false">AZ184*$E$24</f>
        <v>0</v>
      </c>
      <c r="BB184" s="180" t="n">
        <f aca="false">AY184*$E$19</f>
        <v>4142.99052405088</v>
      </c>
      <c r="BC184" s="180" t="n">
        <f aca="false">AY184*$E$22</f>
        <v>529.050247991405</v>
      </c>
      <c r="BD184" s="180" t="n">
        <f aca="false">$E$23*MAX(0,BB184-AY184*$E$18)</f>
        <v>0</v>
      </c>
      <c r="BE184" s="180" t="n">
        <f aca="false">IF(AND($E$27=1,OR(MONTH($B184)=5,MONTH($B184)=11)),MAX(0,$E$28*MAX(0,(AY184+BB184-BC184-BD184+AZ184-BA184)+BH183-BG184)-BH183),0)</f>
        <v>0</v>
      </c>
      <c r="BF184" s="181" t="n">
        <f aca="false">AY184+BB184-BC184-BD184+AZ184-BA184-BE184</f>
        <v>426854.138669183</v>
      </c>
      <c r="BG184" s="180" t="n">
        <f aca="false">BG183+AZ184-BA184</f>
        <v>150000</v>
      </c>
      <c r="BH184" s="180" t="n">
        <f aca="false">BH183+BE184</f>
        <v>0</v>
      </c>
      <c r="BI184" s="180" t="n">
        <f aca="false">BF184+BH184-BG184</f>
        <v>276854.138669183</v>
      </c>
      <c r="BJ184" s="180" t="n">
        <f aca="false">MAX(0,IFERROR(INDEX(TAB_IR,MATCH($C184,TAB_IR_DIAS,1),MATCH($E$8,TAB_IR_REGIMES,0)),0)*IF($E$26=2,BF184,MAX(0,BI184))-BH184)</f>
        <v>27685.4138669183</v>
      </c>
      <c r="BK184" s="181" t="n">
        <f aca="false">MAX(0,BF184-BJ184-BF184*$E$25)</f>
        <v>399168.724802265</v>
      </c>
      <c r="BL184" s="180" t="n">
        <f aca="false">BK184/$D184</f>
        <v>267032.904026967</v>
      </c>
      <c r="BN184" s="180" t="n">
        <f aca="false">BU183</f>
        <v>423240.198393124</v>
      </c>
      <c r="BO184" s="180" t="n">
        <f aca="false">IF($F$9=0,0,IF($A184&gt;IN_PRAZO,0,IF(APORTE_CORRIGIDO="Sim",IN_APORTE*$D184,IN_APORTE))+IF(AND($F$35=1,PGBL_REINVESTE="Sim",$A184&gt;=13,$A184&lt;=IN_PRAZO,MONTH($B184)=5),PGBL_BENEFICIO,0))</f>
        <v>0</v>
      </c>
      <c r="BP184" s="180" t="n">
        <f aca="false">BO184*$F$24</f>
        <v>0</v>
      </c>
      <c r="BQ184" s="180" t="n">
        <f aca="false">BN184*$F$19</f>
        <v>4142.99052405088</v>
      </c>
      <c r="BR184" s="180" t="n">
        <f aca="false">BN184*$F$22</f>
        <v>529.050247991405</v>
      </c>
      <c r="BS184" s="180" t="n">
        <f aca="false">$F$23*MAX(0,BQ184-BN184*$F$18)</f>
        <v>0</v>
      </c>
      <c r="BT184" s="180" t="n">
        <f aca="false">IF(AND($F$27=1,OR(MONTH($B184)=5,MONTH($B184)=11)),MAX(0,$F$28*MAX(0,(BN184+BQ184-BR184-BS184+BO184-BP184)+BW183-BV184)-BW183),0)</f>
        <v>0</v>
      </c>
      <c r="BU184" s="181" t="n">
        <f aca="false">BN184+BQ184-BR184-BS184+BO184-BP184-BT184</f>
        <v>426854.138669183</v>
      </c>
      <c r="BV184" s="180" t="n">
        <f aca="false">BV183+BO184-BP184</f>
        <v>150000</v>
      </c>
      <c r="BW184" s="180" t="n">
        <f aca="false">BW183+BT184</f>
        <v>0</v>
      </c>
      <c r="BX184" s="180" t="n">
        <f aca="false">BU184+BW184-BV184</f>
        <v>276854.138669183</v>
      </c>
      <c r="BY184" s="180" t="n">
        <f aca="false">MAX(0,IFERROR(INDEX(TAB_IR,MATCH($C184,TAB_IR_DIAS,1),MATCH($F$8,TAB_IR_REGIMES,0)),0)*IF($F$26=2,BU184,MAX(0,BX184))-BW184)</f>
        <v>42685.4138669183</v>
      </c>
      <c r="BZ184" s="181" t="n">
        <f aca="false">MAX(0,BU184-BY184-BU184*$F$25)</f>
        <v>384168.724802265</v>
      </c>
      <c r="CA184" s="180" t="n">
        <f aca="false">BZ184/$D184</f>
        <v>256998.316366351</v>
      </c>
      <c r="CC184" s="180" t="n">
        <f aca="false">CJ183</f>
        <v>322194.952061046</v>
      </c>
      <c r="CD184" s="180" t="n">
        <f aca="false">IF($G$9=0,0,IF($A184&gt;IN_PRAZO,0,IF(APORTE_CORRIGIDO="Sim",IN_APORTE*$D184,IN_APORTE))+IF(AND($G$35=1,PGBL_REINVESTE="Sim",$A184&gt;=13,$A184&lt;=IN_PRAZO,MONTH($B184)=5),PGBL_BENEFICIO,0))</f>
        <v>0</v>
      </c>
      <c r="CE184" s="180" t="n">
        <f aca="false">CD184*$G$24</f>
        <v>0</v>
      </c>
      <c r="CF184" s="180" t="n">
        <f aca="false">CC184*$G$19</f>
        <v>2628.2168600654</v>
      </c>
      <c r="CG184" s="180" t="n">
        <f aca="false">CC184*$G$22</f>
        <v>268.495793384205</v>
      </c>
      <c r="CH184" s="180" t="n">
        <f aca="false">$G$23*MAX(0,CF184-CC184*$G$18)</f>
        <v>0</v>
      </c>
      <c r="CI184" s="180" t="n">
        <f aca="false">IF(AND($G$27=1,OR(MONTH($B184)=5,MONTH($B184)=11)),MAX(0,$G$28*MAX(0,(CC184+CF184-CG184-CH184+CD184-CE184)+CL183-CK184)-CL183),0)</f>
        <v>2085.51859607443</v>
      </c>
      <c r="CJ184" s="181" t="n">
        <f aca="false">CC184+CF184-CG184-CH184+CD184-CE184-CI184</f>
        <v>322469.154531653</v>
      </c>
      <c r="CK184" s="180" t="n">
        <f aca="false">CK183+CD184-CE184</f>
        <v>150000</v>
      </c>
      <c r="CL184" s="180" t="n">
        <f aca="false">CL183+CI184</f>
        <v>30435.7331526446</v>
      </c>
      <c r="CM184" s="180" t="n">
        <f aca="false">CJ184+CL184-CK184</f>
        <v>202904.887684297</v>
      </c>
      <c r="CN184" s="180" t="n">
        <f aca="false">MAX(0,IFERROR(INDEX(TAB_IR,MATCH($C184,TAB_IR_DIAS,1),MATCH($G$8,TAB_IR_REGIMES,0)),0)*IF($G$26=2,CJ184,MAX(0,CM184))-CL184)</f>
        <v>0</v>
      </c>
      <c r="CO184" s="181" t="n">
        <f aca="false">MAX(0,CJ184-CN184-CJ184*$G$25)</f>
        <v>322469.154531653</v>
      </c>
      <c r="CP184" s="180" t="n">
        <f aca="false">CO184/$D184</f>
        <v>215722.999932833</v>
      </c>
    </row>
    <row r="185" customFormat="false" ht="12" hidden="false" customHeight="true" outlineLevel="0" collapsed="false">
      <c r="A185" s="177" t="n">
        <v>124</v>
      </c>
      <c r="B185" s="178" t="n">
        <f aca="false">EDATE(DATA_INICIO,$A185)</f>
        <v>50032</v>
      </c>
      <c r="C185" s="177" t="n">
        <f aca="false">$A185*30</f>
        <v>3720</v>
      </c>
      <c r="D185" s="179" t="n">
        <f aca="false">(1+IPCA_CENARIO)^($A185/12)</f>
        <v>1.49972341721609</v>
      </c>
      <c r="F185" s="180" t="n">
        <f aca="false">M184</f>
        <v>469630.086013498</v>
      </c>
      <c r="G185" s="180" t="n">
        <f aca="false">IF($B$9=0,0,IF($A185&gt;IN_PRAZO,0,IF(APORTE_CORRIGIDO="Sim",IN_APORTE*$D185,IN_APORTE))+IF(AND($B$35=1,PGBL_REINVESTE="Sim",$A185&gt;=13,$A185&lt;=IN_PRAZO,MONTH($B185)=5),PGBL_BENEFICIO,0))</f>
        <v>0</v>
      </c>
      <c r="H185" s="180" t="n">
        <f aca="false">G185*$B$24</f>
        <v>0</v>
      </c>
      <c r="I185" s="180" t="n">
        <f aca="false">F185*$B$19</f>
        <v>4456.22264203251</v>
      </c>
      <c r="J185" s="180" t="n">
        <f aca="false">F185*$B$22</f>
        <v>78.2716810022497</v>
      </c>
      <c r="K185" s="180" t="n">
        <f aca="false">$B$23*MAX(0,I185-F185*$B$18)</f>
        <v>0</v>
      </c>
      <c r="L185" s="180" t="n">
        <f aca="false">IF(AND($B$27=1,OR(MONTH($B185)=5,MONTH($B185)=11)),MAX(0,$B$28*MAX(0,(F185+I185-J185-K185+G185-H185)+O184-N185)-O184),0)</f>
        <v>0</v>
      </c>
      <c r="M185" s="181" t="n">
        <f aca="false">F185+I185-J185-K185+G185-H185-L185</f>
        <v>474008.036974528</v>
      </c>
      <c r="N185" s="180" t="n">
        <f aca="false">N184+G185-H185</f>
        <v>150000</v>
      </c>
      <c r="O185" s="180" t="n">
        <f aca="false">O184+L185</f>
        <v>0</v>
      </c>
      <c r="P185" s="180" t="n">
        <f aca="false">M185+O185-N185</f>
        <v>324008.036974528</v>
      </c>
      <c r="Q185" s="180" t="n">
        <f aca="false">MAX(0,IFERROR(INDEX(TAB_IR,MATCH($C185,TAB_IR_DIAS,1),MATCH($B$8,TAB_IR_REGIMES,0)),0)*IF($B$26=2,M185,MAX(0,P185))-O185)</f>
        <v>48601.2055461793</v>
      </c>
      <c r="R185" s="181" t="n">
        <f aca="false">MAX(0,M185-Q185-M185*$B$25)</f>
        <v>425406.831428349</v>
      </c>
      <c r="S185" s="180" t="n">
        <f aca="false">R185/$D185</f>
        <v>283656.85735442</v>
      </c>
      <c r="U185" s="180" t="n">
        <f aca="false">AB184</f>
        <v>399242.140517511</v>
      </c>
      <c r="V185" s="180" t="n">
        <f aca="false">IF($C$9=0,0,IF($A185&gt;IN_PRAZO,0,IF(APORTE_CORRIGIDO="Sim",IN_APORTE*$D185,IN_APORTE))+IF(AND($C$35=1,PGBL_REINVESTE="Sim",$A185&gt;=13,$A185&lt;=IN_PRAZO,MONTH($B185)=5),PGBL_BENEFICIO,0))</f>
        <v>0</v>
      </c>
      <c r="W185" s="180" t="n">
        <f aca="false">V185*$C$24</f>
        <v>0</v>
      </c>
      <c r="X185" s="180" t="n">
        <f aca="false">U185*$C$19</f>
        <v>3256.70814593617</v>
      </c>
      <c r="Y185" s="180" t="n">
        <f aca="false">U185*$C$22</f>
        <v>66.5403567529185</v>
      </c>
      <c r="Z185" s="180" t="n">
        <f aca="false">$C$23*MAX(0,X185-U185*$C$18)</f>
        <v>0</v>
      </c>
      <c r="AA185" s="180" t="n">
        <f aca="false">IF(AND($C$27=1,OR(MONTH($B185)=5,MONTH($B185)=11)),MAX(0,$C$28*MAX(0,(U185+X185-Y185-Z185+V185-W185)+AD184-AC185)-AD184),0)</f>
        <v>0</v>
      </c>
      <c r="AB185" s="181" t="n">
        <f aca="false">U185+X185-Y185-Z185+V185-W185-AA185</f>
        <v>402432.308306694</v>
      </c>
      <c r="AC185" s="180" t="n">
        <f aca="false">AC184+V185-W185</f>
        <v>150000</v>
      </c>
      <c r="AD185" s="180" t="n">
        <f aca="false">AD184+AA185</f>
        <v>0</v>
      </c>
      <c r="AE185" s="180" t="n">
        <f aca="false">AB185+AD185-AC185</f>
        <v>252432.308306694</v>
      </c>
      <c r="AF185" s="180" t="n">
        <f aca="false">MAX(0,IFERROR(INDEX(TAB_IR,MATCH($C185,TAB_IR_DIAS,1),MATCH($C$8,TAB_IR_REGIMES,0)),0)*IF($C$26=2,AB185,MAX(0,AE185))-AD185)</f>
        <v>37864.8462460041</v>
      </c>
      <c r="AG185" s="181" t="n">
        <f aca="false">MAX(0,AB185-AF185-AB185*$C$25)</f>
        <v>364567.46206069</v>
      </c>
      <c r="AH185" s="180" t="n">
        <f aca="false">AG185/$D185</f>
        <v>243089.79767578</v>
      </c>
      <c r="AJ185" s="180" t="n">
        <f aca="false">AQ184</f>
        <v>351725.834258905</v>
      </c>
      <c r="AK185" s="180" t="n">
        <f aca="false">IF($D$9=0,0,IF($A185&gt;IN_PRAZO,0,IF(APORTE_CORRIGIDO="Sim",IN_APORTE*$D185,IN_APORTE))+IF(AND($D$35=1,PGBL_REINVESTE="Sim",$A185&gt;=13,$A185&lt;=IN_PRAZO,MONTH($B185)=5),PGBL_BENEFICIO,0))</f>
        <v>0</v>
      </c>
      <c r="AL185" s="180" t="n">
        <f aca="false">AK185*$D$24</f>
        <v>0</v>
      </c>
      <c r="AM185" s="180" t="n">
        <f aca="false">AJ185*$D$19</f>
        <v>3161.55696865215</v>
      </c>
      <c r="AN185" s="180" t="n">
        <f aca="false">AJ185*$D$22</f>
        <v>293.104861882421</v>
      </c>
      <c r="AO185" s="180" t="n">
        <f aca="false">$D$23*MAX(0,AM185-AJ185*$D$18)</f>
        <v>0</v>
      </c>
      <c r="AP185" s="180" t="n">
        <f aca="false">IF(AND($D$27=1,OR(MONTH($B185)=5,MONTH($B185)=11)),MAX(0,$D$28*MAX(0,(AJ185+AM185-AN185-AO185+AK185-AL185)+AS184-AR185)-AS184),0)</f>
        <v>0</v>
      </c>
      <c r="AQ185" s="181" t="n">
        <f aca="false">AJ185+AM185-AN185-AO185+AK185-AL185-AP185</f>
        <v>354594.286365675</v>
      </c>
      <c r="AR185" s="180" t="n">
        <f aca="false">AR184+AK185-AL185</f>
        <v>150000</v>
      </c>
      <c r="AS185" s="180" t="n">
        <f aca="false">AS184+AP185</f>
        <v>35598.6766339244</v>
      </c>
      <c r="AT185" s="180" t="n">
        <f aca="false">AQ185+AS185-AR185</f>
        <v>240192.962999599</v>
      </c>
      <c r="AU185" s="180" t="n">
        <f aca="false">MAX(0,IFERROR(INDEX(TAB_IR,MATCH($C185,TAB_IR_DIAS,1),MATCH($D$8,TAB_IR_REGIMES,0)),0)*IF($D$26=2,AQ185,MAX(0,AT185))-AS185)</f>
        <v>430.267816015468</v>
      </c>
      <c r="AV185" s="181" t="n">
        <f aca="false">MAX(0,AQ185-AU185-AQ185*$D$25)</f>
        <v>354164.01854966</v>
      </c>
      <c r="AW185" s="180" t="n">
        <f aca="false">AV185/$D185</f>
        <v>236152.889582192</v>
      </c>
      <c r="AY185" s="180" t="n">
        <f aca="false">BF184</f>
        <v>426854.138669183</v>
      </c>
      <c r="AZ185" s="180" t="n">
        <f aca="false">IF($E$9=0,0,IF($A185&gt;IN_PRAZO,0,IF(APORTE_CORRIGIDO="Sim",IN_APORTE*$D185,IN_APORTE))+IF(AND($E$35=1,PGBL_REINVESTE="Sim",$A185&gt;=13,$A185&lt;=IN_PRAZO,MONTH($B185)=5),PGBL_BENEFICIO,0))</f>
        <v>0</v>
      </c>
      <c r="BA185" s="180" t="n">
        <f aca="false">AZ185*$E$24</f>
        <v>0</v>
      </c>
      <c r="BB185" s="180" t="n">
        <f aca="false">AY185*$E$19</f>
        <v>4178.36646512416</v>
      </c>
      <c r="BC185" s="180" t="n">
        <f aca="false">AY185*$E$22</f>
        <v>533.567673336479</v>
      </c>
      <c r="BD185" s="180" t="n">
        <f aca="false">$E$23*MAX(0,BB185-AY185*$E$18)</f>
        <v>0</v>
      </c>
      <c r="BE185" s="180" t="n">
        <f aca="false">IF(AND($E$27=1,OR(MONTH($B185)=5,MONTH($B185)=11)),MAX(0,$E$28*MAX(0,(AY185+BB185-BC185-BD185+AZ185-BA185)+BH184-BG185)-BH184),0)</f>
        <v>0</v>
      </c>
      <c r="BF185" s="181" t="n">
        <f aca="false">AY185+BB185-BC185-BD185+AZ185-BA185-BE185</f>
        <v>430498.937460971</v>
      </c>
      <c r="BG185" s="180" t="n">
        <f aca="false">BG184+AZ185-BA185</f>
        <v>150000</v>
      </c>
      <c r="BH185" s="180" t="n">
        <f aca="false">BH184+BE185</f>
        <v>0</v>
      </c>
      <c r="BI185" s="180" t="n">
        <f aca="false">BF185+BH185-BG185</f>
        <v>280498.937460971</v>
      </c>
      <c r="BJ185" s="180" t="n">
        <f aca="false">MAX(0,IFERROR(INDEX(TAB_IR,MATCH($C185,TAB_IR_DIAS,1),MATCH($E$8,TAB_IR_REGIMES,0)),0)*IF($E$26=2,BF185,MAX(0,BI185))-BH185)</f>
        <v>28049.8937460971</v>
      </c>
      <c r="BK185" s="181" t="n">
        <f aca="false">MAX(0,BF185-BJ185-BF185*$E$25)</f>
        <v>402449.043714874</v>
      </c>
      <c r="BL185" s="180" t="n">
        <f aca="false">BK185/$D185</f>
        <v>268348.842923272</v>
      </c>
      <c r="BN185" s="180" t="n">
        <f aca="false">BU184</f>
        <v>426854.138669183</v>
      </c>
      <c r="BO185" s="180" t="n">
        <f aca="false">IF($F$9=0,0,IF($A185&gt;IN_PRAZO,0,IF(APORTE_CORRIGIDO="Sim",IN_APORTE*$D185,IN_APORTE))+IF(AND($F$35=1,PGBL_REINVESTE="Sim",$A185&gt;=13,$A185&lt;=IN_PRAZO,MONTH($B185)=5),PGBL_BENEFICIO,0))</f>
        <v>0</v>
      </c>
      <c r="BP185" s="180" t="n">
        <f aca="false">BO185*$F$24</f>
        <v>0</v>
      </c>
      <c r="BQ185" s="180" t="n">
        <f aca="false">BN185*$F$19</f>
        <v>4178.36646512416</v>
      </c>
      <c r="BR185" s="180" t="n">
        <f aca="false">BN185*$F$22</f>
        <v>533.567673336479</v>
      </c>
      <c r="BS185" s="180" t="n">
        <f aca="false">$F$23*MAX(0,BQ185-BN185*$F$18)</f>
        <v>0</v>
      </c>
      <c r="BT185" s="180" t="n">
        <f aca="false">IF(AND($F$27=1,OR(MONTH($B185)=5,MONTH($B185)=11)),MAX(0,$F$28*MAX(0,(BN185+BQ185-BR185-BS185+BO185-BP185)+BW184-BV185)-BW184),0)</f>
        <v>0</v>
      </c>
      <c r="BU185" s="181" t="n">
        <f aca="false">BN185+BQ185-BR185-BS185+BO185-BP185-BT185</f>
        <v>430498.937460971</v>
      </c>
      <c r="BV185" s="180" t="n">
        <f aca="false">BV184+BO185-BP185</f>
        <v>150000</v>
      </c>
      <c r="BW185" s="180" t="n">
        <f aca="false">BW184+BT185</f>
        <v>0</v>
      </c>
      <c r="BX185" s="180" t="n">
        <f aca="false">BU185+BW185-BV185</f>
        <v>280498.937460971</v>
      </c>
      <c r="BY185" s="180" t="n">
        <f aca="false">MAX(0,IFERROR(INDEX(TAB_IR,MATCH($C185,TAB_IR_DIAS,1),MATCH($F$8,TAB_IR_REGIMES,0)),0)*IF($F$26=2,BU185,MAX(0,BX185))-BW185)</f>
        <v>43049.8937460971</v>
      </c>
      <c r="BZ185" s="181" t="n">
        <f aca="false">MAX(0,BU185-BY185-BU185*$F$25)</f>
        <v>387449.043714874</v>
      </c>
      <c r="CA185" s="180" t="n">
        <f aca="false">BZ185/$D185</f>
        <v>258346.998697992</v>
      </c>
      <c r="CC185" s="180" t="n">
        <f aca="false">CJ184</f>
        <v>322469.154531653</v>
      </c>
      <c r="CD185" s="180" t="n">
        <f aca="false">IF($G$9=0,0,IF($A185&gt;IN_PRAZO,0,IF(APORTE_CORRIGIDO="Sim",IN_APORTE*$D185,IN_APORTE))+IF(AND($G$35=1,PGBL_REINVESTE="Sim",$A185&gt;=13,$A185&lt;=IN_PRAZO,MONTH($B185)=5),PGBL_BENEFICIO,0))</f>
        <v>0</v>
      </c>
      <c r="CE185" s="180" t="n">
        <f aca="false">CD185*$G$24</f>
        <v>0</v>
      </c>
      <c r="CF185" s="180" t="n">
        <f aca="false">CC185*$G$19</f>
        <v>2630.45359143475</v>
      </c>
      <c r="CG185" s="180" t="n">
        <f aca="false">CC185*$G$22</f>
        <v>268.724295443044</v>
      </c>
      <c r="CH185" s="180" t="n">
        <f aca="false">$G$23*MAX(0,CF185-CC185*$G$18)</f>
        <v>0</v>
      </c>
      <c r="CI185" s="180" t="n">
        <f aca="false">IF(AND($G$27=1,OR(MONTH($B185)=5,MONTH($B185)=11)),MAX(0,$G$28*MAX(0,(CC185+CF185-CG185-CH185+CD185-CE185)+CL184-CK185)-CL184),0)</f>
        <v>0</v>
      </c>
      <c r="CJ185" s="181" t="n">
        <f aca="false">CC185+CF185-CG185-CH185+CD185-CE185-CI185</f>
        <v>324830.883827645</v>
      </c>
      <c r="CK185" s="180" t="n">
        <f aca="false">CK184+CD185-CE185</f>
        <v>150000</v>
      </c>
      <c r="CL185" s="180" t="n">
        <f aca="false">CL184+CI185</f>
        <v>30435.7331526446</v>
      </c>
      <c r="CM185" s="180" t="n">
        <f aca="false">CJ185+CL185-CK185</f>
        <v>205266.616980289</v>
      </c>
      <c r="CN185" s="180" t="n">
        <f aca="false">MAX(0,IFERROR(INDEX(TAB_IR,MATCH($C185,TAB_IR_DIAS,1),MATCH($G$8,TAB_IR_REGIMES,0)),0)*IF($G$26=2,CJ185,MAX(0,CM185))-CL185)</f>
        <v>354.259394398756</v>
      </c>
      <c r="CO185" s="181" t="n">
        <f aca="false">MAX(0,CJ185-CN185-CJ185*$G$25)</f>
        <v>324476.624433246</v>
      </c>
      <c r="CP185" s="180" t="n">
        <f aca="false">CO185/$D185</f>
        <v>216357.643488401</v>
      </c>
    </row>
    <row r="186" customFormat="false" ht="12" hidden="false" customHeight="true" outlineLevel="0" collapsed="false">
      <c r="A186" s="177" t="n">
        <v>125</v>
      </c>
      <c r="B186" s="178" t="n">
        <f aca="false">EDATE(DATA_INICIO,$A186)</f>
        <v>50063</v>
      </c>
      <c r="C186" s="177" t="n">
        <f aca="false">$A186*30</f>
        <v>3750</v>
      </c>
      <c r="D186" s="179" t="n">
        <f aca="false">(1+IPCA_CENARIO)^($A186/12)</f>
        <v>1.50463312142933</v>
      </c>
      <c r="F186" s="180" t="n">
        <f aca="false">M185</f>
        <v>474008.036974528</v>
      </c>
      <c r="G186" s="180" t="n">
        <f aca="false">IF($B$9=0,0,IF($A186&gt;IN_PRAZO,0,IF(APORTE_CORRIGIDO="Sim",IN_APORTE*$D186,IN_APORTE))+IF(AND($B$35=1,PGBL_REINVESTE="Sim",$A186&gt;=13,$A186&lt;=IN_PRAZO,MONTH($B186)=5),PGBL_BENEFICIO,0))</f>
        <v>0</v>
      </c>
      <c r="H186" s="180" t="n">
        <f aca="false">G186*$B$24</f>
        <v>0</v>
      </c>
      <c r="I186" s="180" t="n">
        <f aca="false">F186*$B$19</f>
        <v>4497.76411217948</v>
      </c>
      <c r="J186" s="180" t="n">
        <f aca="false">F186*$B$22</f>
        <v>79.0013394957547</v>
      </c>
      <c r="K186" s="180" t="n">
        <f aca="false">$B$23*MAX(0,I186-F186*$B$18)</f>
        <v>0</v>
      </c>
      <c r="L186" s="180" t="n">
        <f aca="false">IF(AND($B$27=1,OR(MONTH($B186)=5,MONTH($B186)=11)),MAX(0,$B$28*MAX(0,(F186+I186-J186-K186+G186-H186)+O185-N186)-O185),0)</f>
        <v>0</v>
      </c>
      <c r="M186" s="181" t="n">
        <f aca="false">F186+I186-J186-K186+G186-H186-L186</f>
        <v>478426.799747212</v>
      </c>
      <c r="N186" s="180" t="n">
        <f aca="false">N185+G186-H186</f>
        <v>150000</v>
      </c>
      <c r="O186" s="180" t="n">
        <f aca="false">O185+L186</f>
        <v>0</v>
      </c>
      <c r="P186" s="180" t="n">
        <f aca="false">M186+O186-N186</f>
        <v>328426.799747212</v>
      </c>
      <c r="Q186" s="180" t="n">
        <f aca="false">MAX(0,IFERROR(INDEX(TAB_IR,MATCH($C186,TAB_IR_DIAS,1),MATCH($B$8,TAB_IR_REGIMES,0)),0)*IF($B$26=2,M186,MAX(0,P186))-O186)</f>
        <v>49264.0199620818</v>
      </c>
      <c r="R186" s="181" t="n">
        <f aca="false">MAX(0,M186-Q186-M186*$B$25)</f>
        <v>429162.77978513</v>
      </c>
      <c r="S186" s="180" t="n">
        <f aca="false">R186/$D186</f>
        <v>285227.524020903</v>
      </c>
      <c r="U186" s="180" t="n">
        <f aca="false">AB185</f>
        <v>402432.308306694</v>
      </c>
      <c r="V186" s="180" t="n">
        <f aca="false">IF($C$9=0,0,IF($A186&gt;IN_PRAZO,0,IF(APORTE_CORRIGIDO="Sim",IN_APORTE*$D186,IN_APORTE))+IF(AND($C$35=1,PGBL_REINVESTE="Sim",$A186&gt;=13,$A186&lt;=IN_PRAZO,MONTH($B186)=5),PGBL_BENEFICIO,0))</f>
        <v>0</v>
      </c>
      <c r="W186" s="180" t="n">
        <f aca="false">V186*$C$24</f>
        <v>0</v>
      </c>
      <c r="X186" s="180" t="n">
        <f aca="false">U186*$C$19</f>
        <v>3282.73106378865</v>
      </c>
      <c r="Y186" s="180" t="n">
        <f aca="false">U186*$C$22</f>
        <v>67.072051384449</v>
      </c>
      <c r="Z186" s="180" t="n">
        <f aca="false">$C$23*MAX(0,X186-U186*$C$18)</f>
        <v>0</v>
      </c>
      <c r="AA186" s="180" t="n">
        <f aca="false">IF(AND($C$27=1,OR(MONTH($B186)=5,MONTH($B186)=11)),MAX(0,$C$28*MAX(0,(U186+X186-Y186-Z186+V186-W186)+AD185-AC186)-AD185),0)</f>
        <v>0</v>
      </c>
      <c r="AB186" s="181" t="n">
        <f aca="false">U186+X186-Y186-Z186+V186-W186-AA186</f>
        <v>405647.967319099</v>
      </c>
      <c r="AC186" s="180" t="n">
        <f aca="false">AC185+V186-W186</f>
        <v>150000</v>
      </c>
      <c r="AD186" s="180" t="n">
        <f aca="false">AD185+AA186</f>
        <v>0</v>
      </c>
      <c r="AE186" s="180" t="n">
        <f aca="false">AB186+AD186-AC186</f>
        <v>255647.967319098</v>
      </c>
      <c r="AF186" s="180" t="n">
        <f aca="false">MAX(0,IFERROR(INDEX(TAB_IR,MATCH($C186,TAB_IR_DIAS,1),MATCH($C$8,TAB_IR_REGIMES,0)),0)*IF($C$26=2,AB186,MAX(0,AE186))-AD186)</f>
        <v>38347.1950978648</v>
      </c>
      <c r="AG186" s="181" t="n">
        <f aca="false">MAX(0,AB186-AF186-AB186*$C$25)</f>
        <v>367300.772221234</v>
      </c>
      <c r="AH186" s="180" t="n">
        <f aca="false">AG186/$D186</f>
        <v>244113.177484964</v>
      </c>
      <c r="AJ186" s="180" t="n">
        <f aca="false">AQ185</f>
        <v>354594.286365675</v>
      </c>
      <c r="AK186" s="180" t="n">
        <f aca="false">IF($D$9=0,0,IF($A186&gt;IN_PRAZO,0,IF(APORTE_CORRIGIDO="Sim",IN_APORTE*$D186,IN_APORTE))+IF(AND($D$35=1,PGBL_REINVESTE="Sim",$A186&gt;=13,$A186&lt;=IN_PRAZO,MONTH($B186)=5),PGBL_BENEFICIO,0))</f>
        <v>0</v>
      </c>
      <c r="AL186" s="180" t="n">
        <f aca="false">AK186*$D$24</f>
        <v>0</v>
      </c>
      <c r="AM186" s="180" t="n">
        <f aca="false">AJ186*$D$19</f>
        <v>3187.34061564104</v>
      </c>
      <c r="AN186" s="180" t="n">
        <f aca="false">AJ186*$D$22</f>
        <v>295.495238638063</v>
      </c>
      <c r="AO186" s="180" t="n">
        <f aca="false">$D$23*MAX(0,AM186-AJ186*$D$18)</f>
        <v>0</v>
      </c>
      <c r="AP186" s="180" t="n">
        <f aca="false">IF(AND($D$27=1,OR(MONTH($B186)=5,MONTH($B186)=11)),MAX(0,$D$28*MAX(0,(AJ186+AM186-AN186-AO186+AK186-AL186)+AS185-AR186)-AS185),0)</f>
        <v>0</v>
      </c>
      <c r="AQ186" s="181" t="n">
        <f aca="false">AJ186+AM186-AN186-AO186+AK186-AL186-AP186</f>
        <v>357486.131742678</v>
      </c>
      <c r="AR186" s="180" t="n">
        <f aca="false">AR185+AK186-AL186</f>
        <v>150000</v>
      </c>
      <c r="AS186" s="180" t="n">
        <f aca="false">AS185+AP186</f>
        <v>35598.6766339244</v>
      </c>
      <c r="AT186" s="180" t="n">
        <f aca="false">AQ186+AS186-AR186</f>
        <v>243084.808376602</v>
      </c>
      <c r="AU186" s="180" t="n">
        <f aca="false">MAX(0,IFERROR(INDEX(TAB_IR,MATCH($C186,TAB_IR_DIAS,1),MATCH($D$8,TAB_IR_REGIMES,0)),0)*IF($D$26=2,AQ186,MAX(0,AT186))-AS186)</f>
        <v>864.044622565911</v>
      </c>
      <c r="AV186" s="181" t="n">
        <f aca="false">MAX(0,AQ186-AU186-AQ186*$D$25)</f>
        <v>356622.087120112</v>
      </c>
      <c r="AW186" s="180" t="n">
        <f aca="false">AV186/$D186</f>
        <v>237015.975549799</v>
      </c>
      <c r="AY186" s="180" t="n">
        <f aca="false">BF185</f>
        <v>430498.937460971</v>
      </c>
      <c r="AZ186" s="180" t="n">
        <f aca="false">IF($E$9=0,0,IF($A186&gt;IN_PRAZO,0,IF(APORTE_CORRIGIDO="Sim",IN_APORTE*$D186,IN_APORTE))+IF(AND($E$35=1,PGBL_REINVESTE="Sim",$A186&gt;=13,$A186&lt;=IN_PRAZO,MONTH($B186)=5),PGBL_BENEFICIO,0))</f>
        <v>0</v>
      </c>
      <c r="BA186" s="180" t="n">
        <f aca="false">AZ186*$E$24</f>
        <v>0</v>
      </c>
      <c r="BB186" s="180" t="n">
        <f aca="false">AY186*$E$19</f>
        <v>4214.0444723498</v>
      </c>
      <c r="BC186" s="180" t="n">
        <f aca="false">AY186*$E$22</f>
        <v>538.123671826214</v>
      </c>
      <c r="BD186" s="180" t="n">
        <f aca="false">$E$23*MAX(0,BB186-AY186*$E$18)</f>
        <v>0</v>
      </c>
      <c r="BE186" s="180" t="n">
        <f aca="false">IF(AND($E$27=1,OR(MONTH($B186)=5,MONTH($B186)=11)),MAX(0,$E$28*MAX(0,(AY186+BB186-BC186-BD186+AZ186-BA186)+BH185-BG186)-BH185),0)</f>
        <v>0</v>
      </c>
      <c r="BF186" s="181" t="n">
        <f aca="false">AY186+BB186-BC186-BD186+AZ186-BA186-BE186</f>
        <v>434174.858261495</v>
      </c>
      <c r="BG186" s="180" t="n">
        <f aca="false">BG185+AZ186-BA186</f>
        <v>150000</v>
      </c>
      <c r="BH186" s="180" t="n">
        <f aca="false">BH185+BE186</f>
        <v>0</v>
      </c>
      <c r="BI186" s="180" t="n">
        <f aca="false">BF186+BH186-BG186</f>
        <v>284174.858261495</v>
      </c>
      <c r="BJ186" s="180" t="n">
        <f aca="false">MAX(0,IFERROR(INDEX(TAB_IR,MATCH($C186,TAB_IR_DIAS,1),MATCH($E$8,TAB_IR_REGIMES,0)),0)*IF($E$26=2,BF186,MAX(0,BI186))-BH186)</f>
        <v>28417.4858261495</v>
      </c>
      <c r="BK186" s="181" t="n">
        <f aca="false">MAX(0,BF186-BJ186-BF186*$E$25)</f>
        <v>405757.372435345</v>
      </c>
      <c r="BL186" s="180" t="n">
        <f aca="false">BK186/$D186</f>
        <v>269671.966312888</v>
      </c>
      <c r="BN186" s="180" t="n">
        <f aca="false">BU185</f>
        <v>430498.937460971</v>
      </c>
      <c r="BO186" s="180" t="n">
        <f aca="false">IF($F$9=0,0,IF($A186&gt;IN_PRAZO,0,IF(APORTE_CORRIGIDO="Sim",IN_APORTE*$D186,IN_APORTE))+IF(AND($F$35=1,PGBL_REINVESTE="Sim",$A186&gt;=13,$A186&lt;=IN_PRAZO,MONTH($B186)=5),PGBL_BENEFICIO,0))</f>
        <v>0</v>
      </c>
      <c r="BP186" s="180" t="n">
        <f aca="false">BO186*$F$24</f>
        <v>0</v>
      </c>
      <c r="BQ186" s="180" t="n">
        <f aca="false">BN186*$F$19</f>
        <v>4214.0444723498</v>
      </c>
      <c r="BR186" s="180" t="n">
        <f aca="false">BN186*$F$22</f>
        <v>538.123671826214</v>
      </c>
      <c r="BS186" s="180" t="n">
        <f aca="false">$F$23*MAX(0,BQ186-BN186*$F$18)</f>
        <v>0</v>
      </c>
      <c r="BT186" s="180" t="n">
        <f aca="false">IF(AND($F$27=1,OR(MONTH($B186)=5,MONTH($B186)=11)),MAX(0,$F$28*MAX(0,(BN186+BQ186-BR186-BS186+BO186-BP186)+BW185-BV186)-BW185),0)</f>
        <v>0</v>
      </c>
      <c r="BU186" s="181" t="n">
        <f aca="false">BN186+BQ186-BR186-BS186+BO186-BP186-BT186</f>
        <v>434174.858261495</v>
      </c>
      <c r="BV186" s="180" t="n">
        <f aca="false">BV185+BO186-BP186</f>
        <v>150000</v>
      </c>
      <c r="BW186" s="180" t="n">
        <f aca="false">BW185+BT186</f>
        <v>0</v>
      </c>
      <c r="BX186" s="180" t="n">
        <f aca="false">BU186+BW186-BV186</f>
        <v>284174.858261495</v>
      </c>
      <c r="BY186" s="180" t="n">
        <f aca="false">MAX(0,IFERROR(INDEX(TAB_IR,MATCH($C186,TAB_IR_DIAS,1),MATCH($F$8,TAB_IR_REGIMES,0)),0)*IF($F$26=2,BU186,MAX(0,BX186))-BW186)</f>
        <v>43417.4858261495</v>
      </c>
      <c r="BZ186" s="181" t="n">
        <f aca="false">MAX(0,BU186-BY186-BU186*$F$25)</f>
        <v>390757.372435345</v>
      </c>
      <c r="CA186" s="180" t="n">
        <f aca="false">BZ186/$D186</f>
        <v>259702.758679235</v>
      </c>
      <c r="CC186" s="180" t="n">
        <f aca="false">CJ185</f>
        <v>324830.883827645</v>
      </c>
      <c r="CD186" s="180" t="n">
        <f aca="false">IF($G$9=0,0,IF($A186&gt;IN_PRAZO,0,IF(APORTE_CORRIGIDO="Sim",IN_APORTE*$D186,IN_APORTE))+IF(AND($G$35=1,PGBL_REINVESTE="Sim",$A186&gt;=13,$A186&lt;=IN_PRAZO,MONTH($B186)=5),PGBL_BENEFICIO,0))</f>
        <v>0</v>
      </c>
      <c r="CE186" s="180" t="n">
        <f aca="false">CD186*$G$24</f>
        <v>0</v>
      </c>
      <c r="CF186" s="180" t="n">
        <f aca="false">CC186*$G$19</f>
        <v>2649.71874973387</v>
      </c>
      <c r="CG186" s="180" t="n">
        <f aca="false">CC186*$G$22</f>
        <v>270.692403189704</v>
      </c>
      <c r="CH186" s="180" t="n">
        <f aca="false">$G$23*MAX(0,CF186-CC186*$G$18)</f>
        <v>0</v>
      </c>
      <c r="CI186" s="180" t="n">
        <f aca="false">IF(AND($G$27=1,OR(MONTH($B186)=5,MONTH($B186)=11)),MAX(0,$G$28*MAX(0,(CC186+CF186-CG186-CH186+CD186-CE186)+CL185-CK186)-CL185),0)</f>
        <v>0</v>
      </c>
      <c r="CJ186" s="181" t="n">
        <f aca="false">CC186+CF186-CG186-CH186+CD186-CE186-CI186</f>
        <v>327209.910174189</v>
      </c>
      <c r="CK186" s="180" t="n">
        <f aca="false">CK185+CD186-CE186</f>
        <v>150000</v>
      </c>
      <c r="CL186" s="180" t="n">
        <f aca="false">CL185+CI186</f>
        <v>30435.7331526446</v>
      </c>
      <c r="CM186" s="180" t="n">
        <f aca="false">CJ186+CL186-CK186</f>
        <v>207645.643326833</v>
      </c>
      <c r="CN186" s="180" t="n">
        <f aca="false">MAX(0,IFERROR(INDEX(TAB_IR,MATCH($C186,TAB_IR_DIAS,1),MATCH($G$8,TAB_IR_REGIMES,0)),0)*IF($G$26=2,CJ186,MAX(0,CM186))-CL186)</f>
        <v>711.113346380378</v>
      </c>
      <c r="CO186" s="181" t="n">
        <f aca="false">MAX(0,CJ186-CN186-CJ186*$G$25)</f>
        <v>326498.796827808</v>
      </c>
      <c r="CP186" s="180" t="n">
        <f aca="false">CO186/$D186</f>
        <v>216995.619847614</v>
      </c>
    </row>
    <row r="187" customFormat="false" ht="12" hidden="false" customHeight="true" outlineLevel="0" collapsed="false">
      <c r="A187" s="177" t="n">
        <v>126</v>
      </c>
      <c r="B187" s="178" t="n">
        <f aca="false">EDATE(DATA_INICIO,$A187)</f>
        <v>50094</v>
      </c>
      <c r="C187" s="177" t="n">
        <f aca="false">$A187*30</f>
        <v>3780</v>
      </c>
      <c r="D187" s="179" t="n">
        <f aca="false">(1+IPCA_CENARIO)^($A187/12)</f>
        <v>1.50955889873657</v>
      </c>
      <c r="F187" s="180" t="n">
        <f aca="false">M186</f>
        <v>478426.799747212</v>
      </c>
      <c r="G187" s="180" t="n">
        <f aca="false">IF($B$9=0,0,IF($A187&gt;IN_PRAZO,0,IF(APORTE_CORRIGIDO="Sim",IN_APORTE*$D187,IN_APORTE))+IF(AND($B$35=1,PGBL_REINVESTE="Sim",$A187&gt;=13,$A187&lt;=IN_PRAZO,MONTH($B187)=5),PGBL_BENEFICIO,0))</f>
        <v>0</v>
      </c>
      <c r="H187" s="180" t="n">
        <f aca="false">G187*$B$24</f>
        <v>0</v>
      </c>
      <c r="I187" s="180" t="n">
        <f aca="false">F187*$B$19</f>
        <v>4539.69283715652</v>
      </c>
      <c r="J187" s="180" t="n">
        <f aca="false">F187*$B$22</f>
        <v>79.7377999578687</v>
      </c>
      <c r="K187" s="180" t="n">
        <f aca="false">$B$23*MAX(0,I187-F187*$B$18)</f>
        <v>0</v>
      </c>
      <c r="L187" s="180" t="n">
        <f aca="false">IF(AND($B$27=1,OR(MONTH($B187)=5,MONTH($B187)=11)),MAX(0,$B$28*MAX(0,(F187+I187-J187-K187+G187-H187)+O186-N187)-O186),0)</f>
        <v>0</v>
      </c>
      <c r="M187" s="181" t="n">
        <f aca="false">F187+I187-J187-K187+G187-H187-L187</f>
        <v>482886.754784411</v>
      </c>
      <c r="N187" s="180" t="n">
        <f aca="false">N186+G187-H187</f>
        <v>150000</v>
      </c>
      <c r="O187" s="180" t="n">
        <f aca="false">O186+L187</f>
        <v>0</v>
      </c>
      <c r="P187" s="180" t="n">
        <f aca="false">M187+O187-N187</f>
        <v>332886.754784411</v>
      </c>
      <c r="Q187" s="180" t="n">
        <f aca="false">MAX(0,IFERROR(INDEX(TAB_IR,MATCH($C187,TAB_IR_DIAS,1),MATCH($B$8,TAB_IR_REGIMES,0)),0)*IF($B$26=2,M187,MAX(0,P187))-O187)</f>
        <v>49933.0132176616</v>
      </c>
      <c r="R187" s="181" t="n">
        <f aca="false">MAX(0,M187-Q187-M187*$B$25)</f>
        <v>432953.741566749</v>
      </c>
      <c r="S187" s="180" t="n">
        <f aca="false">R187/$D187</f>
        <v>286808.114561884</v>
      </c>
      <c r="U187" s="180" t="n">
        <f aca="false">AB186</f>
        <v>405647.967319099</v>
      </c>
      <c r="V187" s="180" t="n">
        <f aca="false">IF($C$9=0,0,IF($A187&gt;IN_PRAZO,0,IF(APORTE_CORRIGIDO="Sim",IN_APORTE*$D187,IN_APORTE))+IF(AND($C$35=1,PGBL_REINVESTE="Sim",$A187&gt;=13,$A187&lt;=IN_PRAZO,MONTH($B187)=5),PGBL_BENEFICIO,0))</f>
        <v>0</v>
      </c>
      <c r="W187" s="180" t="n">
        <f aca="false">V187*$C$24</f>
        <v>0</v>
      </c>
      <c r="X187" s="180" t="n">
        <f aca="false">U187*$C$19</f>
        <v>3308.96191929572</v>
      </c>
      <c r="Y187" s="180" t="n">
        <f aca="false">U187*$C$22</f>
        <v>67.6079945531831</v>
      </c>
      <c r="Z187" s="180" t="n">
        <f aca="false">$C$23*MAX(0,X187-U187*$C$18)</f>
        <v>0</v>
      </c>
      <c r="AA187" s="180" t="n">
        <f aca="false">IF(AND($C$27=1,OR(MONTH($B187)=5,MONTH($B187)=11)),MAX(0,$C$28*MAX(0,(U187+X187-Y187-Z187+V187-W187)+AD186-AC187)-AD186),0)</f>
        <v>0</v>
      </c>
      <c r="AB187" s="181" t="n">
        <f aca="false">U187+X187-Y187-Z187+V187-W187-AA187</f>
        <v>408889.321243841</v>
      </c>
      <c r="AC187" s="180" t="n">
        <f aca="false">AC186+V187-W187</f>
        <v>150000</v>
      </c>
      <c r="AD187" s="180" t="n">
        <f aca="false">AD186+AA187</f>
        <v>0</v>
      </c>
      <c r="AE187" s="180" t="n">
        <f aca="false">AB187+AD187-AC187</f>
        <v>258889.321243841</v>
      </c>
      <c r="AF187" s="180" t="n">
        <f aca="false">MAX(0,IFERROR(INDEX(TAB_IR,MATCH($C187,TAB_IR_DIAS,1),MATCH($C$8,TAB_IR_REGIMES,0)),0)*IF($C$26=2,AB187,MAX(0,AE187))-AD187)</f>
        <v>38833.3981865762</v>
      </c>
      <c r="AG187" s="181" t="n">
        <f aca="false">MAX(0,AB187-AF187-AB187*$C$25)</f>
        <v>370055.923057265</v>
      </c>
      <c r="AH187" s="180" t="n">
        <f aca="false">AG187/$D187</f>
        <v>245141.758540846</v>
      </c>
      <c r="AJ187" s="180" t="n">
        <f aca="false">AQ186</f>
        <v>357486.131742678</v>
      </c>
      <c r="AK187" s="180" t="n">
        <f aca="false">IF($D$9=0,0,IF($A187&gt;IN_PRAZO,0,IF(APORTE_CORRIGIDO="Sim",IN_APORTE*$D187,IN_APORTE))+IF(AND($D$35=1,PGBL_REINVESTE="Sim",$A187&gt;=13,$A187&lt;=IN_PRAZO,MONTH($B187)=5),PGBL_BENEFICIO,0))</f>
        <v>0</v>
      </c>
      <c r="AL187" s="180" t="n">
        <f aca="false">AK187*$D$24</f>
        <v>0</v>
      </c>
      <c r="AM187" s="180" t="n">
        <f aca="false">AJ187*$D$19</f>
        <v>3213.33453764905</v>
      </c>
      <c r="AN187" s="180" t="n">
        <f aca="false">AJ187*$D$22</f>
        <v>297.905109785565</v>
      </c>
      <c r="AO187" s="180" t="n">
        <f aca="false">$D$23*MAX(0,AM187-AJ187*$D$18)</f>
        <v>0</v>
      </c>
      <c r="AP187" s="180" t="n">
        <f aca="false">IF(AND($D$27=1,OR(MONTH($B187)=5,MONTH($B187)=11)),MAX(0,$D$28*MAX(0,(AJ187+AM187-AN187-AO187+AK187-AL187)+AS186-AR187)-AS186),0)</f>
        <v>0</v>
      </c>
      <c r="AQ187" s="181" t="n">
        <f aca="false">AJ187+AM187-AN187-AO187+AK187-AL187-AP187</f>
        <v>360401.561170541</v>
      </c>
      <c r="AR187" s="180" t="n">
        <f aca="false">AR186+AK187-AL187</f>
        <v>150000</v>
      </c>
      <c r="AS187" s="180" t="n">
        <f aca="false">AS186+AP187</f>
        <v>35598.6766339244</v>
      </c>
      <c r="AT187" s="180" t="n">
        <f aca="false">AQ187+AS187-AR187</f>
        <v>246000.237804466</v>
      </c>
      <c r="AU187" s="180" t="n">
        <f aca="false">MAX(0,IFERROR(INDEX(TAB_IR,MATCH($C187,TAB_IR_DIAS,1),MATCH($D$8,TAB_IR_REGIMES,0)),0)*IF($D$26=2,AQ187,MAX(0,AT187))-AS187)</f>
        <v>1301.35903674544</v>
      </c>
      <c r="AV187" s="181" t="n">
        <f aca="false">MAX(0,AQ187-AU187-AQ187*$D$25)</f>
        <v>359100.202133796</v>
      </c>
      <c r="AW187" s="180" t="n">
        <f aca="false">AV187/$D187</f>
        <v>237884.19414065</v>
      </c>
      <c r="AY187" s="180" t="n">
        <f aca="false">BF186</f>
        <v>434174.858261495</v>
      </c>
      <c r="AZ187" s="180" t="n">
        <f aca="false">IF($E$9=0,0,IF($A187&gt;IN_PRAZO,0,IF(APORTE_CORRIGIDO="Sim",IN_APORTE*$D187,IN_APORTE))+IF(AND($E$35=1,PGBL_REINVESTE="Sim",$A187&gt;=13,$A187&lt;=IN_PRAZO,MONTH($B187)=5),PGBL_BENEFICIO,0))</f>
        <v>0</v>
      </c>
      <c r="BA187" s="180" t="n">
        <f aca="false">AZ187*$E$24</f>
        <v>0</v>
      </c>
      <c r="BB187" s="180" t="n">
        <f aca="false">AY187*$E$19</f>
        <v>4250.02712499373</v>
      </c>
      <c r="BC187" s="180" t="n">
        <f aca="false">AY187*$E$22</f>
        <v>542.718572826868</v>
      </c>
      <c r="BD187" s="180" t="n">
        <f aca="false">$E$23*MAX(0,BB187-AY187*$E$18)</f>
        <v>0</v>
      </c>
      <c r="BE187" s="180" t="n">
        <f aca="false">IF(AND($E$27=1,OR(MONTH($B187)=5,MONTH($B187)=11)),MAX(0,$E$28*MAX(0,(AY187+BB187-BC187-BD187+AZ187-BA187)+BH186-BG187)-BH186),0)</f>
        <v>0</v>
      </c>
      <c r="BF187" s="181" t="n">
        <f aca="false">AY187+BB187-BC187-BD187+AZ187-BA187-BE187</f>
        <v>437882.166813661</v>
      </c>
      <c r="BG187" s="180" t="n">
        <f aca="false">BG186+AZ187-BA187</f>
        <v>150000</v>
      </c>
      <c r="BH187" s="180" t="n">
        <f aca="false">BH186+BE187</f>
        <v>0</v>
      </c>
      <c r="BI187" s="180" t="n">
        <f aca="false">BF187+BH187-BG187</f>
        <v>287882.166813661</v>
      </c>
      <c r="BJ187" s="180" t="n">
        <f aca="false">MAX(0,IFERROR(INDEX(TAB_IR,MATCH($C187,TAB_IR_DIAS,1),MATCH($E$8,TAB_IR_REGIMES,0)),0)*IF($E$26=2,BF187,MAX(0,BI187))-BH187)</f>
        <v>28788.2166813661</v>
      </c>
      <c r="BK187" s="181" t="n">
        <f aca="false">MAX(0,BF187-BJ187-BF187*$E$25)</f>
        <v>409093.950132295</v>
      </c>
      <c r="BL187" s="180" t="n">
        <f aca="false">BK187/$D187</f>
        <v>271002.310989448</v>
      </c>
      <c r="BN187" s="180" t="n">
        <f aca="false">BU186</f>
        <v>434174.858261495</v>
      </c>
      <c r="BO187" s="180" t="n">
        <f aca="false">IF($F$9=0,0,IF($A187&gt;IN_PRAZO,0,IF(APORTE_CORRIGIDO="Sim",IN_APORTE*$D187,IN_APORTE))+IF(AND($F$35=1,PGBL_REINVESTE="Sim",$A187&gt;=13,$A187&lt;=IN_PRAZO,MONTH($B187)=5),PGBL_BENEFICIO,0))</f>
        <v>0</v>
      </c>
      <c r="BP187" s="180" t="n">
        <f aca="false">BO187*$F$24</f>
        <v>0</v>
      </c>
      <c r="BQ187" s="180" t="n">
        <f aca="false">BN187*$F$19</f>
        <v>4250.02712499373</v>
      </c>
      <c r="BR187" s="180" t="n">
        <f aca="false">BN187*$F$22</f>
        <v>542.718572826868</v>
      </c>
      <c r="BS187" s="180" t="n">
        <f aca="false">$F$23*MAX(0,BQ187-BN187*$F$18)</f>
        <v>0</v>
      </c>
      <c r="BT187" s="180" t="n">
        <f aca="false">IF(AND($F$27=1,OR(MONTH($B187)=5,MONTH($B187)=11)),MAX(0,$F$28*MAX(0,(BN187+BQ187-BR187-BS187+BO187-BP187)+BW186-BV187)-BW186),0)</f>
        <v>0</v>
      </c>
      <c r="BU187" s="181" t="n">
        <f aca="false">BN187+BQ187-BR187-BS187+BO187-BP187-BT187</f>
        <v>437882.166813661</v>
      </c>
      <c r="BV187" s="180" t="n">
        <f aca="false">BV186+BO187-BP187</f>
        <v>150000</v>
      </c>
      <c r="BW187" s="180" t="n">
        <f aca="false">BW186+BT187</f>
        <v>0</v>
      </c>
      <c r="BX187" s="180" t="n">
        <f aca="false">BU187+BW187-BV187</f>
        <v>287882.166813661</v>
      </c>
      <c r="BY187" s="180" t="n">
        <f aca="false">MAX(0,IFERROR(INDEX(TAB_IR,MATCH($C187,TAB_IR_DIAS,1),MATCH($F$8,TAB_IR_REGIMES,0)),0)*IF($F$26=2,BU187,MAX(0,BX187))-BW187)</f>
        <v>43788.2166813661</v>
      </c>
      <c r="BZ187" s="181" t="n">
        <f aca="false">MAX(0,BU187-BY187-BU187*$F$25)</f>
        <v>394093.950132295</v>
      </c>
      <c r="CA187" s="180" t="n">
        <f aca="false">BZ187/$D187</f>
        <v>261065.633452351</v>
      </c>
      <c r="CC187" s="180" t="n">
        <f aca="false">CJ186</f>
        <v>327209.910174189</v>
      </c>
      <c r="CD187" s="180" t="n">
        <f aca="false">IF($G$9=0,0,IF($A187&gt;IN_PRAZO,0,IF(APORTE_CORRIGIDO="Sim",IN_APORTE*$D187,IN_APORTE))+IF(AND($G$35=1,PGBL_REINVESTE="Sim",$A187&gt;=13,$A187&lt;=IN_PRAZO,MONTH($B187)=5),PGBL_BENEFICIO,0))</f>
        <v>0</v>
      </c>
      <c r="CE187" s="180" t="n">
        <f aca="false">CD187*$G$24</f>
        <v>0</v>
      </c>
      <c r="CF187" s="180" t="n">
        <f aca="false">CC187*$G$19</f>
        <v>2669.12500397383</v>
      </c>
      <c r="CG187" s="180" t="n">
        <f aca="false">CC187*$G$22</f>
        <v>272.674925145157</v>
      </c>
      <c r="CH187" s="180" t="n">
        <f aca="false">$G$23*MAX(0,CF187-CC187*$G$18)</f>
        <v>0</v>
      </c>
      <c r="CI187" s="180" t="n">
        <f aca="false">IF(AND($G$27=1,OR(MONTH($B187)=5,MONTH($B187)=11)),MAX(0,$G$28*MAX(0,(CC187+CF187-CG187-CH187+CD187-CE187)+CL186-CK187)-CL186),0)</f>
        <v>0</v>
      </c>
      <c r="CJ187" s="181" t="n">
        <f aca="false">CC187+CF187-CG187-CH187+CD187-CE187-CI187</f>
        <v>329606.360253017</v>
      </c>
      <c r="CK187" s="180" t="n">
        <f aca="false">CK186+CD187-CE187</f>
        <v>150000</v>
      </c>
      <c r="CL187" s="180" t="n">
        <f aca="false">CL186+CI187</f>
        <v>30435.7331526446</v>
      </c>
      <c r="CM187" s="180" t="n">
        <f aca="false">CJ187+CL187-CK187</f>
        <v>210042.093405662</v>
      </c>
      <c r="CN187" s="180" t="n">
        <f aca="false">MAX(0,IFERROR(INDEX(TAB_IR,MATCH($C187,TAB_IR_DIAS,1),MATCH($G$8,TAB_IR_REGIMES,0)),0)*IF($G$26=2,CJ187,MAX(0,CM187))-CL187)</f>
        <v>1070.58085820468</v>
      </c>
      <c r="CO187" s="181" t="n">
        <f aca="false">MAX(0,CJ187-CN187-CJ187*$G$25)</f>
        <v>328535.779394813</v>
      </c>
      <c r="CP187" s="180" t="n">
        <f aca="false">CO187/$D187</f>
        <v>217636.939949665</v>
      </c>
    </row>
    <row r="188" customFormat="false" ht="12" hidden="false" customHeight="true" outlineLevel="0" collapsed="false">
      <c r="A188" s="177" t="n">
        <v>127</v>
      </c>
      <c r="B188" s="178" t="n">
        <f aca="false">EDATE(DATA_INICIO,$A188)</f>
        <v>50122</v>
      </c>
      <c r="C188" s="177" t="n">
        <f aca="false">$A188*30</f>
        <v>3810</v>
      </c>
      <c r="D188" s="179" t="n">
        <f aca="false">(1+IPCA_CENARIO)^($A188/12)</f>
        <v>1.51450080175693</v>
      </c>
      <c r="F188" s="180" t="n">
        <f aca="false">M187</f>
        <v>482886.754784411</v>
      </c>
      <c r="G188" s="180" t="n">
        <f aca="false">IF($B$9=0,0,IF($A188&gt;IN_PRAZO,0,IF(APORTE_CORRIGIDO="Sim",IN_APORTE*$D188,IN_APORTE))+IF(AND($B$35=1,PGBL_REINVESTE="Sim",$A188&gt;=13,$A188&lt;=IN_PRAZO,MONTH($B188)=5),PGBL_BENEFICIO,0))</f>
        <v>0</v>
      </c>
      <c r="H188" s="180" t="n">
        <f aca="false">G188*$B$24</f>
        <v>0</v>
      </c>
      <c r="I188" s="180" t="n">
        <f aca="false">F188*$B$19</f>
        <v>4582.01242700205</v>
      </c>
      <c r="J188" s="180" t="n">
        <f aca="false">F188*$B$22</f>
        <v>80.4811257974018</v>
      </c>
      <c r="K188" s="180" t="n">
        <f aca="false">$B$23*MAX(0,I188-F188*$B$18)</f>
        <v>0</v>
      </c>
      <c r="L188" s="180" t="n">
        <f aca="false">IF(AND($B$27=1,OR(MONTH($B188)=5,MONTH($B188)=11)),MAX(0,$B$28*MAX(0,(F188+I188-J188-K188+G188-H188)+O187-N188)-O187),0)</f>
        <v>0</v>
      </c>
      <c r="M188" s="181" t="n">
        <f aca="false">F188+I188-J188-K188+G188-H188-L188</f>
        <v>487388.286085615</v>
      </c>
      <c r="N188" s="180" t="n">
        <f aca="false">N187+G188-H188</f>
        <v>150000</v>
      </c>
      <c r="O188" s="180" t="n">
        <f aca="false">O187+L188</f>
        <v>0</v>
      </c>
      <c r="P188" s="180" t="n">
        <f aca="false">M188+O188-N188</f>
        <v>337388.286085615</v>
      </c>
      <c r="Q188" s="180" t="n">
        <f aca="false">MAX(0,IFERROR(INDEX(TAB_IR,MATCH($C188,TAB_IR_DIAS,1),MATCH($B$8,TAB_IR_REGIMES,0)),0)*IF($B$26=2,M188,MAX(0,P188))-O188)</f>
        <v>50608.2429128423</v>
      </c>
      <c r="R188" s="181" t="n">
        <f aca="false">MAX(0,M188-Q188-M188*$B$25)</f>
        <v>436780.043172773</v>
      </c>
      <c r="S188" s="180" t="n">
        <f aca="false">R188/$D188</f>
        <v>288398.687320651</v>
      </c>
      <c r="U188" s="180" t="n">
        <f aca="false">AB187</f>
        <v>408889.321243841</v>
      </c>
      <c r="V188" s="180" t="n">
        <f aca="false">IF($C$9=0,0,IF($A188&gt;IN_PRAZO,0,IF(APORTE_CORRIGIDO="Sim",IN_APORTE*$D188,IN_APORTE))+IF(AND($C$35=1,PGBL_REINVESTE="Sim",$A188&gt;=13,$A188&lt;=IN_PRAZO,MONTH($B188)=5),PGBL_BENEFICIO,0))</f>
        <v>0</v>
      </c>
      <c r="W188" s="180" t="n">
        <f aca="false">V188*$C$24</f>
        <v>0</v>
      </c>
      <c r="X188" s="180" t="n">
        <f aca="false">U188*$C$19</f>
        <v>3335.40237399544</v>
      </c>
      <c r="Y188" s="180" t="n">
        <f aca="false">U188*$C$22</f>
        <v>68.1482202073068</v>
      </c>
      <c r="Z188" s="180" t="n">
        <f aca="false">$C$23*MAX(0,X188-U188*$C$18)</f>
        <v>0</v>
      </c>
      <c r="AA188" s="180" t="n">
        <f aca="false">IF(AND($C$27=1,OR(MONTH($B188)=5,MONTH($B188)=11)),MAX(0,$C$28*MAX(0,(U188+X188-Y188-Z188+V188-W188)+AD187-AC188)-AD187),0)</f>
        <v>0</v>
      </c>
      <c r="AB188" s="181" t="n">
        <f aca="false">U188+X188-Y188-Z188+V188-W188-AA188</f>
        <v>412156.575397629</v>
      </c>
      <c r="AC188" s="180" t="n">
        <f aca="false">AC187+V188-W188</f>
        <v>150000</v>
      </c>
      <c r="AD188" s="180" t="n">
        <f aca="false">AD187+AA188</f>
        <v>0</v>
      </c>
      <c r="AE188" s="180" t="n">
        <f aca="false">AB188+AD188-AC188</f>
        <v>262156.575397629</v>
      </c>
      <c r="AF188" s="180" t="n">
        <f aca="false">MAX(0,IFERROR(INDEX(TAB_IR,MATCH($C188,TAB_IR_DIAS,1),MATCH($C$8,TAB_IR_REGIMES,0)),0)*IF($C$26=2,AB188,MAX(0,AE188))-AD188)</f>
        <v>39323.4863096444</v>
      </c>
      <c r="AG188" s="181" t="n">
        <f aca="false">MAX(0,AB188-AF188-AB188*$C$25)</f>
        <v>372833.089087985</v>
      </c>
      <c r="AH188" s="180" t="n">
        <f aca="false">AG188/$D188</f>
        <v>246175.564024443</v>
      </c>
      <c r="AJ188" s="180" t="n">
        <f aca="false">AQ187</f>
        <v>360401.561170541</v>
      </c>
      <c r="AK188" s="180" t="n">
        <f aca="false">IF($D$9=0,0,IF($A188&gt;IN_PRAZO,0,IF(APORTE_CORRIGIDO="Sim",IN_APORTE*$D188,IN_APORTE))+IF(AND($D$35=1,PGBL_REINVESTE="Sim",$A188&gt;=13,$A188&lt;=IN_PRAZO,MONTH($B188)=5),PGBL_BENEFICIO,0))</f>
        <v>0</v>
      </c>
      <c r="AL188" s="180" t="n">
        <f aca="false">AK188*$D$24</f>
        <v>0</v>
      </c>
      <c r="AM188" s="180" t="n">
        <f aca="false">AJ188*$D$19</f>
        <v>3239.54044954545</v>
      </c>
      <c r="AN188" s="180" t="n">
        <f aca="false">AJ188*$D$22</f>
        <v>300.334634308785</v>
      </c>
      <c r="AO188" s="180" t="n">
        <f aca="false">$D$23*MAX(0,AM188-AJ188*$D$18)</f>
        <v>0</v>
      </c>
      <c r="AP188" s="180" t="n">
        <f aca="false">IF(AND($D$27=1,OR(MONTH($B188)=5,MONTH($B188)=11)),MAX(0,$D$28*MAX(0,(AJ188+AM188-AN188-AO188+AK188-AL188)+AS187-AR188)-AS187),0)</f>
        <v>0</v>
      </c>
      <c r="AQ188" s="181" t="n">
        <f aca="false">AJ188+AM188-AN188-AO188+AK188-AL188-AP188</f>
        <v>363340.766985778</v>
      </c>
      <c r="AR188" s="180" t="n">
        <f aca="false">AR187+AK188-AL188</f>
        <v>150000</v>
      </c>
      <c r="AS188" s="180" t="n">
        <f aca="false">AS187+AP188</f>
        <v>35598.6766339244</v>
      </c>
      <c r="AT188" s="180" t="n">
        <f aca="false">AQ188+AS188-AR188</f>
        <v>248939.443619703</v>
      </c>
      <c r="AU188" s="180" t="n">
        <f aca="false">MAX(0,IFERROR(INDEX(TAB_IR,MATCH($C188,TAB_IR_DIAS,1),MATCH($D$8,TAB_IR_REGIMES,0)),0)*IF($D$26=2,AQ188,MAX(0,AT188))-AS188)</f>
        <v>1742.23990903093</v>
      </c>
      <c r="AV188" s="181" t="n">
        <f aca="false">MAX(0,AQ188-AU188-AQ188*$D$25)</f>
        <v>361598.527076747</v>
      </c>
      <c r="AW188" s="180" t="n">
        <f aca="false">AV188/$D188</f>
        <v>238757.567283732</v>
      </c>
      <c r="AY188" s="180" t="n">
        <f aca="false">BF187</f>
        <v>437882.166813661</v>
      </c>
      <c r="AZ188" s="180" t="n">
        <f aca="false">IF($E$9=0,0,IF($A188&gt;IN_PRAZO,0,IF(APORTE_CORRIGIDO="Sim",IN_APORTE*$D188,IN_APORTE))+IF(AND($E$35=1,PGBL_REINVESTE="Sim",$A188&gt;=13,$A188&lt;=IN_PRAZO,MONTH($B188)=5),PGBL_BENEFICIO,0))</f>
        <v>0</v>
      </c>
      <c r="BA188" s="180" t="n">
        <f aca="false">AZ188*$E$24</f>
        <v>0</v>
      </c>
      <c r="BB188" s="180" t="n">
        <f aca="false">AY188*$E$19</f>
        <v>4286.31702434562</v>
      </c>
      <c r="BC188" s="180" t="n">
        <f aca="false">AY188*$E$22</f>
        <v>547.352708517077</v>
      </c>
      <c r="BD188" s="180" t="n">
        <f aca="false">$E$23*MAX(0,BB188-AY188*$E$18)</f>
        <v>0</v>
      </c>
      <c r="BE188" s="180" t="n">
        <f aca="false">IF(AND($E$27=1,OR(MONTH($B188)=5,MONTH($B188)=11)),MAX(0,$E$28*MAX(0,(AY188+BB188-BC188-BD188+AZ188-BA188)+BH187-BG188)-BH187),0)</f>
        <v>0</v>
      </c>
      <c r="BF188" s="181" t="n">
        <f aca="false">AY188+BB188-BC188-BD188+AZ188-BA188-BE188</f>
        <v>441621.13112949</v>
      </c>
      <c r="BG188" s="180" t="n">
        <f aca="false">BG187+AZ188-BA188</f>
        <v>150000</v>
      </c>
      <c r="BH188" s="180" t="n">
        <f aca="false">BH187+BE188</f>
        <v>0</v>
      </c>
      <c r="BI188" s="180" t="n">
        <f aca="false">BF188+BH188-BG188</f>
        <v>291621.13112949</v>
      </c>
      <c r="BJ188" s="180" t="n">
        <f aca="false">MAX(0,IFERROR(INDEX(TAB_IR,MATCH($C188,TAB_IR_DIAS,1),MATCH($E$8,TAB_IR_REGIMES,0)),0)*IF($E$26=2,BF188,MAX(0,BI188))-BH188)</f>
        <v>29162.113112949</v>
      </c>
      <c r="BK188" s="181" t="n">
        <f aca="false">MAX(0,BF188-BJ188-BF188*$E$25)</f>
        <v>412459.018016541</v>
      </c>
      <c r="BL188" s="180" t="n">
        <f aca="false">BK188/$D188</f>
        <v>272339.913942639</v>
      </c>
      <c r="BN188" s="180" t="n">
        <f aca="false">BU187</f>
        <v>437882.166813661</v>
      </c>
      <c r="BO188" s="180" t="n">
        <f aca="false">IF($F$9=0,0,IF($A188&gt;IN_PRAZO,0,IF(APORTE_CORRIGIDO="Sim",IN_APORTE*$D188,IN_APORTE))+IF(AND($F$35=1,PGBL_REINVESTE="Sim",$A188&gt;=13,$A188&lt;=IN_PRAZO,MONTH($B188)=5),PGBL_BENEFICIO,0))</f>
        <v>0</v>
      </c>
      <c r="BP188" s="180" t="n">
        <f aca="false">BO188*$F$24</f>
        <v>0</v>
      </c>
      <c r="BQ188" s="180" t="n">
        <f aca="false">BN188*$F$19</f>
        <v>4286.31702434562</v>
      </c>
      <c r="BR188" s="180" t="n">
        <f aca="false">BN188*$F$22</f>
        <v>547.352708517077</v>
      </c>
      <c r="BS188" s="180" t="n">
        <f aca="false">$F$23*MAX(0,BQ188-BN188*$F$18)</f>
        <v>0</v>
      </c>
      <c r="BT188" s="180" t="n">
        <f aca="false">IF(AND($F$27=1,OR(MONTH($B188)=5,MONTH($B188)=11)),MAX(0,$F$28*MAX(0,(BN188+BQ188-BR188-BS188+BO188-BP188)+BW187-BV188)-BW187),0)</f>
        <v>0</v>
      </c>
      <c r="BU188" s="181" t="n">
        <f aca="false">BN188+BQ188-BR188-BS188+BO188-BP188-BT188</f>
        <v>441621.13112949</v>
      </c>
      <c r="BV188" s="180" t="n">
        <f aca="false">BV187+BO188-BP188</f>
        <v>150000</v>
      </c>
      <c r="BW188" s="180" t="n">
        <f aca="false">BW187+BT188</f>
        <v>0</v>
      </c>
      <c r="BX188" s="180" t="n">
        <f aca="false">BU188+BW188-BV188</f>
        <v>291621.13112949</v>
      </c>
      <c r="BY188" s="180" t="n">
        <f aca="false">MAX(0,IFERROR(INDEX(TAB_IR,MATCH($C188,TAB_IR_DIAS,1),MATCH($F$8,TAB_IR_REGIMES,0)),0)*IF($F$26=2,BU188,MAX(0,BX188))-BW188)</f>
        <v>44162.113112949</v>
      </c>
      <c r="BZ188" s="181" t="n">
        <f aca="false">MAX(0,BU188-BY188-BU188*$F$25)</f>
        <v>397459.018016541</v>
      </c>
      <c r="CA188" s="180" t="n">
        <f aca="false">BZ188/$D188</f>
        <v>262435.660354527</v>
      </c>
      <c r="CC188" s="180" t="n">
        <f aca="false">CJ187</f>
        <v>329606.360253017</v>
      </c>
      <c r="CD188" s="180" t="n">
        <f aca="false">IF($G$9=0,0,IF($A188&gt;IN_PRAZO,0,IF(APORTE_CORRIGIDO="Sim",IN_APORTE*$D188,IN_APORTE))+IF(AND($G$35=1,PGBL_REINVESTE="Sim",$A188&gt;=13,$A188&lt;=IN_PRAZO,MONTH($B188)=5),PGBL_BENEFICIO,0))</f>
        <v>0</v>
      </c>
      <c r="CE188" s="180" t="n">
        <f aca="false">CD188*$G$24</f>
        <v>0</v>
      </c>
      <c r="CF188" s="180" t="n">
        <f aca="false">CC188*$G$19</f>
        <v>2688.67338752606</v>
      </c>
      <c r="CG188" s="180" t="n">
        <f aca="false">CC188*$G$22</f>
        <v>274.671966877515</v>
      </c>
      <c r="CH188" s="180" t="n">
        <f aca="false">$G$23*MAX(0,CF188-CC188*$G$18)</f>
        <v>0</v>
      </c>
      <c r="CI188" s="180" t="n">
        <f aca="false">IF(AND($G$27=1,OR(MONTH($B188)=5,MONTH($B188)=11)),MAX(0,$G$28*MAX(0,(CC188+CF188-CG188-CH188+CD188-CE188)+CL187-CK188)-CL187),0)</f>
        <v>0</v>
      </c>
      <c r="CJ188" s="181" t="n">
        <f aca="false">CC188+CF188-CG188-CH188+CD188-CE188-CI188</f>
        <v>332020.361673666</v>
      </c>
      <c r="CK188" s="180" t="n">
        <f aca="false">CK187+CD188-CE188</f>
        <v>150000</v>
      </c>
      <c r="CL188" s="180" t="n">
        <f aca="false">CL187+CI188</f>
        <v>30435.7331526446</v>
      </c>
      <c r="CM188" s="180" t="n">
        <f aca="false">CJ188+CL188-CK188</f>
        <v>212456.094826311</v>
      </c>
      <c r="CN188" s="180" t="n">
        <f aca="false">MAX(0,IFERROR(INDEX(TAB_IR,MATCH($C188,TAB_IR_DIAS,1),MATCH($G$8,TAB_IR_REGIMES,0)),0)*IF($G$26=2,CJ188,MAX(0,CM188))-CL188)</f>
        <v>1432.68107130196</v>
      </c>
      <c r="CO188" s="181" t="n">
        <f aca="false">MAX(0,CJ188-CN188-CJ188*$G$25)</f>
        <v>330587.680602364</v>
      </c>
      <c r="CP188" s="180" t="n">
        <f aca="false">CO188/$D188</f>
        <v>218281.614786112</v>
      </c>
    </row>
    <row r="189" customFormat="false" ht="12" hidden="false" customHeight="true" outlineLevel="0" collapsed="false">
      <c r="A189" s="177" t="n">
        <v>128</v>
      </c>
      <c r="B189" s="178" t="n">
        <f aca="false">EDATE(DATA_INICIO,$A189)</f>
        <v>50153</v>
      </c>
      <c r="C189" s="177" t="n">
        <f aca="false">$A189*30</f>
        <v>3840</v>
      </c>
      <c r="D189" s="179" t="n">
        <f aca="false">(1+IPCA_CENARIO)^($A189/12)</f>
        <v>1.51945888328182</v>
      </c>
      <c r="F189" s="180" t="n">
        <f aca="false">M188</f>
        <v>487388.286085615</v>
      </c>
      <c r="G189" s="180" t="n">
        <f aca="false">IF($B$9=0,0,IF($A189&gt;IN_PRAZO,0,IF(APORTE_CORRIGIDO="Sim",IN_APORTE*$D189,IN_APORTE))+IF(AND($B$35=1,PGBL_REINVESTE="Sim",$A189&gt;=13,$A189&lt;=IN_PRAZO,MONTH($B189)=5),PGBL_BENEFICIO,0))</f>
        <v>0</v>
      </c>
      <c r="H189" s="180" t="n">
        <f aca="false">G189*$B$24</f>
        <v>0</v>
      </c>
      <c r="I189" s="180" t="n">
        <f aca="false">F189*$B$19</f>
        <v>4624.72652540773</v>
      </c>
      <c r="J189" s="180" t="n">
        <f aca="false">F189*$B$22</f>
        <v>81.2313810142693</v>
      </c>
      <c r="K189" s="180" t="n">
        <f aca="false">$B$23*MAX(0,I189-F189*$B$18)</f>
        <v>0</v>
      </c>
      <c r="L189" s="180" t="n">
        <f aca="false">IF(AND($B$27=1,OR(MONTH($B189)=5,MONTH($B189)=11)),MAX(0,$B$28*MAX(0,(F189+I189-J189-K189+G189-H189)+O188-N189)-O188),0)</f>
        <v>0</v>
      </c>
      <c r="M189" s="181" t="n">
        <f aca="false">F189+I189-J189-K189+G189-H189-L189</f>
        <v>491931.781230009</v>
      </c>
      <c r="N189" s="180" t="n">
        <f aca="false">N188+G189-H189</f>
        <v>150000</v>
      </c>
      <c r="O189" s="180" t="n">
        <f aca="false">O188+L189</f>
        <v>0</v>
      </c>
      <c r="P189" s="180" t="n">
        <f aca="false">M189+O189-N189</f>
        <v>341931.781230009</v>
      </c>
      <c r="Q189" s="180" t="n">
        <f aca="false">MAX(0,IFERROR(INDEX(TAB_IR,MATCH($C189,TAB_IR_DIAS,1),MATCH($B$8,TAB_IR_REGIMES,0)),0)*IF($B$26=2,M189,MAX(0,P189))-O189)</f>
        <v>51289.7671845013</v>
      </c>
      <c r="R189" s="181" t="n">
        <f aca="false">MAX(0,M189-Q189-M189*$B$25)</f>
        <v>440642.014045508</v>
      </c>
      <c r="S189" s="180" t="n">
        <f aca="false">R189/$D189</f>
        <v>289999.300997065</v>
      </c>
      <c r="U189" s="180" t="n">
        <f aca="false">AB188</f>
        <v>412156.575397629</v>
      </c>
      <c r="V189" s="180" t="n">
        <f aca="false">IF($C$9=0,0,IF($A189&gt;IN_PRAZO,0,IF(APORTE_CORRIGIDO="Sim",IN_APORTE*$D189,IN_APORTE))+IF(AND($C$35=1,PGBL_REINVESTE="Sim",$A189&gt;=13,$A189&lt;=IN_PRAZO,MONTH($B189)=5),PGBL_BENEFICIO,0))</f>
        <v>0</v>
      </c>
      <c r="W189" s="180" t="n">
        <f aca="false">V189*$C$24</f>
        <v>0</v>
      </c>
      <c r="X189" s="180" t="n">
        <f aca="false">U189*$C$19</f>
        <v>3362.05410270247</v>
      </c>
      <c r="Y189" s="180" t="n">
        <f aca="false">U189*$C$22</f>
        <v>68.6927625662715</v>
      </c>
      <c r="Z189" s="180" t="n">
        <f aca="false">$C$23*MAX(0,X189-U189*$C$18)</f>
        <v>0</v>
      </c>
      <c r="AA189" s="180" t="n">
        <f aca="false">IF(AND($C$27=1,OR(MONTH($B189)=5,MONTH($B189)=11)),MAX(0,$C$28*MAX(0,(U189+X189-Y189-Z189+V189-W189)+AD188-AC189)-AD188),0)</f>
        <v>0</v>
      </c>
      <c r="AB189" s="181" t="n">
        <f aca="false">U189+X189-Y189-Z189+V189-W189-AA189</f>
        <v>415449.936737765</v>
      </c>
      <c r="AC189" s="180" t="n">
        <f aca="false">AC188+V189-W189</f>
        <v>150000</v>
      </c>
      <c r="AD189" s="180" t="n">
        <f aca="false">AD188+AA189</f>
        <v>0</v>
      </c>
      <c r="AE189" s="180" t="n">
        <f aca="false">AB189+AD189-AC189</f>
        <v>265449.936737765</v>
      </c>
      <c r="AF189" s="180" t="n">
        <f aca="false">MAX(0,IFERROR(INDEX(TAB_IR,MATCH($C189,TAB_IR_DIAS,1),MATCH($C$8,TAB_IR_REGIMES,0)),0)*IF($C$26=2,AB189,MAX(0,AE189))-AD189)</f>
        <v>39817.4905106648</v>
      </c>
      <c r="AG189" s="181" t="n">
        <f aca="false">MAX(0,AB189-AF189-AB189*$C$25)</f>
        <v>375632.446227101</v>
      </c>
      <c r="AH189" s="180" t="n">
        <f aca="false">AG189/$D189</f>
        <v>247214.61722991</v>
      </c>
      <c r="AJ189" s="180" t="n">
        <f aca="false">AQ188</f>
        <v>363340.766985778</v>
      </c>
      <c r="AK189" s="180" t="n">
        <f aca="false">IF($D$9=0,0,IF($A189&gt;IN_PRAZO,0,IF(APORTE_CORRIGIDO="Sim",IN_APORTE*$D189,IN_APORTE))+IF(AND($D$35=1,PGBL_REINVESTE="Sim",$A189&gt;=13,$A189&lt;=IN_PRAZO,MONTH($B189)=5),PGBL_BENEFICIO,0))</f>
        <v>0</v>
      </c>
      <c r="AL189" s="180" t="n">
        <f aca="false">AK189*$D$24</f>
        <v>0</v>
      </c>
      <c r="AM189" s="180" t="n">
        <f aca="false">AJ189*$D$19</f>
        <v>3265.96008018487</v>
      </c>
      <c r="AN189" s="180" t="n">
        <f aca="false">AJ189*$D$22</f>
        <v>302.783972488148</v>
      </c>
      <c r="AO189" s="180" t="n">
        <f aca="false">$D$23*MAX(0,AM189-AJ189*$D$18)</f>
        <v>0</v>
      </c>
      <c r="AP189" s="180" t="n">
        <f aca="false">IF(AND($D$27=1,OR(MONTH($B189)=5,MONTH($B189)=11)),MAX(0,$D$28*MAX(0,(AJ189+AM189-AN189-AO189+AK189-AL189)+AS188-AR189)-AS188),0)</f>
        <v>0</v>
      </c>
      <c r="AQ189" s="181" t="n">
        <f aca="false">AJ189+AM189-AN189-AO189+AK189-AL189-AP189</f>
        <v>366303.943093475</v>
      </c>
      <c r="AR189" s="180" t="n">
        <f aca="false">AR188+AK189-AL189</f>
        <v>150000</v>
      </c>
      <c r="AS189" s="180" t="n">
        <f aca="false">AS188+AP189</f>
        <v>35598.6766339244</v>
      </c>
      <c r="AT189" s="180" t="n">
        <f aca="false">AQ189+AS189-AR189</f>
        <v>251902.619727399</v>
      </c>
      <c r="AU189" s="180" t="n">
        <f aca="false">MAX(0,IFERROR(INDEX(TAB_IR,MATCH($C189,TAB_IR_DIAS,1),MATCH($D$8,TAB_IR_REGIMES,0)),0)*IF($D$26=2,AQ189,MAX(0,AT189))-AS189)</f>
        <v>2186.71632518544</v>
      </c>
      <c r="AV189" s="181" t="n">
        <f aca="false">MAX(0,AQ189-AU189-AQ189*$D$25)</f>
        <v>364117.226768289</v>
      </c>
      <c r="AW189" s="180" t="n">
        <f aca="false">AV189/$D189</f>
        <v>239636.117024666</v>
      </c>
      <c r="AY189" s="180" t="n">
        <f aca="false">BF188</f>
        <v>441621.13112949</v>
      </c>
      <c r="AZ189" s="180" t="n">
        <f aca="false">IF($E$9=0,0,IF($A189&gt;IN_PRAZO,0,IF(APORTE_CORRIGIDO="Sim",IN_APORTE*$D189,IN_APORTE))+IF(AND($E$35=1,PGBL_REINVESTE="Sim",$A189&gt;=13,$A189&lt;=IN_PRAZO,MONTH($B189)=5),PGBL_BENEFICIO,0))</f>
        <v>0</v>
      </c>
      <c r="BA189" s="180" t="n">
        <f aca="false">AZ189*$E$24</f>
        <v>0</v>
      </c>
      <c r="BB189" s="180" t="n">
        <f aca="false">AY189*$E$19</f>
        <v>4322.91679390686</v>
      </c>
      <c r="BC189" s="180" t="n">
        <f aca="false">AY189*$E$22</f>
        <v>552.026413911863</v>
      </c>
      <c r="BD189" s="180" t="n">
        <f aca="false">$E$23*MAX(0,BB189-AY189*$E$18)</f>
        <v>0</v>
      </c>
      <c r="BE189" s="180" t="n">
        <f aca="false">IF(AND($E$27=1,OR(MONTH($B189)=5,MONTH($B189)=11)),MAX(0,$E$28*MAX(0,(AY189+BB189-BC189-BD189+AZ189-BA189)+BH188-BG189)-BH188),0)</f>
        <v>0</v>
      </c>
      <c r="BF189" s="181" t="n">
        <f aca="false">AY189+BB189-BC189-BD189+AZ189-BA189-BE189</f>
        <v>445392.021509485</v>
      </c>
      <c r="BG189" s="180" t="n">
        <f aca="false">BG188+AZ189-BA189</f>
        <v>150000</v>
      </c>
      <c r="BH189" s="180" t="n">
        <f aca="false">BH188+BE189</f>
        <v>0</v>
      </c>
      <c r="BI189" s="180" t="n">
        <f aca="false">BF189+BH189-BG189</f>
        <v>295392.021509485</v>
      </c>
      <c r="BJ189" s="180" t="n">
        <f aca="false">MAX(0,IFERROR(INDEX(TAB_IR,MATCH($C189,TAB_IR_DIAS,1),MATCH($E$8,TAB_IR_REGIMES,0)),0)*IF($E$26=2,BF189,MAX(0,BI189))-BH189)</f>
        <v>29539.2021509485</v>
      </c>
      <c r="BK189" s="181" t="n">
        <f aca="false">MAX(0,BF189-BJ189-BF189*$E$25)</f>
        <v>415852.819358537</v>
      </c>
      <c r="BL189" s="180" t="n">
        <f aca="false">BK189/$D189</f>
        <v>273684.812359222</v>
      </c>
      <c r="BN189" s="180" t="n">
        <f aca="false">BU188</f>
        <v>441621.13112949</v>
      </c>
      <c r="BO189" s="180" t="n">
        <f aca="false">IF($F$9=0,0,IF($A189&gt;IN_PRAZO,0,IF(APORTE_CORRIGIDO="Sim",IN_APORTE*$D189,IN_APORTE))+IF(AND($F$35=1,PGBL_REINVESTE="Sim",$A189&gt;=13,$A189&lt;=IN_PRAZO,MONTH($B189)=5),PGBL_BENEFICIO,0))</f>
        <v>0</v>
      </c>
      <c r="BP189" s="180" t="n">
        <f aca="false">BO189*$F$24</f>
        <v>0</v>
      </c>
      <c r="BQ189" s="180" t="n">
        <f aca="false">BN189*$F$19</f>
        <v>4322.91679390686</v>
      </c>
      <c r="BR189" s="180" t="n">
        <f aca="false">BN189*$F$22</f>
        <v>552.026413911863</v>
      </c>
      <c r="BS189" s="180" t="n">
        <f aca="false">$F$23*MAX(0,BQ189-BN189*$F$18)</f>
        <v>0</v>
      </c>
      <c r="BT189" s="180" t="n">
        <f aca="false">IF(AND($F$27=1,OR(MONTH($B189)=5,MONTH($B189)=11)),MAX(0,$F$28*MAX(0,(BN189+BQ189-BR189-BS189+BO189-BP189)+BW188-BV189)-BW188),0)</f>
        <v>0</v>
      </c>
      <c r="BU189" s="181" t="n">
        <f aca="false">BN189+BQ189-BR189-BS189+BO189-BP189-BT189</f>
        <v>445392.021509485</v>
      </c>
      <c r="BV189" s="180" t="n">
        <f aca="false">BV188+BO189-BP189</f>
        <v>150000</v>
      </c>
      <c r="BW189" s="180" t="n">
        <f aca="false">BW188+BT189</f>
        <v>0</v>
      </c>
      <c r="BX189" s="180" t="n">
        <f aca="false">BU189+BW189-BV189</f>
        <v>295392.021509485</v>
      </c>
      <c r="BY189" s="180" t="n">
        <f aca="false">MAX(0,IFERROR(INDEX(TAB_IR,MATCH($C189,TAB_IR_DIAS,1),MATCH($F$8,TAB_IR_REGIMES,0)),0)*IF($F$26=2,BU189,MAX(0,BX189))-BW189)</f>
        <v>44539.2021509485</v>
      </c>
      <c r="BZ189" s="181" t="n">
        <f aca="false">MAX(0,BU189-BY189-BU189*$F$25)</f>
        <v>400852.819358537</v>
      </c>
      <c r="CA189" s="180" t="n">
        <f aca="false">BZ189/$D189</f>
        <v>263812.876918888</v>
      </c>
      <c r="CC189" s="180" t="n">
        <f aca="false">CJ188</f>
        <v>332020.361673666</v>
      </c>
      <c r="CD189" s="180" t="n">
        <f aca="false">IF($G$9=0,0,IF($A189&gt;IN_PRAZO,0,IF(APORTE_CORRIGIDO="Sim",IN_APORTE*$D189,IN_APORTE))+IF(AND($G$35=1,PGBL_REINVESTE="Sim",$A189&gt;=13,$A189&lt;=IN_PRAZO,MONTH($B189)=5),PGBL_BENEFICIO,0))</f>
        <v>0</v>
      </c>
      <c r="CE189" s="180" t="n">
        <f aca="false">CD189*$G$24</f>
        <v>0</v>
      </c>
      <c r="CF189" s="180" t="n">
        <f aca="false">CC189*$G$19</f>
        <v>2708.36494133032</v>
      </c>
      <c r="CG189" s="180" t="n">
        <f aca="false">CC189*$G$22</f>
        <v>276.683634728055</v>
      </c>
      <c r="CH189" s="180" t="n">
        <f aca="false">$G$23*MAX(0,CF189-CC189*$G$18)</f>
        <v>0</v>
      </c>
      <c r="CI189" s="180" t="n">
        <f aca="false">IF(AND($G$27=1,OR(MONTH($B189)=5,MONTH($B189)=11)),MAX(0,$G$28*MAX(0,(CC189+CF189-CG189-CH189+CD189-CE189)+CL188-CK189)-CL188),0)</f>
        <v>0</v>
      </c>
      <c r="CJ189" s="181" t="n">
        <f aca="false">CC189+CF189-CG189-CH189+CD189-CE189-CI189</f>
        <v>334452.042980268</v>
      </c>
      <c r="CK189" s="180" t="n">
        <f aca="false">CK188+CD189-CE189</f>
        <v>150000</v>
      </c>
      <c r="CL189" s="180" t="n">
        <f aca="false">CL188+CI189</f>
        <v>30435.7331526446</v>
      </c>
      <c r="CM189" s="180" t="n">
        <f aca="false">CJ189+CL189-CK189</f>
        <v>214887.776132913</v>
      </c>
      <c r="CN189" s="180" t="n">
        <f aca="false">MAX(0,IFERROR(INDEX(TAB_IR,MATCH($C189,TAB_IR_DIAS,1),MATCH($G$8,TAB_IR_REGIMES,0)),0)*IF($G$26=2,CJ189,MAX(0,CM189))-CL189)</f>
        <v>1797.4332672923</v>
      </c>
      <c r="CO189" s="181" t="n">
        <f aca="false">MAX(0,CJ189-CN189-CJ189*$G$25)</f>
        <v>332654.609712976</v>
      </c>
      <c r="CP189" s="180" t="n">
        <f aca="false">CO189/$D189</f>
        <v>218929.655401065</v>
      </c>
    </row>
    <row r="190" customFormat="false" ht="12" hidden="false" customHeight="true" outlineLevel="0" collapsed="false">
      <c r="A190" s="177" t="n">
        <v>129</v>
      </c>
      <c r="B190" s="178" t="n">
        <f aca="false">EDATE(DATA_INICIO,$A190)</f>
        <v>50183</v>
      </c>
      <c r="C190" s="177" t="n">
        <f aca="false">$A190*30</f>
        <v>3870</v>
      </c>
      <c r="D190" s="179" t="n">
        <f aca="false">(1+IPCA_CENARIO)^($A190/12)</f>
        <v>1.52443319627543</v>
      </c>
      <c r="F190" s="180" t="n">
        <f aca="false">M189</f>
        <v>491931.781230009</v>
      </c>
      <c r="G190" s="180" t="n">
        <f aca="false">IF($B$9=0,0,IF($A190&gt;IN_PRAZO,0,IF(APORTE_CORRIGIDO="Sim",IN_APORTE*$D190,IN_APORTE))+IF(AND($B$35=1,PGBL_REINVESTE="Sim",$A190&gt;=13,$A190&lt;=IN_PRAZO,MONTH($B190)=5),PGBL_BENEFICIO,0))</f>
        <v>0</v>
      </c>
      <c r="H190" s="180" t="n">
        <f aca="false">G190*$B$24</f>
        <v>0</v>
      </c>
      <c r="I190" s="180" t="n">
        <f aca="false">F190*$B$19</f>
        <v>4667.83881003216</v>
      </c>
      <c r="J190" s="180" t="n">
        <f aca="false">F190*$B$22</f>
        <v>81.9886302050015</v>
      </c>
      <c r="K190" s="180" t="n">
        <f aca="false">$B$23*MAX(0,I190-F190*$B$18)</f>
        <v>0</v>
      </c>
      <c r="L190" s="180" t="n">
        <f aca="false">IF(AND($B$27=1,OR(MONTH($B190)=5,MONTH($B190)=11)),MAX(0,$B$28*MAX(0,(F190+I190-J190-K190+G190-H190)+O189-N190)-O189),0)</f>
        <v>0</v>
      </c>
      <c r="M190" s="181" t="n">
        <f aca="false">F190+I190-J190-K190+G190-H190-L190</f>
        <v>496517.631409836</v>
      </c>
      <c r="N190" s="180" t="n">
        <f aca="false">N189+G190-H190</f>
        <v>150000</v>
      </c>
      <c r="O190" s="180" t="n">
        <f aca="false">O189+L190</f>
        <v>0</v>
      </c>
      <c r="P190" s="180" t="n">
        <f aca="false">M190+O190-N190</f>
        <v>346517.631409836</v>
      </c>
      <c r="Q190" s="180" t="n">
        <f aca="false">MAX(0,IFERROR(INDEX(TAB_IR,MATCH($C190,TAB_IR_DIAS,1),MATCH($B$8,TAB_IR_REGIMES,0)),0)*IF($B$26=2,M190,MAX(0,P190))-O190)</f>
        <v>51977.6447114754</v>
      </c>
      <c r="R190" s="181" t="n">
        <f aca="false">MAX(0,M190-Q190-M190*$B$25)</f>
        <v>444539.986698361</v>
      </c>
      <c r="S190" s="180" t="n">
        <f aca="false">R190/$D190</f>
        <v>291610.014649695</v>
      </c>
      <c r="U190" s="180" t="n">
        <f aca="false">AB189</f>
        <v>415449.936737765</v>
      </c>
      <c r="V190" s="180" t="n">
        <f aca="false">IF($C$9=0,0,IF($A190&gt;IN_PRAZO,0,IF(APORTE_CORRIGIDO="Sim",IN_APORTE*$D190,IN_APORTE))+IF(AND($C$35=1,PGBL_REINVESTE="Sim",$A190&gt;=13,$A190&lt;=IN_PRAZO,MONTH($B190)=5),PGBL_BENEFICIO,0))</f>
        <v>0</v>
      </c>
      <c r="W190" s="180" t="n">
        <f aca="false">V190*$C$24</f>
        <v>0</v>
      </c>
      <c r="X190" s="180" t="n">
        <f aca="false">U190*$C$19</f>
        <v>3388.91879361418</v>
      </c>
      <c r="Y190" s="180" t="n">
        <f aca="false">U190*$C$22</f>
        <v>69.2416561229609</v>
      </c>
      <c r="Z190" s="180" t="n">
        <f aca="false">$C$23*MAX(0,X190-U190*$C$18)</f>
        <v>0</v>
      </c>
      <c r="AA190" s="180" t="n">
        <f aca="false">IF(AND($C$27=1,OR(MONTH($B190)=5,MONTH($B190)=11)),MAX(0,$C$28*MAX(0,(U190+X190-Y190-Z190+V190-W190)+AD189-AC190)-AD189),0)</f>
        <v>0</v>
      </c>
      <c r="AB190" s="181" t="n">
        <f aca="false">U190+X190-Y190-Z190+V190-W190-AA190</f>
        <v>418769.613875257</v>
      </c>
      <c r="AC190" s="180" t="n">
        <f aca="false">AC189+V190-W190</f>
        <v>150000</v>
      </c>
      <c r="AD190" s="180" t="n">
        <f aca="false">AD189+AA190</f>
        <v>0</v>
      </c>
      <c r="AE190" s="180" t="n">
        <f aca="false">AB190+AD190-AC190</f>
        <v>268769.613875257</v>
      </c>
      <c r="AF190" s="180" t="n">
        <f aca="false">MAX(0,IFERROR(INDEX(TAB_IR,MATCH($C190,TAB_IR_DIAS,1),MATCH($C$8,TAB_IR_REGIMES,0)),0)*IF($C$26=2,AB190,MAX(0,AE190))-AD190)</f>
        <v>40315.4420812885</v>
      </c>
      <c r="AG190" s="181" t="n">
        <f aca="false">MAX(0,AB190-AF190-AB190*$C$25)</f>
        <v>378454.171793968</v>
      </c>
      <c r="AH190" s="180" t="n">
        <f aca="false">AG190/$D190</f>
        <v>248258.941565052</v>
      </c>
      <c r="AJ190" s="180" t="n">
        <f aca="false">AQ189</f>
        <v>366303.943093475</v>
      </c>
      <c r="AK190" s="180" t="n">
        <f aca="false">IF($D$9=0,0,IF($A190&gt;IN_PRAZO,0,IF(APORTE_CORRIGIDO="Sim",IN_APORTE*$D190,IN_APORTE))+IF(AND($D$35=1,PGBL_REINVESTE="Sim",$A190&gt;=13,$A190&lt;=IN_PRAZO,MONTH($B190)=5),PGBL_BENEFICIO,0))</f>
        <v>0</v>
      </c>
      <c r="AL190" s="180" t="n">
        <f aca="false">AK190*$D$24</f>
        <v>0</v>
      </c>
      <c r="AM190" s="180" t="n">
        <f aca="false">AJ190*$D$19</f>
        <v>3292.59517252141</v>
      </c>
      <c r="AN190" s="180" t="n">
        <f aca="false">AJ190*$D$22</f>
        <v>305.253285911229</v>
      </c>
      <c r="AO190" s="180" t="n">
        <f aca="false">$D$23*MAX(0,AM190-AJ190*$D$18)</f>
        <v>0</v>
      </c>
      <c r="AP190" s="180" t="n">
        <f aca="false">IF(AND($D$27=1,OR(MONTH($B190)=5,MONTH($B190)=11)),MAX(0,$D$28*MAX(0,(AJ190+AM190-AN190-AO190+AK190-AL190)+AS189-AR190)-AS189),0)</f>
        <v>2634.81760817698</v>
      </c>
      <c r="AQ190" s="181" t="n">
        <f aca="false">AJ190+AM190-AN190-AO190+AK190-AL190-AP190</f>
        <v>366656.467371908</v>
      </c>
      <c r="AR190" s="180" t="n">
        <f aca="false">AR189+AK190-AL190</f>
        <v>150000</v>
      </c>
      <c r="AS190" s="180" t="n">
        <f aca="false">AS189+AP190</f>
        <v>38233.4942421014</v>
      </c>
      <c r="AT190" s="180" t="n">
        <f aca="false">AQ190+AS190-AR190</f>
        <v>254889.96161401</v>
      </c>
      <c r="AU190" s="180" t="n">
        <f aca="false">MAX(0,IFERROR(INDEX(TAB_IR,MATCH($C190,TAB_IR_DIAS,1),MATCH($D$8,TAB_IR_REGIMES,0)),0)*IF($D$26=2,AQ190,MAX(0,AT190))-AS190)</f>
        <v>0</v>
      </c>
      <c r="AV190" s="181" t="n">
        <f aca="false">MAX(0,AQ190-AU190-AQ190*$D$25)</f>
        <v>366656.467371908</v>
      </c>
      <c r="AW190" s="180" t="n">
        <f aca="false">AV190/$D190</f>
        <v>240519.865526243</v>
      </c>
      <c r="AY190" s="180" t="n">
        <f aca="false">BF189</f>
        <v>445392.021509485</v>
      </c>
      <c r="AZ190" s="180" t="n">
        <f aca="false">IF($E$9=0,0,IF($A190&gt;IN_PRAZO,0,IF(APORTE_CORRIGIDO="Sim",IN_APORTE*$D190,IN_APORTE))+IF(AND($E$35=1,PGBL_REINVESTE="Sim",$A190&gt;=13,$A190&lt;=IN_PRAZO,MONTH($B190)=5),PGBL_BENEFICIO,0))</f>
        <v>0</v>
      </c>
      <c r="BA190" s="180" t="n">
        <f aca="false">AZ190*$E$24</f>
        <v>0</v>
      </c>
      <c r="BB190" s="180" t="n">
        <f aca="false">AY190*$E$19</f>
        <v>4359.82907958026</v>
      </c>
      <c r="BC190" s="180" t="n">
        <f aca="false">AY190*$E$22</f>
        <v>556.740026886856</v>
      </c>
      <c r="BD190" s="180" t="n">
        <f aca="false">$E$23*MAX(0,BB190-AY190*$E$18)</f>
        <v>0</v>
      </c>
      <c r="BE190" s="180" t="n">
        <f aca="false">IF(AND($E$27=1,OR(MONTH($B190)=5,MONTH($B190)=11)),MAX(0,$E$28*MAX(0,(AY190+BB190-BC190-BD190+AZ190-BA190)+BH189-BG190)-BH189),0)</f>
        <v>0</v>
      </c>
      <c r="BF190" s="181" t="n">
        <f aca="false">AY190+BB190-BC190-BD190+AZ190-BA190-BE190</f>
        <v>449195.110562178</v>
      </c>
      <c r="BG190" s="180" t="n">
        <f aca="false">BG189+AZ190-BA190</f>
        <v>150000</v>
      </c>
      <c r="BH190" s="180" t="n">
        <f aca="false">BH189+BE190</f>
        <v>0</v>
      </c>
      <c r="BI190" s="180" t="n">
        <f aca="false">BF190+BH190-BG190</f>
        <v>299195.110562178</v>
      </c>
      <c r="BJ190" s="180" t="n">
        <f aca="false">MAX(0,IFERROR(INDEX(TAB_IR,MATCH($C190,TAB_IR_DIAS,1),MATCH($E$8,TAB_IR_REGIMES,0)),0)*IF($E$26=2,BF190,MAX(0,BI190))-BH190)</f>
        <v>29919.5110562178</v>
      </c>
      <c r="BK190" s="181" t="n">
        <f aca="false">MAX(0,BF190-BJ190-BF190*$E$25)</f>
        <v>419275.599505961</v>
      </c>
      <c r="BL190" s="180" t="n">
        <f aca="false">BK190/$D190</f>
        <v>275037.043624053</v>
      </c>
      <c r="BN190" s="180" t="n">
        <f aca="false">BU189</f>
        <v>445392.021509485</v>
      </c>
      <c r="BO190" s="180" t="n">
        <f aca="false">IF($F$9=0,0,IF($A190&gt;IN_PRAZO,0,IF(APORTE_CORRIGIDO="Sim",IN_APORTE*$D190,IN_APORTE))+IF(AND($F$35=1,PGBL_REINVESTE="Sim",$A190&gt;=13,$A190&lt;=IN_PRAZO,MONTH($B190)=5),PGBL_BENEFICIO,0))</f>
        <v>0</v>
      </c>
      <c r="BP190" s="180" t="n">
        <f aca="false">BO190*$F$24</f>
        <v>0</v>
      </c>
      <c r="BQ190" s="180" t="n">
        <f aca="false">BN190*$F$19</f>
        <v>4359.82907958026</v>
      </c>
      <c r="BR190" s="180" t="n">
        <f aca="false">BN190*$F$22</f>
        <v>556.740026886856</v>
      </c>
      <c r="BS190" s="180" t="n">
        <f aca="false">$F$23*MAX(0,BQ190-BN190*$F$18)</f>
        <v>0</v>
      </c>
      <c r="BT190" s="180" t="n">
        <f aca="false">IF(AND($F$27=1,OR(MONTH($B190)=5,MONTH($B190)=11)),MAX(0,$F$28*MAX(0,(BN190+BQ190-BR190-BS190+BO190-BP190)+BW189-BV190)-BW189),0)</f>
        <v>0</v>
      </c>
      <c r="BU190" s="181" t="n">
        <f aca="false">BN190+BQ190-BR190-BS190+BO190-BP190-BT190</f>
        <v>449195.110562178</v>
      </c>
      <c r="BV190" s="180" t="n">
        <f aca="false">BV189+BO190-BP190</f>
        <v>150000</v>
      </c>
      <c r="BW190" s="180" t="n">
        <f aca="false">BW189+BT190</f>
        <v>0</v>
      </c>
      <c r="BX190" s="180" t="n">
        <f aca="false">BU190+BW190-BV190</f>
        <v>299195.110562178</v>
      </c>
      <c r="BY190" s="180" t="n">
        <f aca="false">MAX(0,IFERROR(INDEX(TAB_IR,MATCH($C190,TAB_IR_DIAS,1),MATCH($F$8,TAB_IR_REGIMES,0)),0)*IF($F$26=2,BU190,MAX(0,BX190))-BW190)</f>
        <v>44919.5110562178</v>
      </c>
      <c r="BZ190" s="181" t="n">
        <f aca="false">MAX(0,BU190-BY190-BU190*$F$25)</f>
        <v>404275.599505961</v>
      </c>
      <c r="CA190" s="180" t="n">
        <f aca="false">BZ190/$D190</f>
        <v>265197.320875527</v>
      </c>
      <c r="CC190" s="180" t="n">
        <f aca="false">CJ189</f>
        <v>334452.042980268</v>
      </c>
      <c r="CD190" s="180" t="n">
        <f aca="false">IF($G$9=0,0,IF($A190&gt;IN_PRAZO,0,IF(APORTE_CORRIGIDO="Sim",IN_APORTE*$D190,IN_APORTE))+IF(AND($G$35=1,PGBL_REINVESTE="Sim",$A190&gt;=13,$A190&lt;=IN_PRAZO,MONTH($B190)=5),PGBL_BENEFICIO,0))</f>
        <v>0</v>
      </c>
      <c r="CE190" s="180" t="n">
        <f aca="false">CD190*$G$24</f>
        <v>0</v>
      </c>
      <c r="CF190" s="180" t="n">
        <f aca="false">CC190*$G$19</f>
        <v>2728.20071395008</v>
      </c>
      <c r="CG190" s="180" t="n">
        <f aca="false">CC190*$G$22</f>
        <v>278.71003581689</v>
      </c>
      <c r="CH190" s="180" t="n">
        <f aca="false">$G$23*MAX(0,CF190-CC190*$G$18)</f>
        <v>0</v>
      </c>
      <c r="CI190" s="180" t="n">
        <f aca="false">IF(AND($G$27=1,OR(MONTH($B190)=5,MONTH($B190)=11)),MAX(0,$G$28*MAX(0,(CC190+CF190-CG190-CH190+CD190-CE190)+CL189-CK190)-CL189),0)</f>
        <v>2164.85686901228</v>
      </c>
      <c r="CJ190" s="181" t="n">
        <f aca="false">CC190+CF190-CG190-CH190+CD190-CE190-CI190</f>
        <v>334736.676789389</v>
      </c>
      <c r="CK190" s="180" t="n">
        <f aca="false">CK189+CD190-CE190</f>
        <v>150000</v>
      </c>
      <c r="CL190" s="180" t="n">
        <f aca="false">CL189+CI190</f>
        <v>32600.5900216569</v>
      </c>
      <c r="CM190" s="180" t="n">
        <f aca="false">CJ190+CL190-CK190</f>
        <v>217337.266811046</v>
      </c>
      <c r="CN190" s="180" t="n">
        <f aca="false">MAX(0,IFERROR(INDEX(TAB_IR,MATCH($C190,TAB_IR_DIAS,1),MATCH($G$8,TAB_IR_REGIMES,0)),0)*IF($G$26=2,CJ190,MAX(0,CM190))-CL190)</f>
        <v>0</v>
      </c>
      <c r="CO190" s="181" t="n">
        <f aca="false">MAX(0,CJ190-CN190-CJ190*$G$25)</f>
        <v>334736.676789389</v>
      </c>
      <c r="CP190" s="180" t="n">
        <f aca="false">CO190/$D190</f>
        <v>219581.072891376</v>
      </c>
    </row>
    <row r="191" customFormat="false" ht="12" hidden="false" customHeight="true" outlineLevel="0" collapsed="false">
      <c r="A191" s="177" t="n">
        <v>130</v>
      </c>
      <c r="B191" s="178" t="n">
        <f aca="false">EDATE(DATA_INICIO,$A191)</f>
        <v>50214</v>
      </c>
      <c r="C191" s="177" t="n">
        <f aca="false">$A191*30</f>
        <v>3900</v>
      </c>
      <c r="D191" s="179" t="n">
        <f aca="false">(1+IPCA_CENARIO)^($A191/12)</f>
        <v>1.52942379387538</v>
      </c>
      <c r="F191" s="180" t="n">
        <f aca="false">M190</f>
        <v>496517.631409836</v>
      </c>
      <c r="G191" s="180" t="n">
        <f aca="false">IF($B$9=0,0,IF($A191&gt;IN_PRAZO,0,IF(APORTE_CORRIGIDO="Sim",IN_APORTE*$D191,IN_APORTE))+IF(AND($B$35=1,PGBL_REINVESTE="Sim",$A191&gt;=13,$A191&lt;=IN_PRAZO,MONTH($B191)=5),PGBL_BENEFICIO,0))</f>
        <v>0</v>
      </c>
      <c r="H191" s="180" t="n">
        <f aca="false">G191*$B$24</f>
        <v>0</v>
      </c>
      <c r="I191" s="180" t="n">
        <f aca="false">F191*$B$19</f>
        <v>4711.35299281756</v>
      </c>
      <c r="J191" s="180" t="n">
        <f aca="false">F191*$B$22</f>
        <v>82.752938568306</v>
      </c>
      <c r="K191" s="180" t="n">
        <f aca="false">$B$23*MAX(0,I191-F191*$B$18)</f>
        <v>0</v>
      </c>
      <c r="L191" s="180" t="n">
        <f aca="false">IF(AND($B$27=1,OR(MONTH($B191)=5,MONTH($B191)=11)),MAX(0,$B$28*MAX(0,(F191+I191-J191-K191+G191-H191)+O190-N191)-O190),0)</f>
        <v>0</v>
      </c>
      <c r="M191" s="181" t="n">
        <f aca="false">F191+I191-J191-K191+G191-H191-L191</f>
        <v>501146.231464085</v>
      </c>
      <c r="N191" s="180" t="n">
        <f aca="false">N190+G191-H191</f>
        <v>150000</v>
      </c>
      <c r="O191" s="180" t="n">
        <f aca="false">O190+L191</f>
        <v>0</v>
      </c>
      <c r="P191" s="180" t="n">
        <f aca="false">M191+O191-N191</f>
        <v>351146.231464085</v>
      </c>
      <c r="Q191" s="180" t="n">
        <f aca="false">MAX(0,IFERROR(INDEX(TAB_IR,MATCH($C191,TAB_IR_DIAS,1),MATCH($B$8,TAB_IR_REGIMES,0)),0)*IF($B$26=2,M191,MAX(0,P191))-O191)</f>
        <v>52671.9347196128</v>
      </c>
      <c r="R191" s="181" t="n">
        <f aca="false">MAX(0,M191-Q191-M191*$B$25)</f>
        <v>448474.296744473</v>
      </c>
      <c r="S191" s="180" t="n">
        <f aca="false">R191/$D191</f>
        <v>293230.887697968</v>
      </c>
      <c r="U191" s="180" t="n">
        <f aca="false">AB190</f>
        <v>418769.613875257</v>
      </c>
      <c r="V191" s="180" t="n">
        <f aca="false">IF($C$9=0,0,IF($A191&gt;IN_PRAZO,0,IF(APORTE_CORRIGIDO="Sim",IN_APORTE*$D191,IN_APORTE))+IF(AND($C$35=1,PGBL_REINVESTE="Sim",$A191&gt;=13,$A191&lt;=IN_PRAZO,MONTH($B191)=5),PGBL_BENEFICIO,0))</f>
        <v>0</v>
      </c>
      <c r="W191" s="180" t="n">
        <f aca="false">V191*$C$24</f>
        <v>0</v>
      </c>
      <c r="X191" s="180" t="n">
        <f aca="false">U191*$C$19</f>
        <v>3415.99814841759</v>
      </c>
      <c r="Y191" s="180" t="n">
        <f aca="false">U191*$C$22</f>
        <v>69.7949356458761</v>
      </c>
      <c r="Z191" s="180" t="n">
        <f aca="false">$C$23*MAX(0,X191-U191*$C$18)</f>
        <v>0</v>
      </c>
      <c r="AA191" s="180" t="n">
        <f aca="false">IF(AND($C$27=1,OR(MONTH($B191)=5,MONTH($B191)=11)),MAX(0,$C$28*MAX(0,(U191+X191-Y191-Z191+V191-W191)+AD190-AC191)-AD190),0)</f>
        <v>0</v>
      </c>
      <c r="AB191" s="181" t="n">
        <f aca="false">U191+X191-Y191-Z191+V191-W191-AA191</f>
        <v>422115.817088028</v>
      </c>
      <c r="AC191" s="180" t="n">
        <f aca="false">AC190+V191-W191</f>
        <v>150000</v>
      </c>
      <c r="AD191" s="180" t="n">
        <f aca="false">AD190+AA191</f>
        <v>0</v>
      </c>
      <c r="AE191" s="180" t="n">
        <f aca="false">AB191+AD191-AC191</f>
        <v>272115.817088028</v>
      </c>
      <c r="AF191" s="180" t="n">
        <f aca="false">MAX(0,IFERROR(INDEX(TAB_IR,MATCH($C191,TAB_IR_DIAS,1),MATCH($C$8,TAB_IR_REGIMES,0)),0)*IF($C$26=2,AB191,MAX(0,AE191))-AD191)</f>
        <v>40817.3725632042</v>
      </c>
      <c r="AG191" s="181" t="n">
        <f aca="false">MAX(0,AB191-AF191-AB191*$C$25)</f>
        <v>381298.444524824</v>
      </c>
      <c r="AH191" s="180" t="n">
        <f aca="false">AG191/$D191</f>
        <v>249308.560551852</v>
      </c>
      <c r="AJ191" s="180" t="n">
        <f aca="false">AQ190</f>
        <v>366656.467371908</v>
      </c>
      <c r="AK191" s="180" t="n">
        <f aca="false">IF($D$9=0,0,IF($A191&gt;IN_PRAZO,0,IF(APORTE_CORRIGIDO="Sim",IN_APORTE*$D191,IN_APORTE))+IF(AND($D$35=1,PGBL_REINVESTE="Sim",$A191&gt;=13,$A191&lt;=IN_PRAZO,MONTH($B191)=5),PGBL_BENEFICIO,0))</f>
        <v>0</v>
      </c>
      <c r="AL191" s="180" t="n">
        <f aca="false">AK191*$D$24</f>
        <v>0</v>
      </c>
      <c r="AM191" s="180" t="n">
        <f aca="false">AJ191*$D$19</f>
        <v>3295.76390646286</v>
      </c>
      <c r="AN191" s="180" t="n">
        <f aca="false">AJ191*$D$22</f>
        <v>305.547056143257</v>
      </c>
      <c r="AO191" s="180" t="n">
        <f aca="false">$D$23*MAX(0,AM191-AJ191*$D$18)</f>
        <v>0</v>
      </c>
      <c r="AP191" s="180" t="n">
        <f aca="false">IF(AND($D$27=1,OR(MONTH($B191)=5,MONTH($B191)=11)),MAX(0,$D$28*MAX(0,(AJ191+AM191-AN191-AO191+AK191-AL191)+AS190-AR191)-AS190),0)</f>
        <v>0</v>
      </c>
      <c r="AQ191" s="181" t="n">
        <f aca="false">AJ191+AM191-AN191-AO191+AK191-AL191-AP191</f>
        <v>369646.684222228</v>
      </c>
      <c r="AR191" s="180" t="n">
        <f aca="false">AR190+AK191-AL191</f>
        <v>150000</v>
      </c>
      <c r="AS191" s="180" t="n">
        <f aca="false">AS190+AP191</f>
        <v>38233.4942421014</v>
      </c>
      <c r="AT191" s="180" t="n">
        <f aca="false">AQ191+AS191-AR191</f>
        <v>257880.178464329</v>
      </c>
      <c r="AU191" s="180" t="n">
        <f aca="false">MAX(0,IFERROR(INDEX(TAB_IR,MATCH($C191,TAB_IR_DIAS,1),MATCH($D$8,TAB_IR_REGIMES,0)),0)*IF($D$26=2,AQ191,MAX(0,AT191))-AS191)</f>
        <v>448.532527547955</v>
      </c>
      <c r="AV191" s="181" t="n">
        <f aca="false">MAX(0,AQ191-AU191-AQ191*$D$25)</f>
        <v>369198.15169468</v>
      </c>
      <c r="AW191" s="180" t="n">
        <f aca="false">AV191/$D191</f>
        <v>241396.892851506</v>
      </c>
      <c r="AY191" s="180" t="n">
        <f aca="false">BF190</f>
        <v>449195.110562178</v>
      </c>
      <c r="AZ191" s="180" t="n">
        <f aca="false">IF($E$9=0,0,IF($A191&gt;IN_PRAZO,0,IF(APORTE_CORRIGIDO="Sim",IN_APORTE*$D191,IN_APORTE))+IF(AND($E$35=1,PGBL_REINVESTE="Sim",$A191&gt;=13,$A191&lt;=IN_PRAZO,MONTH($B191)=5),PGBL_BENEFICIO,0))</f>
        <v>0</v>
      </c>
      <c r="BA191" s="180" t="n">
        <f aca="false">AZ191*$E$24</f>
        <v>0</v>
      </c>
      <c r="BB191" s="180" t="n">
        <f aca="false">AY191*$E$19</f>
        <v>4397.05654986133</v>
      </c>
      <c r="BC191" s="180" t="n">
        <f aca="false">AY191*$E$22</f>
        <v>561.493888202723</v>
      </c>
      <c r="BD191" s="180" t="n">
        <f aca="false">$E$23*MAX(0,BB191-AY191*$E$18)</f>
        <v>0</v>
      </c>
      <c r="BE191" s="180" t="n">
        <f aca="false">IF(AND($E$27=1,OR(MONTH($B191)=5,MONTH($B191)=11)),MAX(0,$E$28*MAX(0,(AY191+BB191-BC191-BD191+AZ191-BA191)+BH190-BG191)-BH190),0)</f>
        <v>0</v>
      </c>
      <c r="BF191" s="181" t="n">
        <f aca="false">AY191+BB191-BC191-BD191+AZ191-BA191-BE191</f>
        <v>453030.673223837</v>
      </c>
      <c r="BG191" s="180" t="n">
        <f aca="false">BG190+AZ191-BA191</f>
        <v>150000</v>
      </c>
      <c r="BH191" s="180" t="n">
        <f aca="false">BH190+BE191</f>
        <v>0</v>
      </c>
      <c r="BI191" s="180" t="n">
        <f aca="false">BF191+BH191-BG191</f>
        <v>303030.673223837</v>
      </c>
      <c r="BJ191" s="180" t="n">
        <f aca="false">MAX(0,IFERROR(INDEX(TAB_IR,MATCH($C191,TAB_IR_DIAS,1),MATCH($E$8,TAB_IR_REGIMES,0)),0)*IF($E$26=2,BF191,MAX(0,BI191))-BH191)</f>
        <v>30303.0673223837</v>
      </c>
      <c r="BK191" s="181" t="n">
        <f aca="false">MAX(0,BF191-BJ191-BF191*$E$25)</f>
        <v>422727.605901453</v>
      </c>
      <c r="BL191" s="180" t="n">
        <f aca="false">BK191/$D191</f>
        <v>276396.645321118</v>
      </c>
      <c r="BN191" s="180" t="n">
        <f aca="false">BU190</f>
        <v>449195.110562178</v>
      </c>
      <c r="BO191" s="180" t="n">
        <f aca="false">IF($F$9=0,0,IF($A191&gt;IN_PRAZO,0,IF(APORTE_CORRIGIDO="Sim",IN_APORTE*$D191,IN_APORTE))+IF(AND($F$35=1,PGBL_REINVESTE="Sim",$A191&gt;=13,$A191&lt;=IN_PRAZO,MONTH($B191)=5),PGBL_BENEFICIO,0))</f>
        <v>0</v>
      </c>
      <c r="BP191" s="180" t="n">
        <f aca="false">BO191*$F$24</f>
        <v>0</v>
      </c>
      <c r="BQ191" s="180" t="n">
        <f aca="false">BN191*$F$19</f>
        <v>4397.05654986133</v>
      </c>
      <c r="BR191" s="180" t="n">
        <f aca="false">BN191*$F$22</f>
        <v>561.493888202723</v>
      </c>
      <c r="BS191" s="180" t="n">
        <f aca="false">$F$23*MAX(0,BQ191-BN191*$F$18)</f>
        <v>0</v>
      </c>
      <c r="BT191" s="180" t="n">
        <f aca="false">IF(AND($F$27=1,OR(MONTH($B191)=5,MONTH($B191)=11)),MAX(0,$F$28*MAX(0,(BN191+BQ191-BR191-BS191+BO191-BP191)+BW190-BV191)-BW190),0)</f>
        <v>0</v>
      </c>
      <c r="BU191" s="181" t="n">
        <f aca="false">BN191+BQ191-BR191-BS191+BO191-BP191-BT191</f>
        <v>453030.673223837</v>
      </c>
      <c r="BV191" s="180" t="n">
        <f aca="false">BV190+BO191-BP191</f>
        <v>150000</v>
      </c>
      <c r="BW191" s="180" t="n">
        <f aca="false">BW190+BT191</f>
        <v>0</v>
      </c>
      <c r="BX191" s="180" t="n">
        <f aca="false">BU191+BW191-BV191</f>
        <v>303030.673223837</v>
      </c>
      <c r="BY191" s="180" t="n">
        <f aca="false">MAX(0,IFERROR(INDEX(TAB_IR,MATCH($C191,TAB_IR_DIAS,1),MATCH($F$8,TAB_IR_REGIMES,0)),0)*IF($F$26=2,BU191,MAX(0,BX191))-BW191)</f>
        <v>45303.0673223837</v>
      </c>
      <c r="BZ191" s="181" t="n">
        <f aca="false">MAX(0,BU191-BY191-BU191*$F$25)</f>
        <v>407727.605901453</v>
      </c>
      <c r="CA191" s="180" t="n">
        <f aca="false">BZ191/$D191</f>
        <v>266589.030152538</v>
      </c>
      <c r="CC191" s="180" t="n">
        <f aca="false">CJ190</f>
        <v>334736.676789389</v>
      </c>
      <c r="CD191" s="180" t="n">
        <f aca="false">IF($G$9=0,0,IF($A191&gt;IN_PRAZO,0,IF(APORTE_CORRIGIDO="Sim",IN_APORTE*$D191,IN_APORTE))+IF(AND($G$35=1,PGBL_REINVESTE="Sim",$A191&gt;=13,$A191&lt;=IN_PRAZO,MONTH($B191)=5),PGBL_BENEFICIO,0))</f>
        <v>0</v>
      </c>
      <c r="CE191" s="180" t="n">
        <f aca="false">CD191*$G$24</f>
        <v>0</v>
      </c>
      <c r="CF191" s="180" t="n">
        <f aca="false">CC191*$G$19</f>
        <v>2730.52253609935</v>
      </c>
      <c r="CG191" s="180" t="n">
        <f aca="false">CC191*$G$22</f>
        <v>278.947230657824</v>
      </c>
      <c r="CH191" s="180" t="n">
        <f aca="false">$G$23*MAX(0,CF191-CC191*$G$18)</f>
        <v>0</v>
      </c>
      <c r="CI191" s="180" t="n">
        <f aca="false">IF(AND($G$27=1,OR(MONTH($B191)=5,MONTH($B191)=11)),MAX(0,$G$28*MAX(0,(CC191+CF191-CG191-CH191+CD191-CE191)+CL190-CK191)-CL190),0)</f>
        <v>0</v>
      </c>
      <c r="CJ191" s="181" t="n">
        <f aca="false">CC191+CF191-CG191-CH191+CD191-CE191-CI191</f>
        <v>337188.252094831</v>
      </c>
      <c r="CK191" s="180" t="n">
        <f aca="false">CK190+CD191-CE191</f>
        <v>150000</v>
      </c>
      <c r="CL191" s="180" t="n">
        <f aca="false">CL190+CI191</f>
        <v>32600.5900216569</v>
      </c>
      <c r="CM191" s="180" t="n">
        <f aca="false">CJ191+CL191-CK191</f>
        <v>219788.842116488</v>
      </c>
      <c r="CN191" s="180" t="n">
        <f aca="false">MAX(0,IFERROR(INDEX(TAB_IR,MATCH($C191,TAB_IR_DIAS,1),MATCH($G$8,TAB_IR_REGIMES,0)),0)*IF($G$26=2,CJ191,MAX(0,CM191))-CL191)</f>
        <v>367.736295816234</v>
      </c>
      <c r="CO191" s="181" t="n">
        <f aca="false">MAX(0,CJ191-CN191-CJ191*$G$25)</f>
        <v>336820.515799014</v>
      </c>
      <c r="CP191" s="180" t="n">
        <f aca="false">CO191/$D191</f>
        <v>220227.066655966</v>
      </c>
    </row>
    <row r="192" customFormat="false" ht="12" hidden="false" customHeight="true" outlineLevel="0" collapsed="false">
      <c r="A192" s="177" t="n">
        <v>131</v>
      </c>
      <c r="B192" s="178" t="n">
        <f aca="false">EDATE(DATA_INICIO,$A192)</f>
        <v>50244</v>
      </c>
      <c r="C192" s="177" t="n">
        <f aca="false">$A192*30</f>
        <v>3930</v>
      </c>
      <c r="D192" s="179" t="n">
        <f aca="false">(1+IPCA_CENARIO)^($A192/12)</f>
        <v>1.53443072939324</v>
      </c>
      <c r="F192" s="180" t="n">
        <f aca="false">M191</f>
        <v>501146.231464085</v>
      </c>
      <c r="G192" s="180" t="n">
        <f aca="false">IF($B$9=0,0,IF($A192&gt;IN_PRAZO,0,IF(APORTE_CORRIGIDO="Sim",IN_APORTE*$D192,IN_APORTE))+IF(AND($B$35=1,PGBL_REINVESTE="Sim",$A192&gt;=13,$A192&lt;=IN_PRAZO,MONTH($B192)=5),PGBL_BENEFICIO,0))</f>
        <v>0</v>
      </c>
      <c r="H192" s="180" t="n">
        <f aca="false">G192*$B$24</f>
        <v>0</v>
      </c>
      <c r="I192" s="180" t="n">
        <f aca="false">F192*$B$19</f>
        <v>4755.27282030933</v>
      </c>
      <c r="J192" s="180" t="n">
        <f aca="false">F192*$B$22</f>
        <v>83.5243719106809</v>
      </c>
      <c r="K192" s="180" t="n">
        <f aca="false">$B$23*MAX(0,I192-F192*$B$18)</f>
        <v>0</v>
      </c>
      <c r="L192" s="180" t="n">
        <f aca="false">IF(AND($B$27=1,OR(MONTH($B192)=5,MONTH($B192)=11)),MAX(0,$B$28*MAX(0,(F192+I192-J192-K192+G192-H192)+O191-N192)-O191),0)</f>
        <v>0</v>
      </c>
      <c r="M192" s="181" t="n">
        <f aca="false">F192+I192-J192-K192+G192-H192-L192</f>
        <v>505817.979912484</v>
      </c>
      <c r="N192" s="180" t="n">
        <f aca="false">N191+G192-H192</f>
        <v>150000</v>
      </c>
      <c r="O192" s="180" t="n">
        <f aca="false">O191+L192</f>
        <v>0</v>
      </c>
      <c r="P192" s="180" t="n">
        <f aca="false">M192+O192-N192</f>
        <v>355817.979912484</v>
      </c>
      <c r="Q192" s="180" t="n">
        <f aca="false">MAX(0,IFERROR(INDEX(TAB_IR,MATCH($C192,TAB_IR_DIAS,1),MATCH($B$8,TAB_IR_REGIMES,0)),0)*IF($B$26=2,M192,MAX(0,P192))-O192)</f>
        <v>53372.6969868726</v>
      </c>
      <c r="R192" s="181" t="n">
        <f aca="false">MAX(0,M192-Q192-M192*$B$25)</f>
        <v>452445.282925612</v>
      </c>
      <c r="S192" s="180" t="n">
        <f aca="false">R192/$D192</f>
        <v>294861.979924322</v>
      </c>
      <c r="U192" s="180" t="n">
        <f aca="false">AB191</f>
        <v>422115.817088028</v>
      </c>
      <c r="V192" s="180" t="n">
        <f aca="false">IF($C$9=0,0,IF($A192&gt;IN_PRAZO,0,IF(APORTE_CORRIGIDO="Sim",IN_APORTE*$D192,IN_APORTE))+IF(AND($C$35=1,PGBL_REINVESTE="Sim",$A192&gt;=13,$A192&lt;=IN_PRAZO,MONTH($B192)=5),PGBL_BENEFICIO,0))</f>
        <v>0</v>
      </c>
      <c r="W192" s="180" t="n">
        <f aca="false">V192*$C$24</f>
        <v>0</v>
      </c>
      <c r="X192" s="180" t="n">
        <f aca="false">U192*$C$19</f>
        <v>3443.29388239713</v>
      </c>
      <c r="Y192" s="180" t="n">
        <f aca="false">U192*$C$22</f>
        <v>70.352636181338</v>
      </c>
      <c r="Z192" s="180" t="n">
        <f aca="false">$C$23*MAX(0,X192-U192*$C$18)</f>
        <v>0</v>
      </c>
      <c r="AA192" s="180" t="n">
        <f aca="false">IF(AND($C$27=1,OR(MONTH($B192)=5,MONTH($B192)=11)),MAX(0,$C$28*MAX(0,(U192+X192-Y192-Z192+V192-W192)+AD191-AC192)-AD191),0)</f>
        <v>0</v>
      </c>
      <c r="AB192" s="181" t="n">
        <f aca="false">U192+X192-Y192-Z192+V192-W192-AA192</f>
        <v>425488.758334244</v>
      </c>
      <c r="AC192" s="180" t="n">
        <f aca="false">AC191+V192-W192</f>
        <v>150000</v>
      </c>
      <c r="AD192" s="180" t="n">
        <f aca="false">AD191+AA192</f>
        <v>0</v>
      </c>
      <c r="AE192" s="180" t="n">
        <f aca="false">AB192+AD192-AC192</f>
        <v>275488.758334244</v>
      </c>
      <c r="AF192" s="180" t="n">
        <f aca="false">MAX(0,IFERROR(INDEX(TAB_IR,MATCH($C192,TAB_IR_DIAS,1),MATCH($C$8,TAB_IR_REGIMES,0)),0)*IF($C$26=2,AB192,MAX(0,AE192))-AD192)</f>
        <v>41323.3137501366</v>
      </c>
      <c r="AG192" s="181" t="n">
        <f aca="false">MAX(0,AB192-AF192-AB192*$C$25)</f>
        <v>384165.444584108</v>
      </c>
      <c r="AH192" s="180" t="n">
        <f aca="false">AG192/$D192</f>
        <v>250363.497826988</v>
      </c>
      <c r="AJ192" s="180" t="n">
        <f aca="false">AQ191</f>
        <v>369646.684222228</v>
      </c>
      <c r="AK192" s="180" t="n">
        <f aca="false">IF($D$9=0,0,IF($A192&gt;IN_PRAZO,0,IF(APORTE_CORRIGIDO="Sim",IN_APORTE*$D192,IN_APORTE))+IF(AND($D$35=1,PGBL_REINVESTE="Sim",$A192&gt;=13,$A192&lt;=IN_PRAZO,MONTH($B192)=5),PGBL_BENEFICIO,0))</f>
        <v>0</v>
      </c>
      <c r="AL192" s="180" t="n">
        <f aca="false">AK192*$D$24</f>
        <v>0</v>
      </c>
      <c r="AM192" s="180" t="n">
        <f aca="false">AJ192*$D$19</f>
        <v>3322.64205984283</v>
      </c>
      <c r="AN192" s="180" t="n">
        <f aca="false">AJ192*$D$22</f>
        <v>308.038903518523</v>
      </c>
      <c r="AO192" s="180" t="n">
        <f aca="false">$D$23*MAX(0,AM192-AJ192*$D$18)</f>
        <v>0</v>
      </c>
      <c r="AP192" s="180" t="n">
        <f aca="false">IF(AND($D$27=1,OR(MONTH($B192)=5,MONTH($B192)=11)),MAX(0,$D$28*MAX(0,(AJ192+AM192-AN192-AO192+AK192-AL192)+AS191-AR192)-AS191),0)</f>
        <v>0</v>
      </c>
      <c r="AQ192" s="181" t="n">
        <f aca="false">AJ192+AM192-AN192-AO192+AK192-AL192-AP192</f>
        <v>372661.287378552</v>
      </c>
      <c r="AR192" s="180" t="n">
        <f aca="false">AR191+AK192-AL192</f>
        <v>150000</v>
      </c>
      <c r="AS192" s="180" t="n">
        <f aca="false">AS191+AP192</f>
        <v>38233.4942421014</v>
      </c>
      <c r="AT192" s="180" t="n">
        <f aca="false">AQ192+AS192-AR192</f>
        <v>260894.781620653</v>
      </c>
      <c r="AU192" s="180" t="n">
        <f aca="false">MAX(0,IFERROR(INDEX(TAB_IR,MATCH($C192,TAB_IR_DIAS,1),MATCH($D$8,TAB_IR_REGIMES,0)),0)*IF($D$26=2,AQ192,MAX(0,AT192))-AS192)</f>
        <v>900.723000996601</v>
      </c>
      <c r="AV192" s="181" t="n">
        <f aca="false">MAX(0,AQ192-AU192-AQ192*$D$25)</f>
        <v>371760.564377555</v>
      </c>
      <c r="AW192" s="180" t="n">
        <f aca="false">AV192/$D192</f>
        <v>242279.144477615</v>
      </c>
      <c r="AY192" s="180" t="n">
        <f aca="false">BF191</f>
        <v>453030.673223837</v>
      </c>
      <c r="AZ192" s="180" t="n">
        <f aca="false">IF($E$9=0,0,IF($A192&gt;IN_PRAZO,0,IF(APORTE_CORRIGIDO="Sim",IN_APORTE*$D192,IN_APORTE))+IF(AND($E$35=1,PGBL_REINVESTE="Sim",$A192&gt;=13,$A192&lt;=IN_PRAZO,MONTH($B192)=5),PGBL_BENEFICIO,0))</f>
        <v>0</v>
      </c>
      <c r="BA192" s="180" t="n">
        <f aca="false">AZ192*$E$24</f>
        <v>0</v>
      </c>
      <c r="BB192" s="180" t="n">
        <f aca="false">AY192*$E$19</f>
        <v>4434.60189603115</v>
      </c>
      <c r="BC192" s="180" t="n">
        <f aca="false">AY192*$E$22</f>
        <v>566.288341529796</v>
      </c>
      <c r="BD192" s="180" t="n">
        <f aca="false">$E$23*MAX(0,BB192-AY192*$E$18)</f>
        <v>0</v>
      </c>
      <c r="BE192" s="180" t="n">
        <f aca="false">IF(AND($E$27=1,OR(MONTH($B192)=5,MONTH($B192)=11)),MAX(0,$E$28*MAX(0,(AY192+BB192-BC192-BD192+AZ192-BA192)+BH191-BG192)-BH191),0)</f>
        <v>0</v>
      </c>
      <c r="BF192" s="181" t="n">
        <f aca="false">AY192+BB192-BC192-BD192+AZ192-BA192-BE192</f>
        <v>456898.986778338</v>
      </c>
      <c r="BG192" s="180" t="n">
        <f aca="false">BG191+AZ192-BA192</f>
        <v>150000</v>
      </c>
      <c r="BH192" s="180" t="n">
        <f aca="false">BH191+BE192</f>
        <v>0</v>
      </c>
      <c r="BI192" s="180" t="n">
        <f aca="false">BF192+BH192-BG192</f>
        <v>306898.986778338</v>
      </c>
      <c r="BJ192" s="180" t="n">
        <f aca="false">MAX(0,IFERROR(INDEX(TAB_IR,MATCH($C192,TAB_IR_DIAS,1),MATCH($E$8,TAB_IR_REGIMES,0)),0)*IF($E$26=2,BF192,MAX(0,BI192))-BH192)</f>
        <v>30689.8986778338</v>
      </c>
      <c r="BK192" s="181" t="n">
        <f aca="false">MAX(0,BF192-BJ192-BF192*$E$25)</f>
        <v>426209.088100505</v>
      </c>
      <c r="BL192" s="180" t="n">
        <f aca="false">BK192/$D192</f>
        <v>277763.655234565</v>
      </c>
      <c r="BN192" s="180" t="n">
        <f aca="false">BU191</f>
        <v>453030.673223837</v>
      </c>
      <c r="BO192" s="180" t="n">
        <f aca="false">IF($F$9=0,0,IF($A192&gt;IN_PRAZO,0,IF(APORTE_CORRIGIDO="Sim",IN_APORTE*$D192,IN_APORTE))+IF(AND($F$35=1,PGBL_REINVESTE="Sim",$A192&gt;=13,$A192&lt;=IN_PRAZO,MONTH($B192)=5),PGBL_BENEFICIO,0))</f>
        <v>0</v>
      </c>
      <c r="BP192" s="180" t="n">
        <f aca="false">BO192*$F$24</f>
        <v>0</v>
      </c>
      <c r="BQ192" s="180" t="n">
        <f aca="false">BN192*$F$19</f>
        <v>4434.60189603115</v>
      </c>
      <c r="BR192" s="180" t="n">
        <f aca="false">BN192*$F$22</f>
        <v>566.288341529796</v>
      </c>
      <c r="BS192" s="180" t="n">
        <f aca="false">$F$23*MAX(0,BQ192-BN192*$F$18)</f>
        <v>0</v>
      </c>
      <c r="BT192" s="180" t="n">
        <f aca="false">IF(AND($F$27=1,OR(MONTH($B192)=5,MONTH($B192)=11)),MAX(0,$F$28*MAX(0,(BN192+BQ192-BR192-BS192+BO192-BP192)+BW191-BV192)-BW191),0)</f>
        <v>0</v>
      </c>
      <c r="BU192" s="181" t="n">
        <f aca="false">BN192+BQ192-BR192-BS192+BO192-BP192-BT192</f>
        <v>456898.986778338</v>
      </c>
      <c r="BV192" s="180" t="n">
        <f aca="false">BV191+BO192-BP192</f>
        <v>150000</v>
      </c>
      <c r="BW192" s="180" t="n">
        <f aca="false">BW191+BT192</f>
        <v>0</v>
      </c>
      <c r="BX192" s="180" t="n">
        <f aca="false">BU192+BW192-BV192</f>
        <v>306898.986778338</v>
      </c>
      <c r="BY192" s="180" t="n">
        <f aca="false">MAX(0,IFERROR(INDEX(TAB_IR,MATCH($C192,TAB_IR_DIAS,1),MATCH($F$8,TAB_IR_REGIMES,0)),0)*IF($F$26=2,BU192,MAX(0,BX192))-BW192)</f>
        <v>45689.8986778338</v>
      </c>
      <c r="BZ192" s="181" t="n">
        <f aca="false">MAX(0,BU192-BY192-BU192*$F$25)</f>
        <v>411209.088100505</v>
      </c>
      <c r="CA192" s="180" t="n">
        <f aca="false">BZ192/$D192</f>
        <v>267988.042877055</v>
      </c>
      <c r="CC192" s="180" t="n">
        <f aca="false">CJ191</f>
        <v>337188.252094831</v>
      </c>
      <c r="CD192" s="180" t="n">
        <f aca="false">IF($G$9=0,0,IF($A192&gt;IN_PRAZO,0,IF(APORTE_CORRIGIDO="Sim",IN_APORTE*$D192,IN_APORTE))+IF(AND($G$35=1,PGBL_REINVESTE="Sim",$A192&gt;=13,$A192&lt;=IN_PRAZO,MONTH($B192)=5),PGBL_BENEFICIO,0))</f>
        <v>0</v>
      </c>
      <c r="CE192" s="180" t="n">
        <f aca="false">CD192*$G$24</f>
        <v>0</v>
      </c>
      <c r="CF192" s="180" t="n">
        <f aca="false">CC192*$G$19</f>
        <v>2750.52058855257</v>
      </c>
      <c r="CG192" s="180" t="n">
        <f aca="false">CC192*$G$22</f>
        <v>280.990210079026</v>
      </c>
      <c r="CH192" s="180" t="n">
        <f aca="false">$G$23*MAX(0,CF192-CC192*$G$18)</f>
        <v>0</v>
      </c>
      <c r="CI192" s="180" t="n">
        <f aca="false">IF(AND($G$27=1,OR(MONTH($B192)=5,MONTH($B192)=11)),MAX(0,$G$28*MAX(0,(CC192+CF192-CG192-CH192+CD192-CE192)+CL191-CK192)-CL191),0)</f>
        <v>0</v>
      </c>
      <c r="CJ192" s="181" t="n">
        <f aca="false">CC192+CF192-CG192-CH192+CD192-CE192-CI192</f>
        <v>339657.782473304</v>
      </c>
      <c r="CK192" s="180" t="n">
        <f aca="false">CK191+CD192-CE192</f>
        <v>150000</v>
      </c>
      <c r="CL192" s="180" t="n">
        <f aca="false">CL191+CI192</f>
        <v>32600.5900216569</v>
      </c>
      <c r="CM192" s="180" t="n">
        <f aca="false">CJ192+CL192-CK192</f>
        <v>222258.372494961</v>
      </c>
      <c r="CN192" s="180" t="n">
        <f aca="false">MAX(0,IFERROR(INDEX(TAB_IR,MATCH($C192,TAB_IR_DIAS,1),MATCH($G$8,TAB_IR_REGIMES,0)),0)*IF($G$26=2,CJ192,MAX(0,CM192))-CL192)</f>
        <v>738.16585258727</v>
      </c>
      <c r="CO192" s="181" t="n">
        <f aca="false">MAX(0,CJ192-CN192-CJ192*$G$25)</f>
        <v>338919.616620717</v>
      </c>
      <c r="CP192" s="180" t="n">
        <f aca="false">CO192/$D192</f>
        <v>220876.452829342</v>
      </c>
    </row>
    <row r="193" customFormat="false" ht="12" hidden="false" customHeight="true" outlineLevel="0" collapsed="false">
      <c r="A193" s="177" t="n">
        <v>132</v>
      </c>
      <c r="B193" s="178" t="n">
        <f aca="false">EDATE(DATA_INICIO,$A193)</f>
        <v>50275</v>
      </c>
      <c r="C193" s="177" t="n">
        <f aca="false">$A193*30</f>
        <v>3960</v>
      </c>
      <c r="D193" s="179" t="n">
        <f aca="false">(1+IPCA_CENARIO)^($A193/12)</f>
        <v>1.53945405631508</v>
      </c>
      <c r="F193" s="180" t="n">
        <f aca="false">M192</f>
        <v>505817.979912484</v>
      </c>
      <c r="G193" s="180" t="n">
        <f aca="false">IF($B$9=0,0,IF($A193&gt;IN_PRAZO,0,IF(APORTE_CORRIGIDO="Sim",IN_APORTE*$D193,IN_APORTE))+IF(AND($B$35=1,PGBL_REINVESTE="Sim",$A193&gt;=13,$A193&lt;=IN_PRAZO,MONTH($B193)=5),PGBL_BENEFICIO,0))</f>
        <v>0</v>
      </c>
      <c r="H193" s="180" t="n">
        <f aca="false">G193*$B$24</f>
        <v>0</v>
      </c>
      <c r="I193" s="180" t="n">
        <f aca="false">F193*$B$19</f>
        <v>4799.60207397865</v>
      </c>
      <c r="J193" s="180" t="n">
        <f aca="false">F193*$B$22</f>
        <v>84.3029966520807</v>
      </c>
      <c r="K193" s="180" t="n">
        <f aca="false">$B$23*MAX(0,I193-F193*$B$18)</f>
        <v>0</v>
      </c>
      <c r="L193" s="180" t="n">
        <f aca="false">IF(AND($B$27=1,OR(MONTH($B193)=5,MONTH($B193)=11)),MAX(0,$B$28*MAX(0,(F193+I193-J193-K193+G193-H193)+O192-N193)-O192),0)</f>
        <v>0</v>
      </c>
      <c r="M193" s="181" t="n">
        <f aca="false">F193+I193-J193-K193+G193-H193-L193</f>
        <v>510533.278989811</v>
      </c>
      <c r="N193" s="180" t="n">
        <f aca="false">N192+G193-H193</f>
        <v>150000</v>
      </c>
      <c r="O193" s="180" t="n">
        <f aca="false">O192+L193</f>
        <v>0</v>
      </c>
      <c r="P193" s="180" t="n">
        <f aca="false">M193+O193-N193</f>
        <v>360533.278989811</v>
      </c>
      <c r="Q193" s="180" t="n">
        <f aca="false">MAX(0,IFERROR(INDEX(TAB_IR,MATCH($C193,TAB_IR_DIAS,1),MATCH($B$8,TAB_IR_REGIMES,0)),0)*IF($B$26=2,M193,MAX(0,P193))-O193)</f>
        <v>54079.9918484716</v>
      </c>
      <c r="R193" s="181" t="n">
        <f aca="false">MAX(0,M193-Q193-M193*$B$25)</f>
        <v>456453.287141339</v>
      </c>
      <c r="S193" s="180" t="n">
        <f aca="false">R193/$D193</f>
        <v>296503.351476387</v>
      </c>
      <c r="U193" s="180" t="n">
        <f aca="false">AB192</f>
        <v>425488.758334244</v>
      </c>
      <c r="V193" s="180" t="n">
        <f aca="false">IF($C$9=0,0,IF($A193&gt;IN_PRAZO,0,IF(APORTE_CORRIGIDO="Sim",IN_APORTE*$D193,IN_APORTE))+IF(AND($C$35=1,PGBL_REINVESTE="Sim",$A193&gt;=13,$A193&lt;=IN_PRAZO,MONTH($B193)=5),PGBL_BENEFICIO,0))</f>
        <v>0</v>
      </c>
      <c r="W193" s="180" t="n">
        <f aca="false">V193*$C$24</f>
        <v>0</v>
      </c>
      <c r="X193" s="180" t="n">
        <f aca="false">U193*$C$19</f>
        <v>3470.80772454335</v>
      </c>
      <c r="Y193" s="180" t="n">
        <f aca="false">U193*$C$22</f>
        <v>70.9147930557074</v>
      </c>
      <c r="Z193" s="180" t="n">
        <f aca="false">$C$23*MAX(0,X193-U193*$C$18)</f>
        <v>0</v>
      </c>
      <c r="AA193" s="180" t="n">
        <f aca="false">IF(AND($C$27=1,OR(MONTH($B193)=5,MONTH($B193)=11)),MAX(0,$C$28*MAX(0,(U193+X193-Y193-Z193+V193-W193)+AD192-AC193)-AD192),0)</f>
        <v>0</v>
      </c>
      <c r="AB193" s="181" t="n">
        <f aca="false">U193+X193-Y193-Z193+V193-W193-AA193</f>
        <v>428888.651265732</v>
      </c>
      <c r="AC193" s="180" t="n">
        <f aca="false">AC192+V193-W193</f>
        <v>150000</v>
      </c>
      <c r="AD193" s="180" t="n">
        <f aca="false">AD192+AA193</f>
        <v>0</v>
      </c>
      <c r="AE193" s="180" t="n">
        <f aca="false">AB193+AD193-AC193</f>
        <v>278888.651265732</v>
      </c>
      <c r="AF193" s="180" t="n">
        <f aca="false">MAX(0,IFERROR(INDEX(TAB_IR,MATCH($C193,TAB_IR_DIAS,1),MATCH($C$8,TAB_IR_REGIMES,0)),0)*IF($C$26=2,AB193,MAX(0,AE193))-AD193)</f>
        <v>41833.2976898598</v>
      </c>
      <c r="AG193" s="181" t="n">
        <f aca="false">MAX(0,AB193-AF193-AB193*$C$25)</f>
        <v>387055.353575872</v>
      </c>
      <c r="AH193" s="180" t="n">
        <f aca="false">AG193/$D193</f>
        <v>251423.777142365</v>
      </c>
      <c r="AJ193" s="180" t="n">
        <f aca="false">AQ192</f>
        <v>372661.287378552</v>
      </c>
      <c r="AK193" s="180" t="n">
        <f aca="false">IF($D$9=0,0,IF($A193&gt;IN_PRAZO,0,IF(APORTE_CORRIGIDO="Sim",IN_APORTE*$D193,IN_APORTE))+IF(AND($D$35=1,PGBL_REINVESTE="Sim",$A193&gt;=13,$A193&lt;=IN_PRAZO,MONTH($B193)=5),PGBL_BENEFICIO,0))</f>
        <v>0</v>
      </c>
      <c r="AL193" s="180" t="n">
        <f aca="false">AK193*$D$24</f>
        <v>0</v>
      </c>
      <c r="AM193" s="180" t="n">
        <f aca="false">AJ193*$D$19</f>
        <v>3349.73941433963</v>
      </c>
      <c r="AN193" s="180" t="n">
        <f aca="false">AJ193*$D$22</f>
        <v>310.55107281546</v>
      </c>
      <c r="AO193" s="180" t="n">
        <f aca="false">$D$23*MAX(0,AM193-AJ193*$D$18)</f>
        <v>0</v>
      </c>
      <c r="AP193" s="180" t="n">
        <f aca="false">IF(AND($D$27=1,OR(MONTH($B193)=5,MONTH($B193)=11)),MAX(0,$D$28*MAX(0,(AJ193+AM193-AN193-AO193+AK193-AL193)+AS192-AR193)-AS192),0)</f>
        <v>0</v>
      </c>
      <c r="AQ193" s="181" t="n">
        <f aca="false">AJ193+AM193-AN193-AO193+AK193-AL193-AP193</f>
        <v>375700.475720076</v>
      </c>
      <c r="AR193" s="180" t="n">
        <f aca="false">AR192+AK193-AL193</f>
        <v>150000</v>
      </c>
      <c r="AS193" s="180" t="n">
        <f aca="false">AS192+AP193</f>
        <v>38233.4942421014</v>
      </c>
      <c r="AT193" s="180" t="n">
        <f aca="false">AQ193+AS193-AR193</f>
        <v>263933.969962178</v>
      </c>
      <c r="AU193" s="180" t="n">
        <f aca="false">MAX(0,IFERROR(INDEX(TAB_IR,MATCH($C193,TAB_IR_DIAS,1),MATCH($D$8,TAB_IR_REGIMES,0)),0)*IF($D$26=2,AQ193,MAX(0,AT193))-AS193)</f>
        <v>1356.60125222523</v>
      </c>
      <c r="AV193" s="181" t="n">
        <f aca="false">MAX(0,AQ193-AU193-AQ193*$D$25)</f>
        <v>374343.874467851</v>
      </c>
      <c r="AW193" s="180" t="n">
        <f aca="false">AV193/$D193</f>
        <v>243166.64270183</v>
      </c>
      <c r="AY193" s="180" t="n">
        <f aca="false">BF192</f>
        <v>456898.986778338</v>
      </c>
      <c r="AZ193" s="180" t="n">
        <f aca="false">IF($E$9=0,0,IF($A193&gt;IN_PRAZO,0,IF(APORTE_CORRIGIDO="Sim",IN_APORTE*$D193,IN_APORTE))+IF(AND($E$35=1,PGBL_REINVESTE="Sim",$A193&gt;=13,$A193&lt;=IN_PRAZO,MONTH($B193)=5),PGBL_BENEFICIO,0))</f>
        <v>0</v>
      </c>
      <c r="BA193" s="180" t="n">
        <f aca="false">AZ193*$E$24</f>
        <v>0</v>
      </c>
      <c r="BB193" s="180" t="n">
        <f aca="false">AY193*$E$19</f>
        <v>4472.467832351</v>
      </c>
      <c r="BC193" s="180" t="n">
        <f aca="false">AY193*$E$22</f>
        <v>571.123733472923</v>
      </c>
      <c r="BD193" s="180" t="n">
        <f aca="false">$E$23*MAX(0,BB193-AY193*$E$18)</f>
        <v>0</v>
      </c>
      <c r="BE193" s="180" t="n">
        <f aca="false">IF(AND($E$27=1,OR(MONTH($B193)=5,MONTH($B193)=11)),MAX(0,$E$28*MAX(0,(AY193+BB193-BC193-BD193+AZ193-BA193)+BH192-BG193)-BH192),0)</f>
        <v>0</v>
      </c>
      <c r="BF193" s="181" t="n">
        <f aca="false">AY193+BB193-BC193-BD193+AZ193-BA193-BE193</f>
        <v>460800.330877217</v>
      </c>
      <c r="BG193" s="180" t="n">
        <f aca="false">BG192+AZ193-BA193</f>
        <v>150000</v>
      </c>
      <c r="BH193" s="180" t="n">
        <f aca="false">BH192+BE193</f>
        <v>0</v>
      </c>
      <c r="BI193" s="180" t="n">
        <f aca="false">BF193+BH193-BG193</f>
        <v>310800.330877217</v>
      </c>
      <c r="BJ193" s="180" t="n">
        <f aca="false">MAX(0,IFERROR(INDEX(TAB_IR,MATCH($C193,TAB_IR_DIAS,1),MATCH($E$8,TAB_IR_REGIMES,0)),0)*IF($E$26=2,BF193,MAX(0,BI193))-BH193)</f>
        <v>31080.0330877217</v>
      </c>
      <c r="BK193" s="181" t="n">
        <f aca="false">MAX(0,BF193-BJ193-BF193*$E$25)</f>
        <v>429720.297789495</v>
      </c>
      <c r="BL193" s="180" t="n">
        <f aca="false">BK193/$D193</f>
        <v>279138.111349745</v>
      </c>
      <c r="BN193" s="180" t="n">
        <f aca="false">BU192</f>
        <v>456898.986778338</v>
      </c>
      <c r="BO193" s="180" t="n">
        <f aca="false">IF($F$9=0,0,IF($A193&gt;IN_PRAZO,0,IF(APORTE_CORRIGIDO="Sim",IN_APORTE*$D193,IN_APORTE))+IF(AND($F$35=1,PGBL_REINVESTE="Sim",$A193&gt;=13,$A193&lt;=IN_PRAZO,MONTH($B193)=5),PGBL_BENEFICIO,0))</f>
        <v>0</v>
      </c>
      <c r="BP193" s="180" t="n">
        <f aca="false">BO193*$F$24</f>
        <v>0</v>
      </c>
      <c r="BQ193" s="180" t="n">
        <f aca="false">BN193*$F$19</f>
        <v>4472.467832351</v>
      </c>
      <c r="BR193" s="180" t="n">
        <f aca="false">BN193*$F$22</f>
        <v>571.123733472923</v>
      </c>
      <c r="BS193" s="180" t="n">
        <f aca="false">$F$23*MAX(0,BQ193-BN193*$F$18)</f>
        <v>0</v>
      </c>
      <c r="BT193" s="180" t="n">
        <f aca="false">IF(AND($F$27=1,OR(MONTH($B193)=5,MONTH($B193)=11)),MAX(0,$F$28*MAX(0,(BN193+BQ193-BR193-BS193+BO193-BP193)+BW192-BV193)-BW192),0)</f>
        <v>0</v>
      </c>
      <c r="BU193" s="181" t="n">
        <f aca="false">BN193+BQ193-BR193-BS193+BO193-BP193-BT193</f>
        <v>460800.330877217</v>
      </c>
      <c r="BV193" s="180" t="n">
        <f aca="false">BV192+BO193-BP193</f>
        <v>150000</v>
      </c>
      <c r="BW193" s="180" t="n">
        <f aca="false">BW192+BT193</f>
        <v>0</v>
      </c>
      <c r="BX193" s="180" t="n">
        <f aca="false">BU193+BW193-BV193</f>
        <v>310800.330877217</v>
      </c>
      <c r="BY193" s="180" t="n">
        <f aca="false">MAX(0,IFERROR(INDEX(TAB_IR,MATCH($C193,TAB_IR_DIAS,1),MATCH($F$8,TAB_IR_REGIMES,0)),0)*IF($F$26=2,BU193,MAX(0,BX193))-BW193)</f>
        <v>46080.0330877217</v>
      </c>
      <c r="BZ193" s="181" t="n">
        <f aca="false">MAX(0,BU193-BY193-BU193*$F$25)</f>
        <v>414720.297789495</v>
      </c>
      <c r="CA193" s="180" t="n">
        <f aca="false">BZ193/$D193</f>
        <v>269394.397376296</v>
      </c>
      <c r="CC193" s="180" t="n">
        <f aca="false">CJ192</f>
        <v>339657.782473304</v>
      </c>
      <c r="CD193" s="180" t="n">
        <f aca="false">IF($G$9=0,0,IF($A193&gt;IN_PRAZO,0,IF(APORTE_CORRIGIDO="Sim",IN_APORTE*$D193,IN_APORTE))+IF(AND($G$35=1,PGBL_REINVESTE="Sim",$A193&gt;=13,$A193&lt;=IN_PRAZO,MONTH($B193)=5),PGBL_BENEFICIO,0))</f>
        <v>0</v>
      </c>
      <c r="CE193" s="180" t="n">
        <f aca="false">CD193*$G$24</f>
        <v>0</v>
      </c>
      <c r="CF193" s="180" t="n">
        <f aca="false">CC193*$G$19</f>
        <v>2770.66510458434</v>
      </c>
      <c r="CG193" s="180" t="n">
        <f aca="false">CC193*$G$22</f>
        <v>283.048152061087</v>
      </c>
      <c r="CH193" s="180" t="n">
        <f aca="false">$G$23*MAX(0,CF193-CC193*$G$18)</f>
        <v>0</v>
      </c>
      <c r="CI193" s="180" t="n">
        <f aca="false">IF(AND($G$27=1,OR(MONTH($B193)=5,MONTH($B193)=11)),MAX(0,$G$28*MAX(0,(CC193+CF193-CG193-CH193+CD193-CE193)+CL192-CK193)-CL192),0)</f>
        <v>0</v>
      </c>
      <c r="CJ193" s="181" t="n">
        <f aca="false">CC193+CF193-CG193-CH193+CD193-CE193-CI193</f>
        <v>342145.399425828</v>
      </c>
      <c r="CK193" s="180" t="n">
        <f aca="false">CK192+CD193-CE193</f>
        <v>150000</v>
      </c>
      <c r="CL193" s="180" t="n">
        <f aca="false">CL192+CI193</f>
        <v>32600.5900216569</v>
      </c>
      <c r="CM193" s="180" t="n">
        <f aca="false">CJ193+CL193-CK193</f>
        <v>224745.989447484</v>
      </c>
      <c r="CN193" s="180" t="n">
        <f aca="false">MAX(0,IFERROR(INDEX(TAB_IR,MATCH($C193,TAB_IR_DIAS,1),MATCH($G$8,TAB_IR_REGIMES,0)),0)*IF($G$26=2,CJ193,MAX(0,CM193))-CL193)</f>
        <v>1111.30839546576</v>
      </c>
      <c r="CO193" s="181" t="n">
        <f aca="false">MAX(0,CJ193-CN193-CJ193*$G$25)</f>
        <v>341034.091030362</v>
      </c>
      <c r="CP193" s="180" t="n">
        <f aca="false">CO193/$D193</f>
        <v>221529.242546335</v>
      </c>
    </row>
    <row r="194" customFormat="false" ht="12" hidden="false" customHeight="true" outlineLevel="0" collapsed="false">
      <c r="A194" s="177" t="n">
        <v>133</v>
      </c>
      <c r="B194" s="178" t="n">
        <f aca="false">EDATE(DATA_INICIO,$A194)</f>
        <v>50306</v>
      </c>
      <c r="C194" s="177" t="n">
        <f aca="false">$A194*30</f>
        <v>3990</v>
      </c>
      <c r="D194" s="179" t="n">
        <f aca="false">(1+IPCA_CENARIO)^($A194/12)</f>
        <v>1.5444938283021</v>
      </c>
      <c r="F194" s="180" t="n">
        <f aca="false">M193</f>
        <v>510533.278989811</v>
      </c>
      <c r="G194" s="180" t="n">
        <f aca="false">IF($B$9=0,0,IF($A194&gt;IN_PRAZO,0,IF(APORTE_CORRIGIDO="Sim",IN_APORTE*$D194,IN_APORTE))+IF(AND($B$35=1,PGBL_REINVESTE="Sim",$A194&gt;=13,$A194&lt;=IN_PRAZO,MONTH($B194)=5),PGBL_BENEFICIO,0))</f>
        <v>0</v>
      </c>
      <c r="H194" s="180" t="n">
        <f aca="false">G194*$B$24</f>
        <v>0</v>
      </c>
      <c r="I194" s="180" t="n">
        <f aca="false">F194*$B$19</f>
        <v>4844.34457054803</v>
      </c>
      <c r="J194" s="180" t="n">
        <f aca="false">F194*$B$22</f>
        <v>85.0888798316351</v>
      </c>
      <c r="K194" s="180" t="n">
        <f aca="false">$B$23*MAX(0,I194-F194*$B$18)</f>
        <v>0</v>
      </c>
      <c r="L194" s="180" t="n">
        <f aca="false">IF(AND($B$27=1,OR(MONTH($B194)=5,MONTH($B194)=11)),MAX(0,$B$28*MAX(0,(F194+I194-J194-K194+G194-H194)+O193-N194)-O193),0)</f>
        <v>0</v>
      </c>
      <c r="M194" s="181" t="n">
        <f aca="false">F194+I194-J194-K194+G194-H194-L194</f>
        <v>515292.534680527</v>
      </c>
      <c r="N194" s="180" t="n">
        <f aca="false">N193+G194-H194</f>
        <v>150000</v>
      </c>
      <c r="O194" s="180" t="n">
        <f aca="false">O193+L194</f>
        <v>0</v>
      </c>
      <c r="P194" s="180" t="n">
        <f aca="false">M194+O194-N194</f>
        <v>365292.534680527</v>
      </c>
      <c r="Q194" s="180" t="n">
        <f aca="false">MAX(0,IFERROR(INDEX(TAB_IR,MATCH($C194,TAB_IR_DIAS,1),MATCH($B$8,TAB_IR_REGIMES,0)),0)*IF($B$26=2,M194,MAX(0,P194))-O194)</f>
        <v>54793.880202079</v>
      </c>
      <c r="R194" s="181" t="n">
        <f aca="false">MAX(0,M194-Q194-M194*$B$25)</f>
        <v>460498.654478448</v>
      </c>
      <c r="S194" s="180" t="n">
        <f aca="false">R194/$D194</f>
        <v>298155.062869163</v>
      </c>
      <c r="U194" s="180" t="n">
        <f aca="false">AB193</f>
        <v>428888.651265732</v>
      </c>
      <c r="V194" s="180" t="n">
        <f aca="false">IF($C$9=0,0,IF($A194&gt;IN_PRAZO,0,IF(APORTE_CORRIGIDO="Sim",IN_APORTE*$D194,IN_APORTE))+IF(AND($C$35=1,PGBL_REINVESTE="Sim",$A194&gt;=13,$A194&lt;=IN_PRAZO,MONTH($B194)=5),PGBL_BENEFICIO,0))</f>
        <v>0</v>
      </c>
      <c r="W194" s="180" t="n">
        <f aca="false">V194*$C$24</f>
        <v>0</v>
      </c>
      <c r="X194" s="180" t="n">
        <f aca="false">U194*$C$19</f>
        <v>3498.54141766235</v>
      </c>
      <c r="Y194" s="180" t="n">
        <f aca="false">U194*$C$22</f>
        <v>71.481441877622</v>
      </c>
      <c r="Z194" s="180" t="n">
        <f aca="false">$C$23*MAX(0,X194-U194*$C$18)</f>
        <v>0</v>
      </c>
      <c r="AA194" s="180" t="n">
        <f aca="false">IF(AND($C$27=1,OR(MONTH($B194)=5,MONTH($B194)=11)),MAX(0,$C$28*MAX(0,(U194+X194-Y194-Z194+V194-W194)+AD193-AC194)-AD193),0)</f>
        <v>0</v>
      </c>
      <c r="AB194" s="181" t="n">
        <f aca="false">U194+X194-Y194-Z194+V194-W194-AA194</f>
        <v>432315.711241516</v>
      </c>
      <c r="AC194" s="180" t="n">
        <f aca="false">AC193+V194-W194</f>
        <v>150000</v>
      </c>
      <c r="AD194" s="180" t="n">
        <f aca="false">AD193+AA194</f>
        <v>0</v>
      </c>
      <c r="AE194" s="180" t="n">
        <f aca="false">AB194+AD194-AC194</f>
        <v>282315.711241516</v>
      </c>
      <c r="AF194" s="180" t="n">
        <f aca="false">MAX(0,IFERROR(INDEX(TAB_IR,MATCH($C194,TAB_IR_DIAS,1),MATCH($C$8,TAB_IR_REGIMES,0)),0)*IF($C$26=2,AB194,MAX(0,AE194))-AD194)</f>
        <v>42347.3566862275</v>
      </c>
      <c r="AG194" s="181" t="n">
        <f aca="false">MAX(0,AB194-AF194-AB194*$C$25)</f>
        <v>389968.354555289</v>
      </c>
      <c r="AH194" s="180" t="n">
        <f aca="false">AG194/$D194</f>
        <v>252489.422365637</v>
      </c>
      <c r="AJ194" s="180" t="n">
        <f aca="false">AQ193</f>
        <v>375700.475720076</v>
      </c>
      <c r="AK194" s="180" t="n">
        <f aca="false">IF($D$9=0,0,IF($A194&gt;IN_PRAZO,0,IF(APORTE_CORRIGIDO="Sim",IN_APORTE*$D194,IN_APORTE))+IF(AND($D$35=1,PGBL_REINVESTE="Sim",$A194&gt;=13,$A194&lt;=IN_PRAZO,MONTH($B194)=5),PGBL_BENEFICIO,0))</f>
        <v>0</v>
      </c>
      <c r="AL194" s="180" t="n">
        <f aca="false">AK194*$D$24</f>
        <v>0</v>
      </c>
      <c r="AM194" s="180" t="n">
        <f aca="false">AJ194*$D$19</f>
        <v>3377.05775761811</v>
      </c>
      <c r="AN194" s="180" t="n">
        <f aca="false">AJ194*$D$22</f>
        <v>313.08372976673</v>
      </c>
      <c r="AO194" s="180" t="n">
        <f aca="false">$D$23*MAX(0,AM194-AJ194*$D$18)</f>
        <v>0</v>
      </c>
      <c r="AP194" s="180" t="n">
        <f aca="false">IF(AND($D$27=1,OR(MONTH($B194)=5,MONTH($B194)=11)),MAX(0,$D$28*MAX(0,(AJ194+AM194-AN194-AO194+AK194-AL194)+AS193-AR194)-AS193),0)</f>
        <v>0</v>
      </c>
      <c r="AQ194" s="181" t="n">
        <f aca="false">AJ194+AM194-AN194-AO194+AK194-AL194-AP194</f>
        <v>378764.449747928</v>
      </c>
      <c r="AR194" s="180" t="n">
        <f aca="false">AR193+AK194-AL194</f>
        <v>150000</v>
      </c>
      <c r="AS194" s="180" t="n">
        <f aca="false">AS193+AP194</f>
        <v>38233.4942421014</v>
      </c>
      <c r="AT194" s="180" t="n">
        <f aca="false">AQ194+AS194-AR194</f>
        <v>266997.943990029</v>
      </c>
      <c r="AU194" s="180" t="n">
        <f aca="false">MAX(0,IFERROR(INDEX(TAB_IR,MATCH($C194,TAB_IR_DIAS,1),MATCH($D$8,TAB_IR_REGIMES,0)),0)*IF($D$26=2,AQ194,MAX(0,AT194))-AS194)</f>
        <v>1816.19735640293</v>
      </c>
      <c r="AV194" s="181" t="n">
        <f aca="false">MAX(0,AQ194-AU194-AQ194*$D$25)</f>
        <v>376948.252391525</v>
      </c>
      <c r="AW194" s="180" t="n">
        <f aca="false">AV194/$D194</f>
        <v>244059.409940092</v>
      </c>
      <c r="AY194" s="180" t="n">
        <f aca="false">BF193</f>
        <v>460800.330877217</v>
      </c>
      <c r="AZ194" s="180" t="n">
        <f aca="false">IF($E$9=0,0,IF($A194&gt;IN_PRAZO,0,IF(APORTE_CORRIGIDO="Sim",IN_APORTE*$D194,IN_APORTE))+IF(AND($E$35=1,PGBL_REINVESTE="Sim",$A194&gt;=13,$A194&lt;=IN_PRAZO,MONTH($B194)=5),PGBL_BENEFICIO,0))</f>
        <v>0</v>
      </c>
      <c r="BA194" s="180" t="n">
        <f aca="false">AZ194*$E$24</f>
        <v>0</v>
      </c>
      <c r="BB194" s="180" t="n">
        <f aca="false">AY194*$E$19</f>
        <v>4510.65709625854</v>
      </c>
      <c r="BC194" s="180" t="n">
        <f aca="false">AY194*$E$22</f>
        <v>576.000413596521</v>
      </c>
      <c r="BD194" s="180" t="n">
        <f aca="false">$E$23*MAX(0,BB194-AY194*$E$18)</f>
        <v>0</v>
      </c>
      <c r="BE194" s="180" t="n">
        <f aca="false">IF(AND($E$27=1,OR(MONTH($B194)=5,MONTH($B194)=11)),MAX(0,$E$28*MAX(0,(AY194+BB194-BC194-BD194+AZ194-BA194)+BH193-BG194)-BH193),0)</f>
        <v>0</v>
      </c>
      <c r="BF194" s="181" t="n">
        <f aca="false">AY194+BB194-BC194-BD194+AZ194-BA194-BE194</f>
        <v>464734.987559879</v>
      </c>
      <c r="BG194" s="180" t="n">
        <f aca="false">BG193+AZ194-BA194</f>
        <v>150000</v>
      </c>
      <c r="BH194" s="180" t="n">
        <f aca="false">BH193+BE194</f>
        <v>0</v>
      </c>
      <c r="BI194" s="180" t="n">
        <f aca="false">BF194+BH194-BG194</f>
        <v>314734.987559879</v>
      </c>
      <c r="BJ194" s="180" t="n">
        <f aca="false">MAX(0,IFERROR(INDEX(TAB_IR,MATCH($C194,TAB_IR_DIAS,1),MATCH($E$8,TAB_IR_REGIMES,0)),0)*IF($E$26=2,BF194,MAX(0,BI194))-BH194)</f>
        <v>31473.4987559879</v>
      </c>
      <c r="BK194" s="181" t="n">
        <f aca="false">MAX(0,BF194-BJ194-BF194*$E$25)</f>
        <v>433261.488803891</v>
      </c>
      <c r="BL194" s="180" t="n">
        <f aca="false">BK194/$D194</f>
        <v>280520.05185426</v>
      </c>
      <c r="BN194" s="180" t="n">
        <f aca="false">BU193</f>
        <v>460800.330877217</v>
      </c>
      <c r="BO194" s="180" t="n">
        <f aca="false">IF($F$9=0,0,IF($A194&gt;IN_PRAZO,0,IF(APORTE_CORRIGIDO="Sim",IN_APORTE*$D194,IN_APORTE))+IF(AND($F$35=1,PGBL_REINVESTE="Sim",$A194&gt;=13,$A194&lt;=IN_PRAZO,MONTH($B194)=5),PGBL_BENEFICIO,0))</f>
        <v>0</v>
      </c>
      <c r="BP194" s="180" t="n">
        <f aca="false">BO194*$F$24</f>
        <v>0</v>
      </c>
      <c r="BQ194" s="180" t="n">
        <f aca="false">BN194*$F$19</f>
        <v>4510.65709625854</v>
      </c>
      <c r="BR194" s="180" t="n">
        <f aca="false">BN194*$F$22</f>
        <v>576.000413596521</v>
      </c>
      <c r="BS194" s="180" t="n">
        <f aca="false">$F$23*MAX(0,BQ194-BN194*$F$18)</f>
        <v>0</v>
      </c>
      <c r="BT194" s="180" t="n">
        <f aca="false">IF(AND($F$27=1,OR(MONTH($B194)=5,MONTH($B194)=11)),MAX(0,$F$28*MAX(0,(BN194+BQ194-BR194-BS194+BO194-BP194)+BW193-BV194)-BW193),0)</f>
        <v>0</v>
      </c>
      <c r="BU194" s="181" t="n">
        <f aca="false">BN194+BQ194-BR194-BS194+BO194-BP194-BT194</f>
        <v>464734.987559879</v>
      </c>
      <c r="BV194" s="180" t="n">
        <f aca="false">BV193+BO194-BP194</f>
        <v>150000</v>
      </c>
      <c r="BW194" s="180" t="n">
        <f aca="false">BW193+BT194</f>
        <v>0</v>
      </c>
      <c r="BX194" s="180" t="n">
        <f aca="false">BU194+BW194-BV194</f>
        <v>314734.987559879</v>
      </c>
      <c r="BY194" s="180" t="n">
        <f aca="false">MAX(0,IFERROR(INDEX(TAB_IR,MATCH($C194,TAB_IR_DIAS,1),MATCH($F$8,TAB_IR_REGIMES,0)),0)*IF($F$26=2,BU194,MAX(0,BX194))-BW194)</f>
        <v>46473.4987559879</v>
      </c>
      <c r="BZ194" s="181" t="n">
        <f aca="false">MAX(0,BU194-BY194-BU194*$F$25)</f>
        <v>418261.488803891</v>
      </c>
      <c r="CA194" s="180" t="n">
        <f aca="false">BZ194/$D194</f>
        <v>270808.132178615</v>
      </c>
      <c r="CC194" s="180" t="n">
        <f aca="false">CJ193</f>
        <v>342145.399425828</v>
      </c>
      <c r="CD194" s="180" t="n">
        <f aca="false">IF($G$9=0,0,IF($A194&gt;IN_PRAZO,0,IF(APORTE_CORRIGIDO="Sim",IN_APORTE*$D194,IN_APORTE))+IF(AND($G$35=1,PGBL_REINVESTE="Sim",$A194&gt;=13,$A194&lt;=IN_PRAZO,MONTH($B194)=5),PGBL_BENEFICIO,0))</f>
        <v>0</v>
      </c>
      <c r="CE194" s="180" t="n">
        <f aca="false">CD194*$G$24</f>
        <v>0</v>
      </c>
      <c r="CF194" s="180" t="n">
        <f aca="false">CC194*$G$19</f>
        <v>2790.95715687809</v>
      </c>
      <c r="CG194" s="180" t="n">
        <f aca="false">CC194*$G$22</f>
        <v>285.12116618819</v>
      </c>
      <c r="CH194" s="180" t="n">
        <f aca="false">$G$23*MAX(0,CF194-CC194*$G$18)</f>
        <v>0</v>
      </c>
      <c r="CI194" s="180" t="n">
        <f aca="false">IF(AND($G$27=1,OR(MONTH($B194)=5,MONTH($B194)=11)),MAX(0,$G$28*MAX(0,(CC194+CF194-CG194-CH194+CD194-CE194)+CL193-CK194)-CL193),0)</f>
        <v>0</v>
      </c>
      <c r="CJ194" s="181" t="n">
        <f aca="false">CC194+CF194-CG194-CH194+CD194-CE194-CI194</f>
        <v>344651.235416517</v>
      </c>
      <c r="CK194" s="180" t="n">
        <f aca="false">CK193+CD194-CE194</f>
        <v>150000</v>
      </c>
      <c r="CL194" s="180" t="n">
        <f aca="false">CL193+CI194</f>
        <v>32600.5900216569</v>
      </c>
      <c r="CM194" s="180" t="n">
        <f aca="false">CJ194+CL194-CK194</f>
        <v>227251.825438174</v>
      </c>
      <c r="CN194" s="180" t="n">
        <f aca="false">MAX(0,IFERROR(INDEX(TAB_IR,MATCH($C194,TAB_IR_DIAS,1),MATCH($G$8,TAB_IR_REGIMES,0)),0)*IF($G$26=2,CJ194,MAX(0,CM194))-CL194)</f>
        <v>1487.18379406924</v>
      </c>
      <c r="CO194" s="181" t="n">
        <f aca="false">MAX(0,CJ194-CN194-CJ194*$G$25)</f>
        <v>343164.051622448</v>
      </c>
      <c r="CP194" s="180" t="n">
        <f aca="false">CO194/$D194</f>
        <v>222185.446995082</v>
      </c>
    </row>
    <row r="195" customFormat="false" ht="12" hidden="false" customHeight="true" outlineLevel="0" collapsed="false">
      <c r="A195" s="177" t="n">
        <v>134</v>
      </c>
      <c r="B195" s="178" t="n">
        <f aca="false">EDATE(DATA_INICIO,$A195)</f>
        <v>50336</v>
      </c>
      <c r="C195" s="177" t="n">
        <f aca="false">$A195*30</f>
        <v>4020</v>
      </c>
      <c r="D195" s="179" t="n">
        <f aca="false">(1+IPCA_CENARIO)^($A195/12)</f>
        <v>1.54955009919118</v>
      </c>
      <c r="F195" s="180" t="n">
        <f aca="false">M194</f>
        <v>515292.534680527</v>
      </c>
      <c r="G195" s="180" t="n">
        <f aca="false">IF($B$9=0,0,IF($A195&gt;IN_PRAZO,0,IF(APORTE_CORRIGIDO="Sim",IN_APORTE*$D195,IN_APORTE))+IF(AND($B$35=1,PGBL_REINVESTE="Sim",$A195&gt;=13,$A195&lt;=IN_PRAZO,MONTH($B195)=5),PGBL_BENEFICIO,0))</f>
        <v>0</v>
      </c>
      <c r="H195" s="180" t="n">
        <f aca="false">G195*$B$24</f>
        <v>0</v>
      </c>
      <c r="I195" s="180" t="n">
        <f aca="false">F195*$B$19</f>
        <v>4889.50416231997</v>
      </c>
      <c r="J195" s="180" t="n">
        <f aca="false">F195*$B$22</f>
        <v>85.8820891134212</v>
      </c>
      <c r="K195" s="180" t="n">
        <f aca="false">$B$23*MAX(0,I195-F195*$B$18)</f>
        <v>0</v>
      </c>
      <c r="L195" s="180" t="n">
        <f aca="false">IF(AND($B$27=1,OR(MONTH($B195)=5,MONTH($B195)=11)),MAX(0,$B$28*MAX(0,(F195+I195-J195-K195+G195-H195)+O194-N195)-O194),0)</f>
        <v>0</v>
      </c>
      <c r="M195" s="181" t="n">
        <f aca="false">F195+I195-J195-K195+G195-H195-L195</f>
        <v>520096.156753734</v>
      </c>
      <c r="N195" s="180" t="n">
        <f aca="false">N194+G195-H195</f>
        <v>150000</v>
      </c>
      <c r="O195" s="180" t="n">
        <f aca="false">O194+L195</f>
        <v>0</v>
      </c>
      <c r="P195" s="180" t="n">
        <f aca="false">M195+O195-N195</f>
        <v>370096.156753734</v>
      </c>
      <c r="Q195" s="180" t="n">
        <f aca="false">MAX(0,IFERROR(INDEX(TAB_IR,MATCH($C195,TAB_IR_DIAS,1),MATCH($B$8,TAB_IR_REGIMES,0)),0)*IF($B$26=2,M195,MAX(0,P195))-O195)</f>
        <v>55514.42351306</v>
      </c>
      <c r="R195" s="181" t="n">
        <f aca="false">MAX(0,M195-Q195-M195*$B$25)</f>
        <v>464581.733240674</v>
      </c>
      <c r="S195" s="180" t="n">
        <f aca="false">R195/$D195</f>
        <v>299817.174987225</v>
      </c>
      <c r="U195" s="180" t="n">
        <f aca="false">AB194</f>
        <v>432315.711241516</v>
      </c>
      <c r="V195" s="180" t="n">
        <f aca="false">IF($C$9=0,0,IF($A195&gt;IN_PRAZO,0,IF(APORTE_CORRIGIDO="Sim",IN_APORTE*$D195,IN_APORTE))+IF(AND($C$35=1,PGBL_REINVESTE="Sim",$A195&gt;=13,$A195&lt;=IN_PRAZO,MONTH($B195)=5),PGBL_BENEFICIO,0))</f>
        <v>0</v>
      </c>
      <c r="W195" s="180" t="n">
        <f aca="false">V195*$C$24</f>
        <v>0</v>
      </c>
      <c r="X195" s="180" t="n">
        <f aca="false">U195*$C$19</f>
        <v>3526.49671848626</v>
      </c>
      <c r="Y195" s="180" t="n">
        <f aca="false">U195*$C$22</f>
        <v>72.0526185402527</v>
      </c>
      <c r="Z195" s="180" t="n">
        <f aca="false">$C$23*MAX(0,X195-U195*$C$18)</f>
        <v>0</v>
      </c>
      <c r="AA195" s="180" t="n">
        <f aca="false">IF(AND($C$27=1,OR(MONTH($B195)=5,MONTH($B195)=11)),MAX(0,$C$28*MAX(0,(U195+X195-Y195-Z195+V195-W195)+AD194-AC195)-AD194),0)</f>
        <v>0</v>
      </c>
      <c r="AB195" s="181" t="n">
        <f aca="false">U195+X195-Y195-Z195+V195-W195-AA195</f>
        <v>435770.155341462</v>
      </c>
      <c r="AC195" s="180" t="n">
        <f aca="false">AC194+V195-W195</f>
        <v>150000</v>
      </c>
      <c r="AD195" s="180" t="n">
        <f aca="false">AD194+AA195</f>
        <v>0</v>
      </c>
      <c r="AE195" s="180" t="n">
        <f aca="false">AB195+AD195-AC195</f>
        <v>285770.155341462</v>
      </c>
      <c r="AF195" s="180" t="n">
        <f aca="false">MAX(0,IFERROR(INDEX(TAB_IR,MATCH($C195,TAB_IR_DIAS,1),MATCH($C$8,TAB_IR_REGIMES,0)),0)*IF($C$26=2,AB195,MAX(0,AE195))-AD195)</f>
        <v>42865.5233012194</v>
      </c>
      <c r="AG195" s="181" t="n">
        <f aca="false">MAX(0,AB195-AF195-AB195*$C$25)</f>
        <v>392904.632040243</v>
      </c>
      <c r="AH195" s="180" t="n">
        <f aca="false">AG195/$D195</f>
        <v>253560.457480741</v>
      </c>
      <c r="AJ195" s="180" t="n">
        <f aca="false">AQ194</f>
        <v>378764.449747928</v>
      </c>
      <c r="AK195" s="180" t="n">
        <f aca="false">IF($D$9=0,0,IF($A195&gt;IN_PRAZO,0,IF(APORTE_CORRIGIDO="Sim",IN_APORTE*$D195,IN_APORTE))+IF(AND($D$35=1,PGBL_REINVESTE="Sim",$A195&gt;=13,$A195&lt;=IN_PRAZO,MONTH($B195)=5),PGBL_BENEFICIO,0))</f>
        <v>0</v>
      </c>
      <c r="AL195" s="180" t="n">
        <f aca="false">AK195*$D$24</f>
        <v>0</v>
      </c>
      <c r="AM195" s="180" t="n">
        <f aca="false">AJ195*$D$19</f>
        <v>3404.59889192214</v>
      </c>
      <c r="AN195" s="180" t="n">
        <f aca="false">AJ195*$D$22</f>
        <v>315.637041456606</v>
      </c>
      <c r="AO195" s="180" t="n">
        <f aca="false">$D$23*MAX(0,AM195-AJ195*$D$18)</f>
        <v>0</v>
      </c>
      <c r="AP195" s="180" t="n">
        <f aca="false">IF(AND($D$27=1,OR(MONTH($B195)=5,MONTH($B195)=11)),MAX(0,$D$28*MAX(0,(AJ195+AM195-AN195-AO195+AK195-AL195)+AS194-AR195)-AS194),0)</f>
        <v>0</v>
      </c>
      <c r="AQ195" s="181" t="n">
        <f aca="false">AJ195+AM195-AN195-AO195+AK195-AL195-AP195</f>
        <v>381853.411598393</v>
      </c>
      <c r="AR195" s="180" t="n">
        <f aca="false">AR194+AK195-AL195</f>
        <v>150000</v>
      </c>
      <c r="AS195" s="180" t="n">
        <f aca="false">AS194+AP195</f>
        <v>38233.4942421014</v>
      </c>
      <c r="AT195" s="180" t="n">
        <f aca="false">AQ195+AS195-AR195</f>
        <v>270086.905840495</v>
      </c>
      <c r="AU195" s="180" t="n">
        <f aca="false">MAX(0,IFERROR(INDEX(TAB_IR,MATCH($C195,TAB_IR_DIAS,1),MATCH($D$8,TAB_IR_REGIMES,0)),0)*IF($D$26=2,AQ195,MAX(0,AT195))-AS195)</f>
        <v>2279.54163397277</v>
      </c>
      <c r="AV195" s="181" t="n">
        <f aca="false">MAX(0,AQ195-AU195-AQ195*$D$25)</f>
        <v>379573.86996442</v>
      </c>
      <c r="AW195" s="180" t="n">
        <f aca="false">AV195/$D195</f>
        <v>244957.468727566</v>
      </c>
      <c r="AY195" s="180" t="n">
        <f aca="false">BF194</f>
        <v>464734.987559879</v>
      </c>
      <c r="AZ195" s="180" t="n">
        <f aca="false">IF($E$9=0,0,IF($A195&gt;IN_PRAZO,0,IF(APORTE_CORRIGIDO="Sim",IN_APORTE*$D195,IN_APORTE))+IF(AND($E$35=1,PGBL_REINVESTE="Sim",$A195&gt;=13,$A195&lt;=IN_PRAZO,MONTH($B195)=5),PGBL_BENEFICIO,0))</f>
        <v>0</v>
      </c>
      <c r="BA195" s="180" t="n">
        <f aca="false">AZ195*$E$24</f>
        <v>0</v>
      </c>
      <c r="BB195" s="180" t="n">
        <f aca="false">AY195*$E$19</f>
        <v>4549.1724485657</v>
      </c>
      <c r="BC195" s="180" t="n">
        <f aca="false">AY195*$E$22</f>
        <v>580.918734449848</v>
      </c>
      <c r="BD195" s="180" t="n">
        <f aca="false">$E$23*MAX(0,BB195-AY195*$E$18)</f>
        <v>0</v>
      </c>
      <c r="BE195" s="180" t="n">
        <f aca="false">IF(AND($E$27=1,OR(MONTH($B195)=5,MONTH($B195)=11)),MAX(0,$E$28*MAX(0,(AY195+BB195-BC195-BD195+AZ195-BA195)+BH194-BG195)-BH194),0)</f>
        <v>0</v>
      </c>
      <c r="BF195" s="181" t="n">
        <f aca="false">AY195+BB195-BC195-BD195+AZ195-BA195-BE195</f>
        <v>468703.241273994</v>
      </c>
      <c r="BG195" s="180" t="n">
        <f aca="false">BG194+AZ195-BA195</f>
        <v>150000</v>
      </c>
      <c r="BH195" s="180" t="n">
        <f aca="false">BH194+BE195</f>
        <v>0</v>
      </c>
      <c r="BI195" s="180" t="n">
        <f aca="false">BF195+BH195-BG195</f>
        <v>318703.241273994</v>
      </c>
      <c r="BJ195" s="180" t="n">
        <f aca="false">MAX(0,IFERROR(INDEX(TAB_IR,MATCH($C195,TAB_IR_DIAS,1),MATCH($E$8,TAB_IR_REGIMES,0)),0)*IF($E$26=2,BF195,MAX(0,BI195))-BH195)</f>
        <v>31870.3241273994</v>
      </c>
      <c r="BK195" s="181" t="n">
        <f aca="false">MAX(0,BF195-BJ195-BF195*$E$25)</f>
        <v>436832.917146595</v>
      </c>
      <c r="BL195" s="180" t="n">
        <f aca="false">BK195/$D195</f>
        <v>281909.515139013</v>
      </c>
      <c r="BN195" s="180" t="n">
        <f aca="false">BU194</f>
        <v>464734.987559879</v>
      </c>
      <c r="BO195" s="180" t="n">
        <f aca="false">IF($F$9=0,0,IF($A195&gt;IN_PRAZO,0,IF(APORTE_CORRIGIDO="Sim",IN_APORTE*$D195,IN_APORTE))+IF(AND($F$35=1,PGBL_REINVESTE="Sim",$A195&gt;=13,$A195&lt;=IN_PRAZO,MONTH($B195)=5),PGBL_BENEFICIO,0))</f>
        <v>0</v>
      </c>
      <c r="BP195" s="180" t="n">
        <f aca="false">BO195*$F$24</f>
        <v>0</v>
      </c>
      <c r="BQ195" s="180" t="n">
        <f aca="false">BN195*$F$19</f>
        <v>4549.1724485657</v>
      </c>
      <c r="BR195" s="180" t="n">
        <f aca="false">BN195*$F$22</f>
        <v>580.918734449848</v>
      </c>
      <c r="BS195" s="180" t="n">
        <f aca="false">$F$23*MAX(0,BQ195-BN195*$F$18)</f>
        <v>0</v>
      </c>
      <c r="BT195" s="180" t="n">
        <f aca="false">IF(AND($F$27=1,OR(MONTH($B195)=5,MONTH($B195)=11)),MAX(0,$F$28*MAX(0,(BN195+BQ195-BR195-BS195+BO195-BP195)+BW194-BV195)-BW194),0)</f>
        <v>0</v>
      </c>
      <c r="BU195" s="181" t="n">
        <f aca="false">BN195+BQ195-BR195-BS195+BO195-BP195-BT195</f>
        <v>468703.241273994</v>
      </c>
      <c r="BV195" s="180" t="n">
        <f aca="false">BV194+BO195-BP195</f>
        <v>150000</v>
      </c>
      <c r="BW195" s="180" t="n">
        <f aca="false">BW194+BT195</f>
        <v>0</v>
      </c>
      <c r="BX195" s="180" t="n">
        <f aca="false">BU195+BW195-BV195</f>
        <v>318703.241273994</v>
      </c>
      <c r="BY195" s="180" t="n">
        <f aca="false">MAX(0,IFERROR(INDEX(TAB_IR,MATCH($C195,TAB_IR_DIAS,1),MATCH($F$8,TAB_IR_REGIMES,0)),0)*IF($F$26=2,BU195,MAX(0,BX195))-BW195)</f>
        <v>46870.3241273995</v>
      </c>
      <c r="BZ195" s="181" t="n">
        <f aca="false">MAX(0,BU195-BY195-BU195*$F$25)</f>
        <v>421832.917146595</v>
      </c>
      <c r="CA195" s="180" t="n">
        <f aca="false">BZ195/$D195</f>
        <v>272229.286014554</v>
      </c>
      <c r="CC195" s="180" t="n">
        <f aca="false">CJ194</f>
        <v>344651.235416517</v>
      </c>
      <c r="CD195" s="180" t="n">
        <f aca="false">IF($G$9=0,0,IF($A195&gt;IN_PRAZO,0,IF(APORTE_CORRIGIDO="Sim",IN_APORTE*$D195,IN_APORTE))+IF(AND($G$35=1,PGBL_REINVESTE="Sim",$A195&gt;=13,$A195&lt;=IN_PRAZO,MONTH($B195)=5),PGBL_BENEFICIO,0))</f>
        <v>0</v>
      </c>
      <c r="CE195" s="180" t="n">
        <f aca="false">CD195*$G$24</f>
        <v>0</v>
      </c>
      <c r="CF195" s="180" t="n">
        <f aca="false">CC195*$G$19</f>
        <v>2811.3978259735</v>
      </c>
      <c r="CG195" s="180" t="n">
        <f aca="false">CC195*$G$22</f>
        <v>287.209362847098</v>
      </c>
      <c r="CH195" s="180" t="n">
        <f aca="false">$G$23*MAX(0,CF195-CC195*$G$18)</f>
        <v>0</v>
      </c>
      <c r="CI195" s="180" t="n">
        <f aca="false">IF(AND($G$27=1,OR(MONTH($B195)=5,MONTH($B195)=11)),MAX(0,$G$28*MAX(0,(CC195+CF195-CG195-CH195+CD195-CE195)+CL194-CK195)-CL194),0)</f>
        <v>0</v>
      </c>
      <c r="CJ195" s="181" t="n">
        <f aca="false">CC195+CF195-CG195-CH195+CD195-CE195-CI195</f>
        <v>347175.423879644</v>
      </c>
      <c r="CK195" s="180" t="n">
        <f aca="false">CK194+CD195-CE195</f>
        <v>150000</v>
      </c>
      <c r="CL195" s="180" t="n">
        <f aca="false">CL194+CI195</f>
        <v>32600.5900216569</v>
      </c>
      <c r="CM195" s="180" t="n">
        <f aca="false">CJ195+CL195-CK195</f>
        <v>229776.013901301</v>
      </c>
      <c r="CN195" s="180" t="n">
        <f aca="false">MAX(0,IFERROR(INDEX(TAB_IR,MATCH($C195,TAB_IR_DIAS,1),MATCH($G$8,TAB_IR_REGIMES,0)),0)*IF($G$26=2,CJ195,MAX(0,CM195))-CL195)</f>
        <v>1865.81206353821</v>
      </c>
      <c r="CO195" s="181" t="n">
        <f aca="false">MAX(0,CJ195-CN195-CJ195*$G$25)</f>
        <v>345309.611816106</v>
      </c>
      <c r="CP195" s="180" t="n">
        <f aca="false">CO195/$D195</f>
        <v>222845.077417211</v>
      </c>
    </row>
    <row r="196" customFormat="false" ht="12" hidden="false" customHeight="true" outlineLevel="0" collapsed="false">
      <c r="A196" s="177" t="n">
        <v>135</v>
      </c>
      <c r="B196" s="178" t="n">
        <f aca="false">EDATE(DATA_INICIO,$A196)</f>
        <v>50367</v>
      </c>
      <c r="C196" s="177" t="n">
        <f aca="false">$A196*30</f>
        <v>4050</v>
      </c>
      <c r="D196" s="179" t="n">
        <f aca="false">(1+IPCA_CENARIO)^($A196/12)</f>
        <v>1.55462292299541</v>
      </c>
      <c r="F196" s="180" t="n">
        <f aca="false">M195</f>
        <v>520096.156753734</v>
      </c>
      <c r="G196" s="180" t="n">
        <f aca="false">IF($B$9=0,0,IF($A196&gt;IN_PRAZO,0,IF(APORTE_CORRIGIDO="Sim",IN_APORTE*$D196,IN_APORTE))+IF(AND($B$35=1,PGBL_REINVESTE="Sim",$A196&gt;=13,$A196&lt;=IN_PRAZO,MONTH($B196)=5),PGBL_BENEFICIO,0))</f>
        <v>0</v>
      </c>
      <c r="H196" s="180" t="n">
        <f aca="false">G196*$B$24</f>
        <v>0</v>
      </c>
      <c r="I196" s="180" t="n">
        <f aca="false">F196*$B$19</f>
        <v>4935.08473750862</v>
      </c>
      <c r="J196" s="180" t="n">
        <f aca="false">F196*$B$22</f>
        <v>86.6826927922889</v>
      </c>
      <c r="K196" s="180" t="n">
        <f aca="false">$B$23*MAX(0,I196-F196*$B$18)</f>
        <v>0</v>
      </c>
      <c r="L196" s="180" t="n">
        <f aca="false">IF(AND($B$27=1,OR(MONTH($B196)=5,MONTH($B196)=11)),MAX(0,$B$28*MAX(0,(F196+I196-J196-K196+G196-H196)+O195-N196)-O195),0)</f>
        <v>0</v>
      </c>
      <c r="M196" s="181" t="n">
        <f aca="false">F196+I196-J196-K196+G196-H196-L196</f>
        <v>524944.55879845</v>
      </c>
      <c r="N196" s="180" t="n">
        <f aca="false">N195+G196-H196</f>
        <v>150000</v>
      </c>
      <c r="O196" s="180" t="n">
        <f aca="false">O195+L196</f>
        <v>0</v>
      </c>
      <c r="P196" s="180" t="n">
        <f aca="false">M196+O196-N196</f>
        <v>374944.55879845</v>
      </c>
      <c r="Q196" s="180" t="n">
        <f aca="false">MAX(0,IFERROR(INDEX(TAB_IR,MATCH($C196,TAB_IR_DIAS,1),MATCH($B$8,TAB_IR_REGIMES,0)),0)*IF($B$26=2,M196,MAX(0,P196))-O196)</f>
        <v>56241.6838197675</v>
      </c>
      <c r="R196" s="181" t="n">
        <f aca="false">MAX(0,M196-Q196-M196*$B$25)</f>
        <v>468702.874978682</v>
      </c>
      <c r="S196" s="180" t="n">
        <f aca="false">R196/$D196</f>
        <v>301489.749086934</v>
      </c>
      <c r="U196" s="180" t="n">
        <f aca="false">AB195</f>
        <v>435770.155341462</v>
      </c>
      <c r="V196" s="180" t="n">
        <f aca="false">IF($C$9=0,0,IF($A196&gt;IN_PRAZO,0,IF(APORTE_CORRIGIDO="Sim",IN_APORTE*$D196,IN_APORTE))+IF(AND($C$35=1,PGBL_REINVESTE="Sim",$A196&gt;=13,$A196&lt;=IN_PRAZO,MONTH($B196)=5),PGBL_BENEFICIO,0))</f>
        <v>0</v>
      </c>
      <c r="W196" s="180" t="n">
        <f aca="false">V196*$C$24</f>
        <v>0</v>
      </c>
      <c r="X196" s="180" t="n">
        <f aca="false">U196*$C$19</f>
        <v>3554.67539778448</v>
      </c>
      <c r="Y196" s="180" t="n">
        <f aca="false">U196*$C$22</f>
        <v>72.6283592235771</v>
      </c>
      <c r="Z196" s="180" t="n">
        <f aca="false">$C$23*MAX(0,X196-U196*$C$18)</f>
        <v>0</v>
      </c>
      <c r="AA196" s="180" t="n">
        <f aca="false">IF(AND($C$27=1,OR(MONTH($B196)=5,MONTH($B196)=11)),MAX(0,$C$28*MAX(0,(U196+X196-Y196-Z196+V196-W196)+AD195-AC196)-AD195),0)</f>
        <v>0</v>
      </c>
      <c r="AB196" s="181" t="n">
        <f aca="false">U196+X196-Y196-Z196+V196-W196-AA196</f>
        <v>439252.202380023</v>
      </c>
      <c r="AC196" s="180" t="n">
        <f aca="false">AC195+V196-W196</f>
        <v>150000</v>
      </c>
      <c r="AD196" s="180" t="n">
        <f aca="false">AD195+AA196</f>
        <v>0</v>
      </c>
      <c r="AE196" s="180" t="n">
        <f aca="false">AB196+AD196-AC196</f>
        <v>289252.202380023</v>
      </c>
      <c r="AF196" s="180" t="n">
        <f aca="false">MAX(0,IFERROR(INDEX(TAB_IR,MATCH($C196,TAB_IR_DIAS,1),MATCH($C$8,TAB_IR_REGIMES,0)),0)*IF($C$26=2,AB196,MAX(0,AE196))-AD196)</f>
        <v>43387.8303570035</v>
      </c>
      <c r="AG196" s="181" t="n">
        <f aca="false">MAX(0,AB196-AF196-AB196*$C$25)</f>
        <v>395864.37202302</v>
      </c>
      <c r="AH196" s="180" t="n">
        <f aca="false">AG196/$D196</f>
        <v>254636.906588434</v>
      </c>
      <c r="AJ196" s="180" t="n">
        <f aca="false">AQ195</f>
        <v>381853.411598393</v>
      </c>
      <c r="AK196" s="180" t="n">
        <f aca="false">IF($D$9=0,0,IF($A196&gt;IN_PRAZO,0,IF(APORTE_CORRIGIDO="Sim",IN_APORTE*$D196,IN_APORTE))+IF(AND($D$35=1,PGBL_REINVESTE="Sim",$A196&gt;=13,$A196&lt;=IN_PRAZO,MONTH($B196)=5),PGBL_BENEFICIO,0))</f>
        <v>0</v>
      </c>
      <c r="AL196" s="180" t="n">
        <f aca="false">AK196*$D$24</f>
        <v>0</v>
      </c>
      <c r="AM196" s="180" t="n">
        <f aca="false">AJ196*$D$19</f>
        <v>3432.36463419358</v>
      </c>
      <c r="AN196" s="180" t="n">
        <f aca="false">AJ196*$D$22</f>
        <v>318.211176331994</v>
      </c>
      <c r="AO196" s="180" t="n">
        <f aca="false">$D$23*MAX(0,AM196-AJ196*$D$18)</f>
        <v>0</v>
      </c>
      <c r="AP196" s="180" t="n">
        <f aca="false">IF(AND($D$27=1,OR(MONTH($B196)=5,MONTH($B196)=11)),MAX(0,$D$28*MAX(0,(AJ196+AM196-AN196-AO196+AK196-AL196)+AS195-AR196)-AS195),0)</f>
        <v>2746.66465265201</v>
      </c>
      <c r="AQ196" s="181" t="n">
        <f aca="false">AJ196+AM196-AN196-AO196+AK196-AL196-AP196</f>
        <v>382220.900403603</v>
      </c>
      <c r="AR196" s="180" t="n">
        <f aca="false">AR195+AK196-AL196</f>
        <v>150000</v>
      </c>
      <c r="AS196" s="180" t="n">
        <f aca="false">AS195+AP196</f>
        <v>40980.1588947534</v>
      </c>
      <c r="AT196" s="180" t="n">
        <f aca="false">AQ196+AS196-AR196</f>
        <v>273201.059298356</v>
      </c>
      <c r="AU196" s="180" t="n">
        <f aca="false">MAX(0,IFERROR(INDEX(TAB_IR,MATCH($C196,TAB_IR_DIAS,1),MATCH($D$8,TAB_IR_REGIMES,0)),0)*IF($D$26=2,AQ196,MAX(0,AT196))-AS196)</f>
        <v>0</v>
      </c>
      <c r="AV196" s="181" t="n">
        <f aca="false">MAX(0,AQ196-AU196-AQ196*$D$25)</f>
        <v>382220.900403603</v>
      </c>
      <c r="AW196" s="180" t="n">
        <f aca="false">AV196/$D196</f>
        <v>245860.841719192</v>
      </c>
      <c r="AY196" s="180" t="n">
        <f aca="false">BF195</f>
        <v>468703.241273994</v>
      </c>
      <c r="AZ196" s="180" t="n">
        <f aca="false">IF($E$9=0,0,IF($A196&gt;IN_PRAZO,0,IF(APORTE_CORRIGIDO="Sim",IN_APORTE*$D196,IN_APORTE))+IF(AND($E$35=1,PGBL_REINVESTE="Sim",$A196&gt;=13,$A196&lt;=IN_PRAZO,MONTH($B196)=5),PGBL_BENEFICIO,0))</f>
        <v>0</v>
      </c>
      <c r="BA196" s="180" t="n">
        <f aca="false">AZ196*$E$24</f>
        <v>0</v>
      </c>
      <c r="BB196" s="180" t="n">
        <f aca="false">AY196*$E$19</f>
        <v>4588.01667365828</v>
      </c>
      <c r="BC196" s="180" t="n">
        <f aca="false">AY196*$E$22</f>
        <v>585.879051592493</v>
      </c>
      <c r="BD196" s="180" t="n">
        <f aca="false">$E$23*MAX(0,BB196-AY196*$E$18)</f>
        <v>0</v>
      </c>
      <c r="BE196" s="180" t="n">
        <f aca="false">IF(AND($E$27=1,OR(MONTH($B196)=5,MONTH($B196)=11)),MAX(0,$E$28*MAX(0,(AY196+BB196-BC196-BD196+AZ196-BA196)+BH195-BG196)-BH195),0)</f>
        <v>0</v>
      </c>
      <c r="BF196" s="181" t="n">
        <f aca="false">AY196+BB196-BC196-BD196+AZ196-BA196-BE196</f>
        <v>472705.37889606</v>
      </c>
      <c r="BG196" s="180" t="n">
        <f aca="false">BG195+AZ196-BA196</f>
        <v>150000</v>
      </c>
      <c r="BH196" s="180" t="n">
        <f aca="false">BH195+BE196</f>
        <v>0</v>
      </c>
      <c r="BI196" s="180" t="n">
        <f aca="false">BF196+BH196-BG196</f>
        <v>322705.37889606</v>
      </c>
      <c r="BJ196" s="180" t="n">
        <f aca="false">MAX(0,IFERROR(INDEX(TAB_IR,MATCH($C196,TAB_IR_DIAS,1),MATCH($E$8,TAB_IR_REGIMES,0)),0)*IF($E$26=2,BF196,MAX(0,BI196))-BH196)</f>
        <v>32270.537889606</v>
      </c>
      <c r="BK196" s="181" t="n">
        <f aca="false">MAX(0,BF196-BJ196-BF196*$E$25)</f>
        <v>440434.841006454</v>
      </c>
      <c r="BL196" s="180" t="n">
        <f aca="false">BK196/$D196</f>
        <v>283306.539799269</v>
      </c>
      <c r="BN196" s="180" t="n">
        <f aca="false">BU195</f>
        <v>468703.241273994</v>
      </c>
      <c r="BO196" s="180" t="n">
        <f aca="false">IF($F$9=0,0,IF($A196&gt;IN_PRAZO,0,IF(APORTE_CORRIGIDO="Sim",IN_APORTE*$D196,IN_APORTE))+IF(AND($F$35=1,PGBL_REINVESTE="Sim",$A196&gt;=13,$A196&lt;=IN_PRAZO,MONTH($B196)=5),PGBL_BENEFICIO,0))</f>
        <v>0</v>
      </c>
      <c r="BP196" s="180" t="n">
        <f aca="false">BO196*$F$24</f>
        <v>0</v>
      </c>
      <c r="BQ196" s="180" t="n">
        <f aca="false">BN196*$F$19</f>
        <v>4588.01667365828</v>
      </c>
      <c r="BR196" s="180" t="n">
        <f aca="false">BN196*$F$22</f>
        <v>585.879051592493</v>
      </c>
      <c r="BS196" s="180" t="n">
        <f aca="false">$F$23*MAX(0,BQ196-BN196*$F$18)</f>
        <v>0</v>
      </c>
      <c r="BT196" s="180" t="n">
        <f aca="false">IF(AND($F$27=1,OR(MONTH($B196)=5,MONTH($B196)=11)),MAX(0,$F$28*MAX(0,(BN196+BQ196-BR196-BS196+BO196-BP196)+BW195-BV196)-BW195),0)</f>
        <v>0</v>
      </c>
      <c r="BU196" s="181" t="n">
        <f aca="false">BN196+BQ196-BR196-BS196+BO196-BP196-BT196</f>
        <v>472705.37889606</v>
      </c>
      <c r="BV196" s="180" t="n">
        <f aca="false">BV195+BO196-BP196</f>
        <v>150000</v>
      </c>
      <c r="BW196" s="180" t="n">
        <f aca="false">BW195+BT196</f>
        <v>0</v>
      </c>
      <c r="BX196" s="180" t="n">
        <f aca="false">BU196+BW196-BV196</f>
        <v>322705.37889606</v>
      </c>
      <c r="BY196" s="180" t="n">
        <f aca="false">MAX(0,IFERROR(INDEX(TAB_IR,MATCH($C196,TAB_IR_DIAS,1),MATCH($F$8,TAB_IR_REGIMES,0)),0)*IF($F$26=2,BU196,MAX(0,BX196))-BW196)</f>
        <v>47270.537889606</v>
      </c>
      <c r="BZ196" s="181" t="n">
        <f aca="false">MAX(0,BU196-BY196-BU196*$F$25)</f>
        <v>425434.841006454</v>
      </c>
      <c r="CA196" s="180" t="n">
        <f aca="false">BZ196/$D196</f>
        <v>273657.897817907</v>
      </c>
      <c r="CC196" s="180" t="n">
        <f aca="false">CJ195</f>
        <v>347175.423879644</v>
      </c>
      <c r="CD196" s="180" t="n">
        <f aca="false">IF($G$9=0,0,IF($A196&gt;IN_PRAZO,0,IF(APORTE_CORRIGIDO="Sim",IN_APORTE*$D196,IN_APORTE))+IF(AND($G$35=1,PGBL_REINVESTE="Sim",$A196&gt;=13,$A196&lt;=IN_PRAZO,MONTH($B196)=5),PGBL_BENEFICIO,0))</f>
        <v>0</v>
      </c>
      <c r="CE196" s="180" t="n">
        <f aca="false">CD196*$G$24</f>
        <v>0</v>
      </c>
      <c r="CF196" s="180" t="n">
        <f aca="false">CC196*$G$19</f>
        <v>2831.98820032398</v>
      </c>
      <c r="CG196" s="180" t="n">
        <f aca="false">CC196*$G$22</f>
        <v>289.312853233037</v>
      </c>
      <c r="CH196" s="180" t="n">
        <f aca="false">$G$23*MAX(0,CF196-CC196*$G$18)</f>
        <v>0</v>
      </c>
      <c r="CI196" s="180" t="n">
        <f aca="false">IF(AND($G$27=1,OR(MONTH($B196)=5,MONTH($B196)=11)),MAX(0,$G$28*MAX(0,(CC196+CF196-CG196-CH196+CD196-CE196)+CL195-CK196)-CL195),0)</f>
        <v>2247.21336560185</v>
      </c>
      <c r="CJ196" s="181" t="n">
        <f aca="false">CC196+CF196-CG196-CH196+CD196-CE196-CI196</f>
        <v>347470.885861133</v>
      </c>
      <c r="CK196" s="180" t="n">
        <f aca="false">CK195+CD196-CE196</f>
        <v>150000</v>
      </c>
      <c r="CL196" s="180" t="n">
        <f aca="false">CL195+CI196</f>
        <v>34847.8033872588</v>
      </c>
      <c r="CM196" s="180" t="n">
        <f aca="false">CJ196+CL196-CK196</f>
        <v>232318.689248392</v>
      </c>
      <c r="CN196" s="180" t="n">
        <f aca="false">MAX(0,IFERROR(INDEX(TAB_IR,MATCH($C196,TAB_IR_DIAS,1),MATCH($G$8,TAB_IR_REGIMES,0)),0)*IF($G$26=2,CJ196,MAX(0,CM196))-CL196)</f>
        <v>0</v>
      </c>
      <c r="CO196" s="181" t="n">
        <f aca="false">MAX(0,CJ196-CN196-CJ196*$G$25)</f>
        <v>347470.885861133</v>
      </c>
      <c r="CP196" s="180" t="n">
        <f aca="false">CO196/$D196</f>
        <v>223508.145108033</v>
      </c>
    </row>
    <row r="197" customFormat="false" ht="12" hidden="false" customHeight="true" outlineLevel="0" collapsed="false">
      <c r="A197" s="177" t="n">
        <v>136</v>
      </c>
      <c r="B197" s="178" t="n">
        <f aca="false">EDATE(DATA_INICIO,$A197)</f>
        <v>50397</v>
      </c>
      <c r="C197" s="177" t="n">
        <f aca="false">$A197*30</f>
        <v>4080</v>
      </c>
      <c r="D197" s="179" t="n">
        <f aca="false">(1+IPCA_CENARIO)^($A197/12)</f>
        <v>1.55971235390474</v>
      </c>
      <c r="F197" s="180" t="n">
        <f aca="false">M196</f>
        <v>524944.55879845</v>
      </c>
      <c r="G197" s="180" t="n">
        <f aca="false">IF($B$9=0,0,IF($A197&gt;IN_PRAZO,0,IF(APORTE_CORRIGIDO="Sim",IN_APORTE*$D197,IN_APORTE))+IF(AND($B$35=1,PGBL_REINVESTE="Sim",$A197&gt;=13,$A197&lt;=IN_PRAZO,MONTH($B197)=5),PGBL_BENEFICIO,0))</f>
        <v>0</v>
      </c>
      <c r="H197" s="180" t="n">
        <f aca="false">G197*$B$24</f>
        <v>0</v>
      </c>
      <c r="I197" s="180" t="n">
        <f aca="false">F197*$B$19</f>
        <v>4981.09022057455</v>
      </c>
      <c r="J197" s="180" t="n">
        <f aca="false">F197*$B$22</f>
        <v>87.4907597997417</v>
      </c>
      <c r="K197" s="180" t="n">
        <f aca="false">$B$23*MAX(0,I197-F197*$B$18)</f>
        <v>0</v>
      </c>
      <c r="L197" s="180" t="n">
        <f aca="false">IF(AND($B$27=1,OR(MONTH($B197)=5,MONTH($B197)=11)),MAX(0,$B$28*MAX(0,(F197+I197-J197-K197+G197-H197)+O196-N197)-O196),0)</f>
        <v>0</v>
      </c>
      <c r="M197" s="181" t="n">
        <f aca="false">F197+I197-J197-K197+G197-H197-L197</f>
        <v>529838.158259225</v>
      </c>
      <c r="N197" s="180" t="n">
        <f aca="false">N196+G197-H197</f>
        <v>150000</v>
      </c>
      <c r="O197" s="180" t="n">
        <f aca="false">O196+L197</f>
        <v>0</v>
      </c>
      <c r="P197" s="180" t="n">
        <f aca="false">M197+O197-N197</f>
        <v>379838.158259225</v>
      </c>
      <c r="Q197" s="180" t="n">
        <f aca="false">MAX(0,IFERROR(INDEX(TAB_IR,MATCH($C197,TAB_IR_DIAS,1),MATCH($B$8,TAB_IR_REGIMES,0)),0)*IF($B$26=2,M197,MAX(0,P197))-O197)</f>
        <v>56975.7237388837</v>
      </c>
      <c r="R197" s="181" t="n">
        <f aca="false">MAX(0,M197-Q197-M197*$B$25)</f>
        <v>472862.434520341</v>
      </c>
      <c r="S197" s="180" t="n">
        <f aca="false">R197/$D197</f>
        <v>303172.846798662</v>
      </c>
      <c r="U197" s="180" t="n">
        <f aca="false">AB196</f>
        <v>439252.202380023</v>
      </c>
      <c r="V197" s="180" t="n">
        <f aca="false">IF($C$9=0,0,IF($A197&gt;IN_PRAZO,0,IF(APORTE_CORRIGIDO="Sim",IN_APORTE*$D197,IN_APORTE))+IF(AND($C$35=1,PGBL_REINVESTE="Sim",$A197&gt;=13,$A197&lt;=IN_PRAZO,MONTH($B197)=5),PGBL_BENEFICIO,0))</f>
        <v>0</v>
      </c>
      <c r="W197" s="180" t="n">
        <f aca="false">V197*$C$24</f>
        <v>0</v>
      </c>
      <c r="X197" s="180" t="n">
        <f aca="false">U197*$C$19</f>
        <v>3583.07924047582</v>
      </c>
      <c r="Y197" s="180" t="n">
        <f aca="false">U197*$C$22</f>
        <v>73.2087003966706</v>
      </c>
      <c r="Z197" s="180" t="n">
        <f aca="false">$C$23*MAX(0,X197-U197*$C$18)</f>
        <v>0</v>
      </c>
      <c r="AA197" s="180" t="n">
        <f aca="false">IF(AND($C$27=1,OR(MONTH($B197)=5,MONTH($B197)=11)),MAX(0,$C$28*MAX(0,(U197+X197-Y197-Z197+V197-W197)+AD196-AC197)-AD196),0)</f>
        <v>0</v>
      </c>
      <c r="AB197" s="181" t="n">
        <f aca="false">U197+X197-Y197-Z197+V197-W197-AA197</f>
        <v>442762.072920103</v>
      </c>
      <c r="AC197" s="180" t="n">
        <f aca="false">AC196+V197-W197</f>
        <v>150000</v>
      </c>
      <c r="AD197" s="180" t="n">
        <f aca="false">AD196+AA197</f>
        <v>0</v>
      </c>
      <c r="AE197" s="180" t="n">
        <f aca="false">AB197+AD197-AC197</f>
        <v>292762.072920103</v>
      </c>
      <c r="AF197" s="180" t="n">
        <f aca="false">MAX(0,IFERROR(INDEX(TAB_IR,MATCH($C197,TAB_IR_DIAS,1),MATCH($C$8,TAB_IR_REGIMES,0)),0)*IF($C$26=2,AB197,MAX(0,AE197))-AD197)</f>
        <v>43914.3109380154</v>
      </c>
      <c r="AG197" s="181" t="n">
        <f aca="false">MAX(0,AB197-AF197-AB197*$C$25)</f>
        <v>398847.761982087</v>
      </c>
      <c r="AH197" s="180" t="n">
        <f aca="false">AG197/$D197</f>
        <v>255718.79390682</v>
      </c>
      <c r="AJ197" s="180" t="n">
        <f aca="false">AQ196</f>
        <v>382220.900403603</v>
      </c>
      <c r="AK197" s="180" t="n">
        <f aca="false">IF($D$9=0,0,IF($A197&gt;IN_PRAZO,0,IF(APORTE_CORRIGIDO="Sim",IN_APORTE*$D197,IN_APORTE))+IF(AND($D$35=1,PGBL_REINVESTE="Sim",$A197&gt;=13,$A197&lt;=IN_PRAZO,MONTH($B197)=5),PGBL_BENEFICIO,0))</f>
        <v>0</v>
      </c>
      <c r="AL197" s="180" t="n">
        <f aca="false">AK197*$D$24</f>
        <v>0</v>
      </c>
      <c r="AM197" s="180" t="n">
        <f aca="false">AJ197*$D$19</f>
        <v>3435.66787973271</v>
      </c>
      <c r="AN197" s="180" t="n">
        <f aca="false">AJ197*$D$22</f>
        <v>318.517417003002</v>
      </c>
      <c r="AO197" s="180" t="n">
        <f aca="false">$D$23*MAX(0,AM197-AJ197*$D$18)</f>
        <v>0</v>
      </c>
      <c r="AP197" s="180" t="n">
        <f aca="false">IF(AND($D$27=1,OR(MONTH($B197)=5,MONTH($B197)=11)),MAX(0,$D$28*MAX(0,(AJ197+AM197-AN197-AO197+AK197-AL197)+AS196-AR197)-AS196),0)</f>
        <v>0</v>
      </c>
      <c r="AQ197" s="181" t="n">
        <f aca="false">AJ197+AM197-AN197-AO197+AK197-AL197-AP197</f>
        <v>385338.050866333</v>
      </c>
      <c r="AR197" s="180" t="n">
        <f aca="false">AR196+AK197-AL197</f>
        <v>150000</v>
      </c>
      <c r="AS197" s="180" t="n">
        <f aca="false">AS196+AP197</f>
        <v>40980.1588947534</v>
      </c>
      <c r="AT197" s="180" t="n">
        <f aca="false">AQ197+AS197-AR197</f>
        <v>276318.209761086</v>
      </c>
      <c r="AU197" s="180" t="n">
        <f aca="false">MAX(0,IFERROR(INDEX(TAB_IR,MATCH($C197,TAB_IR_DIAS,1),MATCH($D$8,TAB_IR_REGIMES,0)),0)*IF($D$26=2,AQ197,MAX(0,AT197))-AS197)</f>
        <v>467.572569409465</v>
      </c>
      <c r="AV197" s="181" t="n">
        <f aca="false">MAX(0,AQ197-AU197-AQ197*$D$25)</f>
        <v>384870.478296923</v>
      </c>
      <c r="AW197" s="180" t="n">
        <f aca="false">AV197/$D197</f>
        <v>246757.344284284</v>
      </c>
      <c r="AY197" s="180" t="n">
        <f aca="false">BF196</f>
        <v>472705.37889606</v>
      </c>
      <c r="AZ197" s="180" t="n">
        <f aca="false">IF($E$9=0,0,IF($A197&gt;IN_PRAZO,0,IF(APORTE_CORRIGIDO="Sim",IN_APORTE*$D197,IN_APORTE))+IF(AND($E$35=1,PGBL_REINVESTE="Sim",$A197&gt;=13,$A197&lt;=IN_PRAZO,MONTH($B197)=5),PGBL_BENEFICIO,0))</f>
        <v>0</v>
      </c>
      <c r="BA197" s="180" t="n">
        <f aca="false">AZ197*$E$24</f>
        <v>0</v>
      </c>
      <c r="BB197" s="180" t="n">
        <f aca="false">AY197*$E$19</f>
        <v>4627.19257969726</v>
      </c>
      <c r="BC197" s="180" t="n">
        <f aca="false">AY197*$E$22</f>
        <v>590.881723620075</v>
      </c>
      <c r="BD197" s="180" t="n">
        <f aca="false">$E$23*MAX(0,BB197-AY197*$E$18)</f>
        <v>0</v>
      </c>
      <c r="BE197" s="180" t="n">
        <f aca="false">IF(AND($E$27=1,OR(MONTH($B197)=5,MONTH($B197)=11)),MAX(0,$E$28*MAX(0,(AY197+BB197-BC197-BD197+AZ197-BA197)+BH196-BG197)-BH196),0)</f>
        <v>0</v>
      </c>
      <c r="BF197" s="181" t="n">
        <f aca="false">AY197+BB197-BC197-BD197+AZ197-BA197-BE197</f>
        <v>476741.689752137</v>
      </c>
      <c r="BG197" s="180" t="n">
        <f aca="false">BG196+AZ197-BA197</f>
        <v>150000</v>
      </c>
      <c r="BH197" s="180" t="n">
        <f aca="false">BH196+BE197</f>
        <v>0</v>
      </c>
      <c r="BI197" s="180" t="n">
        <f aca="false">BF197+BH197-BG197</f>
        <v>326741.689752137</v>
      </c>
      <c r="BJ197" s="180" t="n">
        <f aca="false">MAX(0,IFERROR(INDEX(TAB_IR,MATCH($C197,TAB_IR_DIAS,1),MATCH($E$8,TAB_IR_REGIMES,0)),0)*IF($E$26=2,BF197,MAX(0,BI197))-BH197)</f>
        <v>32674.1689752137</v>
      </c>
      <c r="BK197" s="181" t="n">
        <f aca="false">MAX(0,BF197-BJ197-BF197*$E$25)</f>
        <v>444067.520776924</v>
      </c>
      <c r="BL197" s="180" t="n">
        <f aca="false">BK197/$D197</f>
        <v>284711.164635711</v>
      </c>
      <c r="BN197" s="180" t="n">
        <f aca="false">BU196</f>
        <v>472705.37889606</v>
      </c>
      <c r="BO197" s="180" t="n">
        <f aca="false">IF($F$9=0,0,IF($A197&gt;IN_PRAZO,0,IF(APORTE_CORRIGIDO="Sim",IN_APORTE*$D197,IN_APORTE))+IF(AND($F$35=1,PGBL_REINVESTE="Sim",$A197&gt;=13,$A197&lt;=IN_PRAZO,MONTH($B197)=5),PGBL_BENEFICIO,0))</f>
        <v>0</v>
      </c>
      <c r="BP197" s="180" t="n">
        <f aca="false">BO197*$F$24</f>
        <v>0</v>
      </c>
      <c r="BQ197" s="180" t="n">
        <f aca="false">BN197*$F$19</f>
        <v>4627.19257969726</v>
      </c>
      <c r="BR197" s="180" t="n">
        <f aca="false">BN197*$F$22</f>
        <v>590.881723620075</v>
      </c>
      <c r="BS197" s="180" t="n">
        <f aca="false">$F$23*MAX(0,BQ197-BN197*$F$18)</f>
        <v>0</v>
      </c>
      <c r="BT197" s="180" t="n">
        <f aca="false">IF(AND($F$27=1,OR(MONTH($B197)=5,MONTH($B197)=11)),MAX(0,$F$28*MAX(0,(BN197+BQ197-BR197-BS197+BO197-BP197)+BW196-BV197)-BW196),0)</f>
        <v>0</v>
      </c>
      <c r="BU197" s="181" t="n">
        <f aca="false">BN197+BQ197-BR197-BS197+BO197-BP197-BT197</f>
        <v>476741.689752137</v>
      </c>
      <c r="BV197" s="180" t="n">
        <f aca="false">BV196+BO197-BP197</f>
        <v>150000</v>
      </c>
      <c r="BW197" s="180" t="n">
        <f aca="false">BW196+BT197</f>
        <v>0</v>
      </c>
      <c r="BX197" s="180" t="n">
        <f aca="false">BU197+BW197-BV197</f>
        <v>326741.689752137</v>
      </c>
      <c r="BY197" s="180" t="n">
        <f aca="false">MAX(0,IFERROR(INDEX(TAB_IR,MATCH($C197,TAB_IR_DIAS,1),MATCH($F$8,TAB_IR_REGIMES,0)),0)*IF($F$26=2,BU197,MAX(0,BX197))-BW197)</f>
        <v>47674.1689752137</v>
      </c>
      <c r="BZ197" s="181" t="n">
        <f aca="false">MAX(0,BU197-BY197-BU197*$F$25)</f>
        <v>429067.520776924</v>
      </c>
      <c r="CA197" s="180" t="n">
        <f aca="false">BZ197/$D197</f>
        <v>275094.006726788</v>
      </c>
      <c r="CC197" s="180" t="n">
        <f aca="false">CJ196</f>
        <v>347470.885861133</v>
      </c>
      <c r="CD197" s="180" t="n">
        <f aca="false">IF($G$9=0,0,IF($A197&gt;IN_PRAZO,0,IF(APORTE_CORRIGIDO="Sim",IN_APORTE*$D197,IN_APORTE))+IF(AND($G$35=1,PGBL_REINVESTE="Sim",$A197&gt;=13,$A197&lt;=IN_PRAZO,MONTH($B197)=5),PGBL_BENEFICIO,0))</f>
        <v>0</v>
      </c>
      <c r="CE197" s="180" t="n">
        <f aca="false">CD197*$G$24</f>
        <v>0</v>
      </c>
      <c r="CF197" s="180" t="n">
        <f aca="false">CC197*$G$19</f>
        <v>2834.39835031637</v>
      </c>
      <c r="CG197" s="180" t="n">
        <f aca="false">CC197*$G$22</f>
        <v>289.559071550944</v>
      </c>
      <c r="CH197" s="180" t="n">
        <f aca="false">$G$23*MAX(0,CF197-CC197*$G$18)</f>
        <v>0</v>
      </c>
      <c r="CI197" s="180" t="n">
        <f aca="false">IF(AND($G$27=1,OR(MONTH($B197)=5,MONTH($B197)=11)),MAX(0,$G$28*MAX(0,(CC197+CF197-CG197-CH197+CD197-CE197)+CL196-CK197)-CL196),0)</f>
        <v>0</v>
      </c>
      <c r="CJ197" s="181" t="n">
        <f aca="false">CC197+CF197-CG197-CH197+CD197-CE197-CI197</f>
        <v>350015.725139898</v>
      </c>
      <c r="CK197" s="180" t="n">
        <f aca="false">CK196+CD197-CE197</f>
        <v>150000</v>
      </c>
      <c r="CL197" s="180" t="n">
        <f aca="false">CL196+CI197</f>
        <v>34847.8033872588</v>
      </c>
      <c r="CM197" s="180" t="n">
        <f aca="false">CJ197+CL197-CK197</f>
        <v>234863.528527157</v>
      </c>
      <c r="CN197" s="180" t="n">
        <f aca="false">MAX(0,IFERROR(INDEX(TAB_IR,MATCH($C197,TAB_IR_DIAS,1),MATCH($G$8,TAB_IR_REGIMES,0)),0)*IF($G$26=2,CJ197,MAX(0,CM197))-CL197)</f>
        <v>381.725891814815</v>
      </c>
      <c r="CO197" s="181" t="n">
        <f aca="false">MAX(0,CJ197-CN197-CJ197*$G$25)</f>
        <v>349633.999248084</v>
      </c>
      <c r="CP197" s="180" t="n">
        <f aca="false">CO197/$D197</f>
        <v>224165.692073141</v>
      </c>
    </row>
    <row r="198" customFormat="false" ht="12" hidden="false" customHeight="true" outlineLevel="0" collapsed="false">
      <c r="A198" s="177" t="n">
        <v>137</v>
      </c>
      <c r="B198" s="178" t="n">
        <f aca="false">EDATE(DATA_INICIO,$A198)</f>
        <v>50428</v>
      </c>
      <c r="C198" s="177" t="n">
        <f aca="false">$A198*30</f>
        <v>4110</v>
      </c>
      <c r="D198" s="179" t="n">
        <f aca="false">(1+IPCA_CENARIO)^($A198/12)</f>
        <v>1.5648184462865</v>
      </c>
      <c r="F198" s="180" t="n">
        <f aca="false">M197</f>
        <v>529838.158259225</v>
      </c>
      <c r="G198" s="180" t="n">
        <f aca="false">IF($B$9=0,0,IF($A198&gt;IN_PRAZO,0,IF(APORTE_CORRIGIDO="Sim",IN_APORTE*$D198,IN_APORTE))+IF(AND($B$35=1,PGBL_REINVESTE="Sim",$A198&gt;=13,$A198&lt;=IN_PRAZO,MONTH($B198)=5),PGBL_BENEFICIO,0))</f>
        <v>0</v>
      </c>
      <c r="H198" s="180" t="n">
        <f aca="false">G198*$B$24</f>
        <v>0</v>
      </c>
      <c r="I198" s="180" t="n">
        <f aca="false">F198*$B$19</f>
        <v>5027.52457256263</v>
      </c>
      <c r="J198" s="180" t="n">
        <f aca="false">F198*$B$22</f>
        <v>88.3063597098708</v>
      </c>
      <c r="K198" s="180" t="n">
        <f aca="false">$B$23*MAX(0,I198-F198*$B$18)</f>
        <v>0</v>
      </c>
      <c r="L198" s="180" t="n">
        <f aca="false">IF(AND($B$27=1,OR(MONTH($B198)=5,MONTH($B198)=11)),MAX(0,$B$28*MAX(0,(F198+I198-J198-K198+G198-H198)+O197-N198)-O197),0)</f>
        <v>0</v>
      </c>
      <c r="M198" s="181" t="n">
        <f aca="false">F198+I198-J198-K198+G198-H198-L198</f>
        <v>534777.376472078</v>
      </c>
      <c r="N198" s="180" t="n">
        <f aca="false">N197+G198-H198</f>
        <v>150000</v>
      </c>
      <c r="O198" s="180" t="n">
        <f aca="false">O197+L198</f>
        <v>0</v>
      </c>
      <c r="P198" s="180" t="n">
        <f aca="false">M198+O198-N198</f>
        <v>384777.376472078</v>
      </c>
      <c r="Q198" s="180" t="n">
        <f aca="false">MAX(0,IFERROR(INDEX(TAB_IR,MATCH($C198,TAB_IR_DIAS,1),MATCH($B$8,TAB_IR_REGIMES,0)),0)*IF($B$26=2,M198,MAX(0,P198))-O198)</f>
        <v>57716.6064708116</v>
      </c>
      <c r="R198" s="181" t="n">
        <f aca="false">MAX(0,M198-Q198-M198*$B$25)</f>
        <v>477060.770001266</v>
      </c>
      <c r="S198" s="180" t="n">
        <f aca="false">R198/$D198</f>
        <v>304866.53012903</v>
      </c>
      <c r="U198" s="180" t="n">
        <f aca="false">AB197</f>
        <v>442762.072920103</v>
      </c>
      <c r="V198" s="180" t="n">
        <f aca="false">IF($C$9=0,0,IF($A198&gt;IN_PRAZO,0,IF(APORTE_CORRIGIDO="Sim",IN_APORTE*$D198,IN_APORTE))+IF(AND($C$35=1,PGBL_REINVESTE="Sim",$A198&gt;=13,$A198&lt;=IN_PRAZO,MONTH($B198)=5),PGBL_BENEFICIO,0))</f>
        <v>0</v>
      </c>
      <c r="W198" s="180" t="n">
        <f aca="false">V198*$C$24</f>
        <v>0</v>
      </c>
      <c r="X198" s="180" t="n">
        <f aca="false">U198*$C$19</f>
        <v>3611.71004574162</v>
      </c>
      <c r="Y198" s="180" t="n">
        <f aca="false">U198*$C$22</f>
        <v>73.7936788200171</v>
      </c>
      <c r="Z198" s="180" t="n">
        <f aca="false">$C$23*MAX(0,X198-U198*$C$18)</f>
        <v>0</v>
      </c>
      <c r="AA198" s="180" t="n">
        <f aca="false">IF(AND($C$27=1,OR(MONTH($B198)=5,MONTH($B198)=11)),MAX(0,$C$28*MAX(0,(U198+X198-Y198-Z198+V198-W198)+AD197-AC198)-AD197),0)</f>
        <v>0</v>
      </c>
      <c r="AB198" s="181" t="n">
        <f aca="false">U198+X198-Y198-Z198+V198-W198-AA198</f>
        <v>446299.989287024</v>
      </c>
      <c r="AC198" s="180" t="n">
        <f aca="false">AC197+V198-W198</f>
        <v>150000</v>
      </c>
      <c r="AD198" s="180" t="n">
        <f aca="false">AD197+AA198</f>
        <v>0</v>
      </c>
      <c r="AE198" s="180" t="n">
        <f aca="false">AB198+AD198-AC198</f>
        <v>296299.989287024</v>
      </c>
      <c r="AF198" s="180" t="n">
        <f aca="false">MAX(0,IFERROR(INDEX(TAB_IR,MATCH($C198,TAB_IR_DIAS,1),MATCH($C$8,TAB_IR_REGIMES,0)),0)*IF($C$26=2,AB198,MAX(0,AE198))-AD198)</f>
        <v>44444.9983930536</v>
      </c>
      <c r="AG198" s="181" t="n">
        <f aca="false">MAX(0,AB198-AF198-AB198*$C$25)</f>
        <v>401854.990893971</v>
      </c>
      <c r="AH198" s="180" t="n">
        <f aca="false">AG198/$D198</f>
        <v>256806.143771899</v>
      </c>
      <c r="AJ198" s="180" t="n">
        <f aca="false">AQ197</f>
        <v>385338.050866333</v>
      </c>
      <c r="AK198" s="180" t="n">
        <f aca="false">IF($D$9=0,0,IF($A198&gt;IN_PRAZO,0,IF(APORTE_CORRIGIDO="Sim",IN_APORTE*$D198,IN_APORTE))+IF(AND($D$35=1,PGBL_REINVESTE="Sim",$A198&gt;=13,$A198&lt;=IN_PRAZO,MONTH($B198)=5),PGBL_BENEFICIO,0))</f>
        <v>0</v>
      </c>
      <c r="AL198" s="180" t="n">
        <f aca="false">AK198*$D$24</f>
        <v>0</v>
      </c>
      <c r="AM198" s="180" t="n">
        <f aca="false">AJ198*$D$19</f>
        <v>3463.68700090004</v>
      </c>
      <c r="AN198" s="180" t="n">
        <f aca="false">AJ198*$D$22</f>
        <v>321.11504238861</v>
      </c>
      <c r="AO198" s="180" t="n">
        <f aca="false">$D$23*MAX(0,AM198-AJ198*$D$18)</f>
        <v>0</v>
      </c>
      <c r="AP198" s="180" t="n">
        <f aca="false">IF(AND($D$27=1,OR(MONTH($B198)=5,MONTH($B198)=11)),MAX(0,$D$28*MAX(0,(AJ198+AM198-AN198-AO198+AK198-AL198)+AS197-AR198)-AS197),0)</f>
        <v>0</v>
      </c>
      <c r="AQ198" s="181" t="n">
        <f aca="false">AJ198+AM198-AN198-AO198+AK198-AL198-AP198</f>
        <v>388480.622824844</v>
      </c>
      <c r="AR198" s="180" t="n">
        <f aca="false">AR197+AK198-AL198</f>
        <v>150000</v>
      </c>
      <c r="AS198" s="180" t="n">
        <f aca="false">AS197+AP198</f>
        <v>40980.1588947534</v>
      </c>
      <c r="AT198" s="180" t="n">
        <f aca="false">AQ198+AS198-AR198</f>
        <v>279460.781719597</v>
      </c>
      <c r="AU198" s="180" t="n">
        <f aca="false">MAX(0,IFERROR(INDEX(TAB_IR,MATCH($C198,TAB_IR_DIAS,1),MATCH($D$8,TAB_IR_REGIMES,0)),0)*IF($D$26=2,AQ198,MAX(0,AT198))-AS198)</f>
        <v>938.958363186175</v>
      </c>
      <c r="AV198" s="181" t="n">
        <f aca="false">MAX(0,AQ198-AU198-AQ198*$D$25)</f>
        <v>387541.664461658</v>
      </c>
      <c r="AW198" s="180" t="n">
        <f aca="false">AV198/$D198</f>
        <v>247659.187160874</v>
      </c>
      <c r="AY198" s="180" t="n">
        <f aca="false">BF197</f>
        <v>476741.689752137</v>
      </c>
      <c r="AZ198" s="180" t="n">
        <f aca="false">IF($E$9=0,0,IF($A198&gt;IN_PRAZO,0,IF(APORTE_CORRIGIDO="Sim",IN_APORTE*$D198,IN_APORTE))+IF(AND($E$35=1,PGBL_REINVESTE="Sim",$A198&gt;=13,$A198&lt;=IN_PRAZO,MONTH($B198)=5),PGBL_BENEFICIO,0))</f>
        <v>0</v>
      </c>
      <c r="BA198" s="180" t="n">
        <f aca="false">AZ198*$E$24</f>
        <v>0</v>
      </c>
      <c r="BB198" s="180" t="n">
        <f aca="false">AY198*$E$19</f>
        <v>4666.70299882176</v>
      </c>
      <c r="BC198" s="180" t="n">
        <f aca="false">AY198*$E$22</f>
        <v>595.927112190172</v>
      </c>
      <c r="BD198" s="180" t="n">
        <f aca="false">$E$23*MAX(0,BB198-AY198*$E$18)</f>
        <v>0</v>
      </c>
      <c r="BE198" s="180" t="n">
        <f aca="false">IF(AND($E$27=1,OR(MONTH($B198)=5,MONTH($B198)=11)),MAX(0,$E$28*MAX(0,(AY198+BB198-BC198-BD198+AZ198-BA198)+BH197-BG198)-BH197),0)</f>
        <v>0</v>
      </c>
      <c r="BF198" s="181" t="n">
        <f aca="false">AY198+BB198-BC198-BD198+AZ198-BA198-BE198</f>
        <v>480812.465638769</v>
      </c>
      <c r="BG198" s="180" t="n">
        <f aca="false">BG197+AZ198-BA198</f>
        <v>150000</v>
      </c>
      <c r="BH198" s="180" t="n">
        <f aca="false">BH197+BE198</f>
        <v>0</v>
      </c>
      <c r="BI198" s="180" t="n">
        <f aca="false">BF198+BH198-BG198</f>
        <v>330812.465638769</v>
      </c>
      <c r="BJ198" s="180" t="n">
        <f aca="false">MAX(0,IFERROR(INDEX(TAB_IR,MATCH($C198,TAB_IR_DIAS,1),MATCH($E$8,TAB_IR_REGIMES,0)),0)*IF($E$26=2,BF198,MAX(0,BI198))-BH198)</f>
        <v>33081.2465638769</v>
      </c>
      <c r="BK198" s="181" t="n">
        <f aca="false">MAX(0,BF198-BJ198-BF198*$E$25)</f>
        <v>447731.219074892</v>
      </c>
      <c r="BL198" s="180" t="n">
        <f aca="false">BK198/$D198</f>
        <v>286123.428655516</v>
      </c>
      <c r="BN198" s="180" t="n">
        <f aca="false">BU197</f>
        <v>476741.689752137</v>
      </c>
      <c r="BO198" s="180" t="n">
        <f aca="false">IF($F$9=0,0,IF($A198&gt;IN_PRAZO,0,IF(APORTE_CORRIGIDO="Sim",IN_APORTE*$D198,IN_APORTE))+IF(AND($F$35=1,PGBL_REINVESTE="Sim",$A198&gt;=13,$A198&lt;=IN_PRAZO,MONTH($B198)=5),PGBL_BENEFICIO,0))</f>
        <v>0</v>
      </c>
      <c r="BP198" s="180" t="n">
        <f aca="false">BO198*$F$24</f>
        <v>0</v>
      </c>
      <c r="BQ198" s="180" t="n">
        <f aca="false">BN198*$F$19</f>
        <v>4666.70299882176</v>
      </c>
      <c r="BR198" s="180" t="n">
        <f aca="false">BN198*$F$22</f>
        <v>595.927112190172</v>
      </c>
      <c r="BS198" s="180" t="n">
        <f aca="false">$F$23*MAX(0,BQ198-BN198*$F$18)</f>
        <v>0</v>
      </c>
      <c r="BT198" s="180" t="n">
        <f aca="false">IF(AND($F$27=1,OR(MONTH($B198)=5,MONTH($B198)=11)),MAX(0,$F$28*MAX(0,(BN198+BQ198-BR198-BS198+BO198-BP198)+BW197-BV198)-BW197),0)</f>
        <v>0</v>
      </c>
      <c r="BU198" s="181" t="n">
        <f aca="false">BN198+BQ198-BR198-BS198+BO198-BP198-BT198</f>
        <v>480812.465638769</v>
      </c>
      <c r="BV198" s="180" t="n">
        <f aca="false">BV197+BO198-BP198</f>
        <v>150000</v>
      </c>
      <c r="BW198" s="180" t="n">
        <f aca="false">BW197+BT198</f>
        <v>0</v>
      </c>
      <c r="BX198" s="180" t="n">
        <f aca="false">BU198+BW198-BV198</f>
        <v>330812.465638769</v>
      </c>
      <c r="BY198" s="180" t="n">
        <f aca="false">MAX(0,IFERROR(INDEX(TAB_IR,MATCH($C198,TAB_IR_DIAS,1),MATCH($F$8,TAB_IR_REGIMES,0)),0)*IF($F$26=2,BU198,MAX(0,BX198))-BW198)</f>
        <v>48081.2465638769</v>
      </c>
      <c r="BZ198" s="181" t="n">
        <f aca="false">MAX(0,BU198-BY198-BU198*$F$25)</f>
        <v>432731.219074892</v>
      </c>
      <c r="CA198" s="180" t="n">
        <f aca="false">BZ198/$D198</f>
        <v>276537.652084696</v>
      </c>
      <c r="CC198" s="180" t="n">
        <f aca="false">CJ197</f>
        <v>350015.725139898</v>
      </c>
      <c r="CD198" s="180" t="n">
        <f aca="false">IF($G$9=0,0,IF($A198&gt;IN_PRAZO,0,IF(APORTE_CORRIGIDO="Sim",IN_APORTE*$D198,IN_APORTE))+IF(AND($G$35=1,PGBL_REINVESTE="Sim",$A198&gt;=13,$A198&lt;=IN_PRAZO,MONTH($B198)=5),PGBL_BENEFICIO,0))</f>
        <v>0</v>
      </c>
      <c r="CE198" s="180" t="n">
        <f aca="false">CD198*$G$24</f>
        <v>0</v>
      </c>
      <c r="CF198" s="180" t="n">
        <f aca="false">CC198*$G$19</f>
        <v>2855.15717802556</v>
      </c>
      <c r="CG198" s="180" t="n">
        <f aca="false">CC198*$G$22</f>
        <v>291.679770949915</v>
      </c>
      <c r="CH198" s="180" t="n">
        <f aca="false">$G$23*MAX(0,CF198-CC198*$G$18)</f>
        <v>0</v>
      </c>
      <c r="CI198" s="180" t="n">
        <f aca="false">IF(AND($G$27=1,OR(MONTH($B198)=5,MONTH($B198)=11)),MAX(0,$G$28*MAX(0,(CC198+CF198-CG198-CH198+CD198-CE198)+CL197-CK198)-CL197),0)</f>
        <v>0</v>
      </c>
      <c r="CJ198" s="181" t="n">
        <f aca="false">CC198+CF198-CG198-CH198+CD198-CE198-CI198</f>
        <v>352579.202546974</v>
      </c>
      <c r="CK198" s="180" t="n">
        <f aca="false">CK197+CD198-CE198</f>
        <v>150000</v>
      </c>
      <c r="CL198" s="180" t="n">
        <f aca="false">CL197+CI198</f>
        <v>34847.8033872588</v>
      </c>
      <c r="CM198" s="180" t="n">
        <f aca="false">CJ198+CL198-CK198</f>
        <v>237427.005934233</v>
      </c>
      <c r="CN198" s="180" t="n">
        <f aca="false">MAX(0,IFERROR(INDEX(TAB_IR,MATCH($C198,TAB_IR_DIAS,1),MATCH($G$8,TAB_IR_REGIMES,0)),0)*IF($G$26=2,CJ198,MAX(0,CM198))-CL198)</f>
        <v>766.247502876162</v>
      </c>
      <c r="CO198" s="181" t="n">
        <f aca="false">MAX(0,CJ198-CN198-CJ198*$G$25)</f>
        <v>351812.955044098</v>
      </c>
      <c r="CP198" s="180" t="n">
        <f aca="false">CO198/$D198</f>
        <v>224826.692118176</v>
      </c>
    </row>
    <row r="199" customFormat="false" ht="12" hidden="false" customHeight="true" outlineLevel="0" collapsed="false">
      <c r="A199" s="177" t="n">
        <v>138</v>
      </c>
      <c r="B199" s="178" t="n">
        <f aca="false">EDATE(DATA_INICIO,$A199)</f>
        <v>50459</v>
      </c>
      <c r="C199" s="177" t="n">
        <f aca="false">$A199*30</f>
        <v>4140</v>
      </c>
      <c r="D199" s="179" t="n">
        <f aca="false">(1+IPCA_CENARIO)^($A199/12)</f>
        <v>1.56994125468603</v>
      </c>
      <c r="F199" s="180" t="n">
        <f aca="false">M198</f>
        <v>534777.376472078</v>
      </c>
      <c r="G199" s="180" t="n">
        <f aca="false">IF($B$9=0,0,IF($A199&gt;IN_PRAZO,0,IF(APORTE_CORRIGIDO="Sim",IN_APORTE*$D199,IN_APORTE))+IF(AND($B$35=1,PGBL_REINVESTE="Sim",$A199&gt;=13,$A199&lt;=IN_PRAZO,MONTH($B199)=5),PGBL_BENEFICIO,0))</f>
        <v>0</v>
      </c>
      <c r="H199" s="180" t="n">
        <f aca="false">G199*$B$24</f>
        <v>0</v>
      </c>
      <c r="I199" s="180" t="n">
        <f aca="false">F199*$B$19</f>
        <v>5074.39179144311</v>
      </c>
      <c r="J199" s="180" t="n">
        <f aca="false">F199*$B$22</f>
        <v>89.1295627453463</v>
      </c>
      <c r="K199" s="180" t="n">
        <f aca="false">$B$23*MAX(0,I199-F199*$B$18)</f>
        <v>0</v>
      </c>
      <c r="L199" s="180" t="n">
        <f aca="false">IF(AND($B$27=1,OR(MONTH($B199)=5,MONTH($B199)=11)),MAX(0,$B$28*MAX(0,(F199+I199-J199-K199+G199-H199)+O198-N199)-O198),0)</f>
        <v>0</v>
      </c>
      <c r="M199" s="181" t="n">
        <f aca="false">F199+I199-J199-K199+G199-H199-L199</f>
        <v>539762.638700775</v>
      </c>
      <c r="N199" s="180" t="n">
        <f aca="false">N198+G199-H199</f>
        <v>150000</v>
      </c>
      <c r="O199" s="180" t="n">
        <f aca="false">O198+L199</f>
        <v>0</v>
      </c>
      <c r="P199" s="180" t="n">
        <f aca="false">M199+O199-N199</f>
        <v>389762.638700775</v>
      </c>
      <c r="Q199" s="180" t="n">
        <f aca="false">MAX(0,IFERROR(INDEX(TAB_IR,MATCH($C199,TAB_IR_DIAS,1),MATCH($B$8,TAB_IR_REGIMES,0)),0)*IF($B$26=2,M199,MAX(0,P199))-O199)</f>
        <v>58464.3958051163</v>
      </c>
      <c r="R199" s="181" t="n">
        <f aca="false">MAX(0,M199-Q199-M199*$B$25)</f>
        <v>481298.242895659</v>
      </c>
      <c r="S199" s="180" t="n">
        <f aca="false">R199/$D199</f>
        <v>306570.861463165</v>
      </c>
      <c r="U199" s="180" t="n">
        <f aca="false">AB198</f>
        <v>446299.989287024</v>
      </c>
      <c r="V199" s="180" t="n">
        <f aca="false">IF($C$9=0,0,IF($A199&gt;IN_PRAZO,0,IF(APORTE_CORRIGIDO="Sim",IN_APORTE*$D199,IN_APORTE))+IF(AND($C$35=1,PGBL_REINVESTE="Sim",$A199&gt;=13,$A199&lt;=IN_PRAZO,MONTH($B199)=5),PGBL_BENEFICIO,0))</f>
        <v>0</v>
      </c>
      <c r="W199" s="180" t="n">
        <f aca="false">V199*$C$24</f>
        <v>0</v>
      </c>
      <c r="X199" s="180" t="n">
        <f aca="false">U199*$C$19</f>
        <v>3640.56962713966</v>
      </c>
      <c r="Y199" s="180" t="n">
        <f aca="false">U199*$C$22</f>
        <v>74.3833315478374</v>
      </c>
      <c r="Z199" s="180" t="n">
        <f aca="false">$C$23*MAX(0,X199-U199*$C$18)</f>
        <v>0</v>
      </c>
      <c r="AA199" s="180" t="n">
        <f aca="false">IF(AND($C$27=1,OR(MONTH($B199)=5,MONTH($B199)=11)),MAX(0,$C$28*MAX(0,(U199+X199-Y199-Z199+V199-W199)+AD198-AC199)-AD198),0)</f>
        <v>0</v>
      </c>
      <c r="AB199" s="181" t="n">
        <f aca="false">U199+X199-Y199-Z199+V199-W199-AA199</f>
        <v>449866.175582616</v>
      </c>
      <c r="AC199" s="180" t="n">
        <f aca="false">AC198+V199-W199</f>
        <v>150000</v>
      </c>
      <c r="AD199" s="180" t="n">
        <f aca="false">AD198+AA199</f>
        <v>0</v>
      </c>
      <c r="AE199" s="180" t="n">
        <f aca="false">AB199+AD199-AC199</f>
        <v>299866.175582616</v>
      </c>
      <c r="AF199" s="180" t="n">
        <f aca="false">MAX(0,IFERROR(INDEX(TAB_IR,MATCH($C199,TAB_IR_DIAS,1),MATCH($C$8,TAB_IR_REGIMES,0)),0)*IF($C$26=2,AB199,MAX(0,AE199))-AD199)</f>
        <v>44979.9263373924</v>
      </c>
      <c r="AG199" s="181" t="n">
        <f aca="false">MAX(0,AB199-AF199-AB199*$C$25)</f>
        <v>404886.249245224</v>
      </c>
      <c r="AH199" s="180" t="n">
        <f aca="false">AG199/$D199</f>
        <v>257898.980638098</v>
      </c>
      <c r="AJ199" s="180" t="n">
        <f aca="false">AQ198</f>
        <v>388480.622824844</v>
      </c>
      <c r="AK199" s="180" t="n">
        <f aca="false">IF($D$9=0,0,IF($A199&gt;IN_PRAZO,0,IF(APORTE_CORRIGIDO="Sim",IN_APORTE*$D199,IN_APORTE))+IF(AND($D$35=1,PGBL_REINVESTE="Sim",$A199&gt;=13,$A199&lt;=IN_PRAZO,MONTH($B199)=5),PGBL_BENEFICIO,0))</f>
        <v>0</v>
      </c>
      <c r="AL199" s="180" t="n">
        <f aca="false">AK199*$D$24</f>
        <v>0</v>
      </c>
      <c r="AM199" s="180" t="n">
        <f aca="false">AJ199*$D$19</f>
        <v>3491.9346281915</v>
      </c>
      <c r="AN199" s="180" t="n">
        <f aca="false">AJ199*$D$22</f>
        <v>323.733852354037</v>
      </c>
      <c r="AO199" s="180" t="n">
        <f aca="false">$D$23*MAX(0,AM199-AJ199*$D$18)</f>
        <v>0</v>
      </c>
      <c r="AP199" s="180" t="n">
        <f aca="false">IF(AND($D$27=1,OR(MONTH($B199)=5,MONTH($B199)=11)),MAX(0,$D$28*MAX(0,(AJ199+AM199-AN199-AO199+AK199-AL199)+AS198-AR199)-AS198),0)</f>
        <v>0</v>
      </c>
      <c r="AQ199" s="181" t="n">
        <f aca="false">AJ199+AM199-AN199-AO199+AK199-AL199-AP199</f>
        <v>391648.823600681</v>
      </c>
      <c r="AR199" s="180" t="n">
        <f aca="false">AR198+AK199-AL199</f>
        <v>150000</v>
      </c>
      <c r="AS199" s="180" t="n">
        <f aca="false">AS198+AP199</f>
        <v>40980.1588947534</v>
      </c>
      <c r="AT199" s="180" t="n">
        <f aca="false">AQ199+AS199-AR199</f>
        <v>282628.982495435</v>
      </c>
      <c r="AU199" s="180" t="n">
        <f aca="false">MAX(0,IFERROR(INDEX(TAB_IR,MATCH($C199,TAB_IR_DIAS,1),MATCH($D$8,TAB_IR_REGIMES,0)),0)*IF($D$26=2,AQ199,MAX(0,AT199))-AS199)</f>
        <v>1414.1884795618</v>
      </c>
      <c r="AV199" s="181" t="n">
        <f aca="false">MAX(0,AQ199-AU199-AQ199*$D$25)</f>
        <v>390234.63512112</v>
      </c>
      <c r="AW199" s="180" t="n">
        <f aca="false">AV199/$D199</f>
        <v>248566.393141355</v>
      </c>
      <c r="AY199" s="180" t="n">
        <f aca="false">BF198</f>
        <v>480812.465638769</v>
      </c>
      <c r="AZ199" s="180" t="n">
        <f aca="false">IF($E$9=0,0,IF($A199&gt;IN_PRAZO,0,IF(APORTE_CORRIGIDO="Sim",IN_APORTE*$D199,IN_APORTE))+IF(AND($E$35=1,PGBL_REINVESTE="Sim",$A199&gt;=13,$A199&lt;=IN_PRAZO,MONTH($B199)=5),PGBL_BENEFICIO,0))</f>
        <v>0</v>
      </c>
      <c r="BA199" s="180" t="n">
        <f aca="false">AZ199*$E$24</f>
        <v>0</v>
      </c>
      <c r="BB199" s="180" t="n">
        <f aca="false">AY199*$E$19</f>
        <v>4706.55078735385</v>
      </c>
      <c r="BC199" s="180" t="n">
        <f aca="false">AY199*$E$22</f>
        <v>601.015582048461</v>
      </c>
      <c r="BD199" s="180" t="n">
        <f aca="false">$E$23*MAX(0,BB199-AY199*$E$18)</f>
        <v>0</v>
      </c>
      <c r="BE199" s="180" t="n">
        <f aca="false">IF(AND($E$27=1,OR(MONTH($B199)=5,MONTH($B199)=11)),MAX(0,$E$28*MAX(0,(AY199+BB199-BC199-BD199+AZ199-BA199)+BH198-BG199)-BH198),0)</f>
        <v>0</v>
      </c>
      <c r="BF199" s="181" t="n">
        <f aca="false">AY199+BB199-BC199-BD199+AZ199-BA199-BE199</f>
        <v>484918.000844074</v>
      </c>
      <c r="BG199" s="180" t="n">
        <f aca="false">BG198+AZ199-BA199</f>
        <v>150000</v>
      </c>
      <c r="BH199" s="180" t="n">
        <f aca="false">BH198+BE199</f>
        <v>0</v>
      </c>
      <c r="BI199" s="180" t="n">
        <f aca="false">BF199+BH199-BG199</f>
        <v>334918.000844074</v>
      </c>
      <c r="BJ199" s="180" t="n">
        <f aca="false">MAX(0,IFERROR(INDEX(TAB_IR,MATCH($C199,TAB_IR_DIAS,1),MATCH($E$8,TAB_IR_REGIMES,0)),0)*IF($E$26=2,BF199,MAX(0,BI199))-BH199)</f>
        <v>33491.8000844074</v>
      </c>
      <c r="BK199" s="181" t="n">
        <f aca="false">MAX(0,BF199-BJ199-BF199*$E$25)</f>
        <v>451426.200759667</v>
      </c>
      <c r="BL199" s="180" t="n">
        <f aca="false">BK199/$D199</f>
        <v>287543.371073427</v>
      </c>
      <c r="BN199" s="180" t="n">
        <f aca="false">BU198</f>
        <v>480812.465638769</v>
      </c>
      <c r="BO199" s="180" t="n">
        <f aca="false">IF($F$9=0,0,IF($A199&gt;IN_PRAZO,0,IF(APORTE_CORRIGIDO="Sim",IN_APORTE*$D199,IN_APORTE))+IF(AND($F$35=1,PGBL_REINVESTE="Sim",$A199&gt;=13,$A199&lt;=IN_PRAZO,MONTH($B199)=5),PGBL_BENEFICIO,0))</f>
        <v>0</v>
      </c>
      <c r="BP199" s="180" t="n">
        <f aca="false">BO199*$F$24</f>
        <v>0</v>
      </c>
      <c r="BQ199" s="180" t="n">
        <f aca="false">BN199*$F$19</f>
        <v>4706.55078735385</v>
      </c>
      <c r="BR199" s="180" t="n">
        <f aca="false">BN199*$F$22</f>
        <v>601.015582048461</v>
      </c>
      <c r="BS199" s="180" t="n">
        <f aca="false">$F$23*MAX(0,BQ199-BN199*$F$18)</f>
        <v>0</v>
      </c>
      <c r="BT199" s="180" t="n">
        <f aca="false">IF(AND($F$27=1,OR(MONTH($B199)=5,MONTH($B199)=11)),MAX(0,$F$28*MAX(0,(BN199+BQ199-BR199-BS199+BO199-BP199)+BW198-BV199)-BW198),0)</f>
        <v>0</v>
      </c>
      <c r="BU199" s="181" t="n">
        <f aca="false">BN199+BQ199-BR199-BS199+BO199-BP199-BT199</f>
        <v>484918.000844074</v>
      </c>
      <c r="BV199" s="180" t="n">
        <f aca="false">BV198+BO199-BP199</f>
        <v>150000</v>
      </c>
      <c r="BW199" s="180" t="n">
        <f aca="false">BW198+BT199</f>
        <v>0</v>
      </c>
      <c r="BX199" s="180" t="n">
        <f aca="false">BU199+BW199-BV199</f>
        <v>334918.000844074</v>
      </c>
      <c r="BY199" s="180" t="n">
        <f aca="false">MAX(0,IFERROR(INDEX(TAB_IR,MATCH($C199,TAB_IR_DIAS,1),MATCH($F$8,TAB_IR_REGIMES,0)),0)*IF($F$26=2,BU199,MAX(0,BX199))-BW199)</f>
        <v>48491.8000844074</v>
      </c>
      <c r="BZ199" s="181" t="n">
        <f aca="false">MAX(0,BU199-BY199-BU199*$F$25)</f>
        <v>436426.200759667</v>
      </c>
      <c r="CA199" s="180" t="n">
        <f aca="false">BZ199/$D199</f>
        <v>277988.873441603</v>
      </c>
      <c r="CC199" s="180" t="n">
        <f aca="false">CJ198</f>
        <v>352579.202546974</v>
      </c>
      <c r="CD199" s="180" t="n">
        <f aca="false">IF($G$9=0,0,IF($A199&gt;IN_PRAZO,0,IF(APORTE_CORRIGIDO="Sim",IN_APORTE*$D199,IN_APORTE))+IF(AND($G$35=1,PGBL_REINVESTE="Sim",$A199&gt;=13,$A199&lt;=IN_PRAZO,MONTH($B199)=5),PGBL_BENEFICIO,0))</f>
        <v>0</v>
      </c>
      <c r="CE199" s="180" t="n">
        <f aca="false">CD199*$G$24</f>
        <v>0</v>
      </c>
      <c r="CF199" s="180" t="n">
        <f aca="false">CC199*$G$19</f>
        <v>2876.06804114919</v>
      </c>
      <c r="CG199" s="180" t="n">
        <f aca="false">CC199*$G$22</f>
        <v>293.816002122478</v>
      </c>
      <c r="CH199" s="180" t="n">
        <f aca="false">$G$23*MAX(0,CF199-CC199*$G$18)</f>
        <v>0</v>
      </c>
      <c r="CI199" s="180" t="n">
        <f aca="false">IF(AND($G$27=1,OR(MONTH($B199)=5,MONTH($B199)=11)),MAX(0,$G$28*MAX(0,(CC199+CF199-CG199-CH199+CD199-CE199)+CL198-CK199)-CL198),0)</f>
        <v>0</v>
      </c>
      <c r="CJ199" s="181" t="n">
        <f aca="false">CC199+CF199-CG199-CH199+CD199-CE199-CI199</f>
        <v>355161.454586001</v>
      </c>
      <c r="CK199" s="180" t="n">
        <f aca="false">CK198+CD199-CE199</f>
        <v>150000</v>
      </c>
      <c r="CL199" s="180" t="n">
        <f aca="false">CL198+CI199</f>
        <v>34847.8033872588</v>
      </c>
      <c r="CM199" s="180" t="n">
        <f aca="false">CJ199+CL199-CK199</f>
        <v>240009.257973259</v>
      </c>
      <c r="CN199" s="180" t="n">
        <f aca="false">MAX(0,IFERROR(INDEX(TAB_IR,MATCH($C199,TAB_IR_DIAS,1),MATCH($G$8,TAB_IR_REGIMES,0)),0)*IF($G$26=2,CJ199,MAX(0,CM199))-CL199)</f>
        <v>1153.58530873017</v>
      </c>
      <c r="CO199" s="181" t="n">
        <f aca="false">MAX(0,CJ199-CN199-CJ199*$G$25)</f>
        <v>354007.869277271</v>
      </c>
      <c r="CP199" s="180" t="n">
        <f aca="false">CO199/$D199</f>
        <v>225491.156577109</v>
      </c>
    </row>
    <row r="200" customFormat="false" ht="12" hidden="false" customHeight="true" outlineLevel="0" collapsed="false">
      <c r="A200" s="177" t="n">
        <v>139</v>
      </c>
      <c r="B200" s="178" t="n">
        <f aca="false">EDATE(DATA_INICIO,$A200)</f>
        <v>50487</v>
      </c>
      <c r="C200" s="177" t="n">
        <f aca="false">$A200*30</f>
        <v>4170</v>
      </c>
      <c r="D200" s="179" t="n">
        <f aca="false">(1+IPCA_CENARIO)^($A200/12)</f>
        <v>1.57508083382721</v>
      </c>
      <c r="F200" s="180" t="n">
        <f aca="false">M199</f>
        <v>539762.638700775</v>
      </c>
      <c r="G200" s="180" t="n">
        <f aca="false">IF($B$9=0,0,IF($A200&gt;IN_PRAZO,0,IF(APORTE_CORRIGIDO="Sim",IN_APORTE*$D200,IN_APORTE))+IF(AND($B$35=1,PGBL_REINVESTE="Sim",$A200&gt;=13,$A200&lt;=IN_PRAZO,MONTH($B200)=5),PGBL_BENEFICIO,0))</f>
        <v>0</v>
      </c>
      <c r="H200" s="180" t="n">
        <f aca="false">G200*$B$24</f>
        <v>0</v>
      </c>
      <c r="I200" s="180" t="n">
        <f aca="false">F200*$B$19</f>
        <v>5121.69591245582</v>
      </c>
      <c r="J200" s="180" t="n">
        <f aca="false">F200*$B$22</f>
        <v>89.9604397834626</v>
      </c>
      <c r="K200" s="180" t="n">
        <f aca="false">$B$23*MAX(0,I200-F200*$B$18)</f>
        <v>0</v>
      </c>
      <c r="L200" s="180" t="n">
        <f aca="false">IF(AND($B$27=1,OR(MONTH($B200)=5,MONTH($B200)=11)),MAX(0,$B$28*MAX(0,(F200+I200-J200-K200+G200-H200)+O199-N200)-O199),0)</f>
        <v>0</v>
      </c>
      <c r="M200" s="181" t="n">
        <f aca="false">F200+I200-J200-K200+G200-H200-L200</f>
        <v>544794.374173448</v>
      </c>
      <c r="N200" s="180" t="n">
        <f aca="false">N199+G200-H200</f>
        <v>150000</v>
      </c>
      <c r="O200" s="180" t="n">
        <f aca="false">O199+L200</f>
        <v>0</v>
      </c>
      <c r="P200" s="180" t="n">
        <f aca="false">M200+O200-N200</f>
        <v>394794.374173448</v>
      </c>
      <c r="Q200" s="180" t="n">
        <f aca="false">MAX(0,IFERROR(INDEX(TAB_IR,MATCH($C200,TAB_IR_DIAS,1),MATCH($B$8,TAB_IR_REGIMES,0)),0)*IF($B$26=2,M200,MAX(0,P200))-O200)</f>
        <v>59219.1561260172</v>
      </c>
      <c r="R200" s="181" t="n">
        <f aca="false">MAX(0,M200-Q200-M200*$B$25)</f>
        <v>485575.218047431</v>
      </c>
      <c r="S200" s="180" t="n">
        <f aca="false">R200/$D200</f>
        <v>308285.903566965</v>
      </c>
      <c r="U200" s="180" t="n">
        <f aca="false">AB199</f>
        <v>449866.175582616</v>
      </c>
      <c r="V200" s="180" t="n">
        <f aca="false">IF($C$9=0,0,IF($A200&gt;IN_PRAZO,0,IF(APORTE_CORRIGIDO="Sim",IN_APORTE*$D200,IN_APORTE))+IF(AND($C$35=1,PGBL_REINVESTE="Sim",$A200&gt;=13,$A200&lt;=IN_PRAZO,MONTH($B200)=5),PGBL_BENEFICIO,0))</f>
        <v>0</v>
      </c>
      <c r="W200" s="180" t="n">
        <f aca="false">V200*$C$24</f>
        <v>0</v>
      </c>
      <c r="X200" s="180" t="n">
        <f aca="false">U200*$C$19</f>
        <v>3669.65981271908</v>
      </c>
      <c r="Y200" s="180" t="n">
        <f aca="false">U200*$C$22</f>
        <v>74.977695930436</v>
      </c>
      <c r="Z200" s="180" t="n">
        <f aca="false">$C$23*MAX(0,X200-U200*$C$18)</f>
        <v>0</v>
      </c>
      <c r="AA200" s="180" t="n">
        <f aca="false">IF(AND($C$27=1,OR(MONTH($B200)=5,MONTH($B200)=11)),MAX(0,$C$28*MAX(0,(U200+X200-Y200-Z200+V200-W200)+AD199-AC200)-AD199),0)</f>
        <v>0</v>
      </c>
      <c r="AB200" s="181" t="n">
        <f aca="false">U200+X200-Y200-Z200+V200-W200-AA200</f>
        <v>453460.857699405</v>
      </c>
      <c r="AC200" s="180" t="n">
        <f aca="false">AC199+V200-W200</f>
        <v>150000</v>
      </c>
      <c r="AD200" s="180" t="n">
        <f aca="false">AD199+AA200</f>
        <v>0</v>
      </c>
      <c r="AE200" s="180" t="n">
        <f aca="false">AB200+AD200-AC200</f>
        <v>303460.857699405</v>
      </c>
      <c r="AF200" s="180" t="n">
        <f aca="false">MAX(0,IFERROR(INDEX(TAB_IR,MATCH($C200,TAB_IR_DIAS,1),MATCH($C$8,TAB_IR_REGIMES,0)),0)*IF($C$26=2,AB200,MAX(0,AE200))-AD200)</f>
        <v>45519.1286549107</v>
      </c>
      <c r="AG200" s="181" t="n">
        <f aca="false">MAX(0,AB200-AF200-AB200*$C$25)</f>
        <v>407941.729044494</v>
      </c>
      <c r="AH200" s="180" t="n">
        <f aca="false">AG200/$D200</f>
        <v>258997.329078824</v>
      </c>
      <c r="AJ200" s="180" t="n">
        <f aca="false">AQ199</f>
        <v>391648.823600681</v>
      </c>
      <c r="AK200" s="180" t="n">
        <f aca="false">IF($D$9=0,0,IF($A200&gt;IN_PRAZO,0,IF(APORTE_CORRIGIDO="Sim",IN_APORTE*$D200,IN_APORTE))+IF(AND($D$35=1,PGBL_REINVESTE="Sim",$A200&gt;=13,$A200&lt;=IN_PRAZO,MONTH($B200)=5),PGBL_BENEFICIO,0))</f>
        <v>0</v>
      </c>
      <c r="AL200" s="180" t="n">
        <f aca="false">AK200*$D$24</f>
        <v>0</v>
      </c>
      <c r="AM200" s="180" t="n">
        <f aca="false">AJ200*$D$19</f>
        <v>3520.41262515764</v>
      </c>
      <c r="AN200" s="180" t="n">
        <f aca="false">AJ200*$D$22</f>
        <v>326.374019667235</v>
      </c>
      <c r="AO200" s="180" t="n">
        <f aca="false">$D$23*MAX(0,AM200-AJ200*$D$18)</f>
        <v>0</v>
      </c>
      <c r="AP200" s="180" t="n">
        <f aca="false">IF(AND($D$27=1,OR(MONTH($B200)=5,MONTH($B200)=11)),MAX(0,$D$28*MAX(0,(AJ200+AM200-AN200-AO200+AK200-AL200)+AS199-AR200)-AS199),0)</f>
        <v>0</v>
      </c>
      <c r="AQ200" s="181" t="n">
        <f aca="false">AJ200+AM200-AN200-AO200+AK200-AL200-AP200</f>
        <v>394842.862206172</v>
      </c>
      <c r="AR200" s="180" t="n">
        <f aca="false">AR199+AK200-AL200</f>
        <v>150000</v>
      </c>
      <c r="AS200" s="180" t="n">
        <f aca="false">AS199+AP200</f>
        <v>40980.1588947534</v>
      </c>
      <c r="AT200" s="180" t="n">
        <f aca="false">AQ200+AS200-AR200</f>
        <v>285823.021100925</v>
      </c>
      <c r="AU200" s="180" t="n">
        <f aca="false">MAX(0,IFERROR(INDEX(TAB_IR,MATCH($C200,TAB_IR_DIAS,1),MATCH($D$8,TAB_IR_REGIMES,0)),0)*IF($D$26=2,AQ200,MAX(0,AT200))-AS200)</f>
        <v>1893.29427038536</v>
      </c>
      <c r="AV200" s="181" t="n">
        <f aca="false">MAX(0,AQ200-AU200-AQ200*$D$25)</f>
        <v>392949.567935787</v>
      </c>
      <c r="AW200" s="180" t="n">
        <f aca="false">AV200/$D200</f>
        <v>249478.985139434</v>
      </c>
      <c r="AY200" s="180" t="n">
        <f aca="false">BF199</f>
        <v>484918.000844074</v>
      </c>
      <c r="AZ200" s="180" t="n">
        <f aca="false">IF($E$9=0,0,IF($A200&gt;IN_PRAZO,0,IF(APORTE_CORRIGIDO="Sim",IN_APORTE*$D200,IN_APORTE))+IF(AND($E$35=1,PGBL_REINVESTE="Sim",$A200&gt;=13,$A200&lt;=IN_PRAZO,MONTH($B200)=5),PGBL_BENEFICIO,0))</f>
        <v>0</v>
      </c>
      <c r="BA200" s="180" t="n">
        <f aca="false">AZ200*$E$24</f>
        <v>0</v>
      </c>
      <c r="BB200" s="180" t="n">
        <f aca="false">AY200*$E$19</f>
        <v>4746.73882600499</v>
      </c>
      <c r="BC200" s="180" t="n">
        <f aca="false">AY200*$E$22</f>
        <v>606.147501055093</v>
      </c>
      <c r="BD200" s="180" t="n">
        <f aca="false">$E$23*MAX(0,BB200-AY200*$E$18)</f>
        <v>0</v>
      </c>
      <c r="BE200" s="180" t="n">
        <f aca="false">IF(AND($E$27=1,OR(MONTH($B200)=5,MONTH($B200)=11)),MAX(0,$E$28*MAX(0,(AY200+BB200-BC200-BD200+AZ200-BA200)+BH199-BG200)-BH199),0)</f>
        <v>0</v>
      </c>
      <c r="BF200" s="181" t="n">
        <f aca="false">AY200+BB200-BC200-BD200+AZ200-BA200-BE200</f>
        <v>489058.592169024</v>
      </c>
      <c r="BG200" s="180" t="n">
        <f aca="false">BG199+AZ200-BA200</f>
        <v>150000</v>
      </c>
      <c r="BH200" s="180" t="n">
        <f aca="false">BH199+BE200</f>
        <v>0</v>
      </c>
      <c r="BI200" s="180" t="n">
        <f aca="false">BF200+BH200-BG200</f>
        <v>339058.592169024</v>
      </c>
      <c r="BJ200" s="180" t="n">
        <f aca="false">MAX(0,IFERROR(INDEX(TAB_IR,MATCH($C200,TAB_IR_DIAS,1),MATCH($E$8,TAB_IR_REGIMES,0)),0)*IF($E$26=2,BF200,MAX(0,BI200))-BH200)</f>
        <v>33905.8592169024</v>
      </c>
      <c r="BK200" s="181" t="n">
        <f aca="false">MAX(0,BF200-BJ200-BF200*$E$25)</f>
        <v>455152.732952122</v>
      </c>
      <c r="BL200" s="180" t="n">
        <f aca="false">BK200/$D200</f>
        <v>288971.03131283</v>
      </c>
      <c r="BN200" s="180" t="n">
        <f aca="false">BU199</f>
        <v>484918.000844074</v>
      </c>
      <c r="BO200" s="180" t="n">
        <f aca="false">IF($F$9=0,0,IF($A200&gt;IN_PRAZO,0,IF(APORTE_CORRIGIDO="Sim",IN_APORTE*$D200,IN_APORTE))+IF(AND($F$35=1,PGBL_REINVESTE="Sim",$A200&gt;=13,$A200&lt;=IN_PRAZO,MONTH($B200)=5),PGBL_BENEFICIO,0))</f>
        <v>0</v>
      </c>
      <c r="BP200" s="180" t="n">
        <f aca="false">BO200*$F$24</f>
        <v>0</v>
      </c>
      <c r="BQ200" s="180" t="n">
        <f aca="false">BN200*$F$19</f>
        <v>4746.73882600499</v>
      </c>
      <c r="BR200" s="180" t="n">
        <f aca="false">BN200*$F$22</f>
        <v>606.147501055093</v>
      </c>
      <c r="BS200" s="180" t="n">
        <f aca="false">$F$23*MAX(0,BQ200-BN200*$F$18)</f>
        <v>0</v>
      </c>
      <c r="BT200" s="180" t="n">
        <f aca="false">IF(AND($F$27=1,OR(MONTH($B200)=5,MONTH($B200)=11)),MAX(0,$F$28*MAX(0,(BN200+BQ200-BR200-BS200+BO200-BP200)+BW199-BV200)-BW199),0)</f>
        <v>0</v>
      </c>
      <c r="BU200" s="181" t="n">
        <f aca="false">BN200+BQ200-BR200-BS200+BO200-BP200-BT200</f>
        <v>489058.592169024</v>
      </c>
      <c r="BV200" s="180" t="n">
        <f aca="false">BV199+BO200-BP200</f>
        <v>150000</v>
      </c>
      <c r="BW200" s="180" t="n">
        <f aca="false">BW199+BT200</f>
        <v>0</v>
      </c>
      <c r="BX200" s="180" t="n">
        <f aca="false">BU200+BW200-BV200</f>
        <v>339058.592169024</v>
      </c>
      <c r="BY200" s="180" t="n">
        <f aca="false">MAX(0,IFERROR(INDEX(TAB_IR,MATCH($C200,TAB_IR_DIAS,1),MATCH($F$8,TAB_IR_REGIMES,0)),0)*IF($F$26=2,BU200,MAX(0,BX200))-BW200)</f>
        <v>48905.8592169024</v>
      </c>
      <c r="BZ200" s="181" t="n">
        <f aca="false">MAX(0,BU200-BY200-BU200*$F$25)</f>
        <v>440152.732952122</v>
      </c>
      <c r="CA200" s="180" t="n">
        <f aca="false">BZ200/$D200</f>
        <v>279447.71055503</v>
      </c>
      <c r="CC200" s="180" t="n">
        <f aca="false">CJ199</f>
        <v>355161.454586001</v>
      </c>
      <c r="CD200" s="180" t="n">
        <f aca="false">IF($G$9=0,0,IF($A200&gt;IN_PRAZO,0,IF(APORTE_CORRIGIDO="Sim",IN_APORTE*$D200,IN_APORTE))+IF(AND($G$35=1,PGBL_REINVESTE="Sim",$A200&gt;=13,$A200&lt;=IN_PRAZO,MONTH($B200)=5),PGBL_BENEFICIO,0))</f>
        <v>0</v>
      </c>
      <c r="CE200" s="180" t="n">
        <f aca="false">CD200*$G$24</f>
        <v>0</v>
      </c>
      <c r="CF200" s="180" t="n">
        <f aca="false">CC200*$G$19</f>
        <v>2897.13205317823</v>
      </c>
      <c r="CG200" s="180" t="n">
        <f aca="false">CC200*$G$22</f>
        <v>295.967878821667</v>
      </c>
      <c r="CH200" s="180" t="n">
        <f aca="false">$G$23*MAX(0,CF200-CC200*$G$18)</f>
        <v>0</v>
      </c>
      <c r="CI200" s="180" t="n">
        <f aca="false">IF(AND($G$27=1,OR(MONTH($B200)=5,MONTH($B200)=11)),MAX(0,$G$28*MAX(0,(CC200+CF200-CG200-CH200+CD200-CE200)+CL199-CK200)-CL199),0)</f>
        <v>0</v>
      </c>
      <c r="CJ200" s="181" t="n">
        <f aca="false">CC200+CF200-CG200-CH200+CD200-CE200-CI200</f>
        <v>357762.618760357</v>
      </c>
      <c r="CK200" s="180" t="n">
        <f aca="false">CK199+CD200-CE200</f>
        <v>150000</v>
      </c>
      <c r="CL200" s="180" t="n">
        <f aca="false">CL199+CI200</f>
        <v>34847.8033872588</v>
      </c>
      <c r="CM200" s="180" t="n">
        <f aca="false">CJ200+CL200-CK200</f>
        <v>242610.422147616</v>
      </c>
      <c r="CN200" s="180" t="n">
        <f aca="false">MAX(0,IFERROR(INDEX(TAB_IR,MATCH($C200,TAB_IR_DIAS,1),MATCH($G$8,TAB_IR_REGIMES,0)),0)*IF($G$26=2,CJ200,MAX(0,CM200))-CL200)</f>
        <v>1543.75993488365</v>
      </c>
      <c r="CO200" s="181" t="n">
        <f aca="false">MAX(0,CJ200-CN200-CJ200*$G$25)</f>
        <v>356218.858825474</v>
      </c>
      <c r="CP200" s="180" t="n">
        <f aca="false">CO200/$D200</f>
        <v>226159.09683817</v>
      </c>
    </row>
    <row r="201" customFormat="false" ht="12" hidden="false" customHeight="true" outlineLevel="0" collapsed="false">
      <c r="A201" s="177" t="n">
        <v>140</v>
      </c>
      <c r="B201" s="178" t="n">
        <f aca="false">EDATE(DATA_INICIO,$A201)</f>
        <v>50518</v>
      </c>
      <c r="C201" s="177" t="n">
        <f aca="false">$A201*30</f>
        <v>4200</v>
      </c>
      <c r="D201" s="179" t="n">
        <f aca="false">(1+IPCA_CENARIO)^($A201/12)</f>
        <v>1.58023723861309</v>
      </c>
      <c r="F201" s="180" t="n">
        <f aca="false">M200</f>
        <v>544794.374173448</v>
      </c>
      <c r="G201" s="180" t="n">
        <f aca="false">IF($B$9=0,0,IF($A201&gt;IN_PRAZO,0,IF(APORTE_CORRIGIDO="Sim",IN_APORTE*$D201,IN_APORTE))+IF(AND($B$35=1,PGBL_REINVESTE="Sim",$A201&gt;=13,$A201&lt;=IN_PRAZO,MONTH($B201)=5),PGBL_BENEFICIO,0))</f>
        <v>0</v>
      </c>
      <c r="H201" s="180" t="n">
        <f aca="false">G201*$B$24</f>
        <v>0</v>
      </c>
      <c r="I201" s="180" t="n">
        <f aca="false">F201*$B$19</f>
        <v>5169.4410084576</v>
      </c>
      <c r="J201" s="180" t="n">
        <f aca="false">F201*$B$22</f>
        <v>90.7990623622413</v>
      </c>
      <c r="K201" s="180" t="n">
        <f aca="false">$B$23*MAX(0,I201-F201*$B$18)</f>
        <v>0</v>
      </c>
      <c r="L201" s="180" t="n">
        <f aca="false">IF(AND($B$27=1,OR(MONTH($B201)=5,MONTH($B201)=11)),MAX(0,$B$28*MAX(0,(F201+I201-J201-K201+G201-H201)+O200-N201)-O200),0)</f>
        <v>0</v>
      </c>
      <c r="M201" s="181" t="n">
        <f aca="false">F201+I201-J201-K201+G201-H201-L201</f>
        <v>549873.016119543</v>
      </c>
      <c r="N201" s="180" t="n">
        <f aca="false">N200+G201-H201</f>
        <v>150000</v>
      </c>
      <c r="O201" s="180" t="n">
        <f aca="false">O200+L201</f>
        <v>0</v>
      </c>
      <c r="P201" s="180" t="n">
        <f aca="false">M201+O201-N201</f>
        <v>399873.016119543</v>
      </c>
      <c r="Q201" s="180" t="n">
        <f aca="false">MAX(0,IFERROR(INDEX(TAB_IR,MATCH($C201,TAB_IR_DIAS,1),MATCH($B$8,TAB_IR_REGIMES,0)),0)*IF($B$26=2,M201,MAX(0,P201))-O201)</f>
        <v>59980.9524179315</v>
      </c>
      <c r="R201" s="181" t="n">
        <f aca="false">MAX(0,M201-Q201-M201*$B$25)</f>
        <v>489892.063701612</v>
      </c>
      <c r="S201" s="180" t="n">
        <f aca="false">R201/$D201</f>
        <v>310011.719589376</v>
      </c>
      <c r="U201" s="180" t="n">
        <f aca="false">AB200</f>
        <v>453460.857699405</v>
      </c>
      <c r="V201" s="180" t="n">
        <f aca="false">IF($C$9=0,0,IF($A201&gt;IN_PRAZO,0,IF(APORTE_CORRIGIDO="Sim",IN_APORTE*$D201,IN_APORTE))+IF(AND($C$35=1,PGBL_REINVESTE="Sim",$A201&gt;=13,$A201&lt;=IN_PRAZO,MONTH($B201)=5),PGBL_BENEFICIO,0))</f>
        <v>0</v>
      </c>
      <c r="W201" s="180" t="n">
        <f aca="false">V201*$C$24</f>
        <v>0</v>
      </c>
      <c r="X201" s="180" t="n">
        <f aca="false">U201*$C$19</f>
        <v>3698.98244513615</v>
      </c>
      <c r="Y201" s="180" t="n">
        <f aca="false">U201*$C$22</f>
        <v>75.5768096165674</v>
      </c>
      <c r="Z201" s="180" t="n">
        <f aca="false">$C$23*MAX(0,X201-U201*$C$18)</f>
        <v>0</v>
      </c>
      <c r="AA201" s="180" t="n">
        <f aca="false">IF(AND($C$27=1,OR(MONTH($B201)=5,MONTH($B201)=11)),MAX(0,$C$28*MAX(0,(U201+X201-Y201-Z201+V201-W201)+AD200-AC201)-AD200),0)</f>
        <v>0</v>
      </c>
      <c r="AB201" s="181" t="n">
        <f aca="false">U201+X201-Y201-Z201+V201-W201-AA201</f>
        <v>457084.263334924</v>
      </c>
      <c r="AC201" s="180" t="n">
        <f aca="false">AC200+V201-W201</f>
        <v>150000</v>
      </c>
      <c r="AD201" s="180" t="n">
        <f aca="false">AD200+AA201</f>
        <v>0</v>
      </c>
      <c r="AE201" s="180" t="n">
        <f aca="false">AB201+AD201-AC201</f>
        <v>307084.263334924</v>
      </c>
      <c r="AF201" s="180" t="n">
        <f aca="false">MAX(0,IFERROR(INDEX(TAB_IR,MATCH($C201,TAB_IR_DIAS,1),MATCH($C$8,TAB_IR_REGIMES,0)),0)*IF($C$26=2,AB201,MAX(0,AE201))-AD201)</f>
        <v>46062.6395002386</v>
      </c>
      <c r="AG201" s="181" t="n">
        <f aca="false">MAX(0,AB201-AF201-AB201*$C$25)</f>
        <v>411021.623834686</v>
      </c>
      <c r="AH201" s="180" t="n">
        <f aca="false">AG201/$D201</f>
        <v>260101.213787002</v>
      </c>
      <c r="AJ201" s="180" t="n">
        <f aca="false">AQ200</f>
        <v>394842.862206172</v>
      </c>
      <c r="AK201" s="180" t="n">
        <f aca="false">IF($D$9=0,0,IF($A201&gt;IN_PRAZO,0,IF(APORTE_CORRIGIDO="Sim",IN_APORTE*$D201,IN_APORTE))+IF(AND($D$35=1,PGBL_REINVESTE="Sim",$A201&gt;=13,$A201&lt;=IN_PRAZO,MONTH($B201)=5),PGBL_BENEFICIO,0))</f>
        <v>0</v>
      </c>
      <c r="AL201" s="180" t="n">
        <f aca="false">AK201*$D$24</f>
        <v>0</v>
      </c>
      <c r="AM201" s="180" t="n">
        <f aca="false">AJ201*$D$19</f>
        <v>3549.12287054695</v>
      </c>
      <c r="AN201" s="180" t="n">
        <f aca="false">AJ201*$D$22</f>
        <v>329.035718505143</v>
      </c>
      <c r="AO201" s="180" t="n">
        <f aca="false">$D$23*MAX(0,AM201-AJ201*$D$18)</f>
        <v>0</v>
      </c>
      <c r="AP201" s="180" t="n">
        <f aca="false">IF(AND($D$27=1,OR(MONTH($B201)=5,MONTH($B201)=11)),MAX(0,$D$28*MAX(0,(AJ201+AM201-AN201-AO201+AK201-AL201)+AS200-AR201)-AS200),0)</f>
        <v>0</v>
      </c>
      <c r="AQ201" s="181" t="n">
        <f aca="false">AJ201+AM201-AN201-AO201+AK201-AL201-AP201</f>
        <v>398062.949358214</v>
      </c>
      <c r="AR201" s="180" t="n">
        <f aca="false">AR200+AK201-AL201</f>
        <v>150000</v>
      </c>
      <c r="AS201" s="180" t="n">
        <f aca="false">AS200+AP201</f>
        <v>40980.1588947534</v>
      </c>
      <c r="AT201" s="180" t="n">
        <f aca="false">AQ201+AS201-AR201</f>
        <v>289043.108252967</v>
      </c>
      <c r="AU201" s="180" t="n">
        <f aca="false">MAX(0,IFERROR(INDEX(TAB_IR,MATCH($C201,TAB_IR_DIAS,1),MATCH($D$8,TAB_IR_REGIMES,0)),0)*IF($D$26=2,AQ201,MAX(0,AT201))-AS201)</f>
        <v>2376.30734319163</v>
      </c>
      <c r="AV201" s="181" t="n">
        <f aca="false">MAX(0,AQ201-AU201-AQ201*$D$25)</f>
        <v>395686.642015022</v>
      </c>
      <c r="AW201" s="180" t="n">
        <f aca="false">AV201/$D201</f>
        <v>250396.986190694</v>
      </c>
      <c r="AY201" s="180" t="n">
        <f aca="false">BF200</f>
        <v>489058.592169024</v>
      </c>
      <c r="AZ201" s="180" t="n">
        <f aca="false">IF($E$9=0,0,IF($A201&gt;IN_PRAZO,0,IF(APORTE_CORRIGIDO="Sim",IN_APORTE*$D201,IN_APORTE))+IF(AND($E$35=1,PGBL_REINVESTE="Sim",$A201&gt;=13,$A201&lt;=IN_PRAZO,MONTH($B201)=5),PGBL_BENEFICIO,0))</f>
        <v>0</v>
      </c>
      <c r="BA201" s="180" t="n">
        <f aca="false">AZ201*$E$24</f>
        <v>0</v>
      </c>
      <c r="BB201" s="180" t="n">
        <f aca="false">AY201*$E$19</f>
        <v>4787.27002008429</v>
      </c>
      <c r="BC201" s="180" t="n">
        <f aca="false">AY201*$E$22</f>
        <v>611.32324021128</v>
      </c>
      <c r="BD201" s="180" t="n">
        <f aca="false">$E$23*MAX(0,BB201-AY201*$E$18)</f>
        <v>0</v>
      </c>
      <c r="BE201" s="180" t="n">
        <f aca="false">IF(AND($E$27=1,OR(MONTH($B201)=5,MONTH($B201)=11)),MAX(0,$E$28*MAX(0,(AY201+BB201-BC201-BD201+AZ201-BA201)+BH200-BG201)-BH200),0)</f>
        <v>0</v>
      </c>
      <c r="BF201" s="181" t="n">
        <f aca="false">AY201+BB201-BC201-BD201+AZ201-BA201-BE201</f>
        <v>493234.538948897</v>
      </c>
      <c r="BG201" s="180" t="n">
        <f aca="false">BG200+AZ201-BA201</f>
        <v>150000</v>
      </c>
      <c r="BH201" s="180" t="n">
        <f aca="false">BH200+BE201</f>
        <v>0</v>
      </c>
      <c r="BI201" s="180" t="n">
        <f aca="false">BF201+BH201-BG201</f>
        <v>343234.538948897</v>
      </c>
      <c r="BJ201" s="180" t="n">
        <f aca="false">MAX(0,IFERROR(INDEX(TAB_IR,MATCH($C201,TAB_IR_DIAS,1),MATCH($E$8,TAB_IR_REGIMES,0)),0)*IF($E$26=2,BF201,MAX(0,BI201))-BH201)</f>
        <v>34323.4538948897</v>
      </c>
      <c r="BK201" s="181" t="n">
        <f aca="false">MAX(0,BF201-BJ201-BF201*$E$25)</f>
        <v>458911.085054008</v>
      </c>
      <c r="BL201" s="180" t="n">
        <f aca="false">BK201/$D201</f>
        <v>290406.449006844</v>
      </c>
      <c r="BN201" s="180" t="n">
        <f aca="false">BU200</f>
        <v>489058.592169024</v>
      </c>
      <c r="BO201" s="180" t="n">
        <f aca="false">IF($F$9=0,0,IF($A201&gt;IN_PRAZO,0,IF(APORTE_CORRIGIDO="Sim",IN_APORTE*$D201,IN_APORTE))+IF(AND($F$35=1,PGBL_REINVESTE="Sim",$A201&gt;=13,$A201&lt;=IN_PRAZO,MONTH($B201)=5),PGBL_BENEFICIO,0))</f>
        <v>0</v>
      </c>
      <c r="BP201" s="180" t="n">
        <f aca="false">BO201*$F$24</f>
        <v>0</v>
      </c>
      <c r="BQ201" s="180" t="n">
        <f aca="false">BN201*$F$19</f>
        <v>4787.27002008429</v>
      </c>
      <c r="BR201" s="180" t="n">
        <f aca="false">BN201*$F$22</f>
        <v>611.32324021128</v>
      </c>
      <c r="BS201" s="180" t="n">
        <f aca="false">$F$23*MAX(0,BQ201-BN201*$F$18)</f>
        <v>0</v>
      </c>
      <c r="BT201" s="180" t="n">
        <f aca="false">IF(AND($F$27=1,OR(MONTH($B201)=5,MONTH($B201)=11)),MAX(0,$F$28*MAX(0,(BN201+BQ201-BR201-BS201+BO201-BP201)+BW200-BV201)-BW200),0)</f>
        <v>0</v>
      </c>
      <c r="BU201" s="181" t="n">
        <f aca="false">BN201+BQ201-BR201-BS201+BO201-BP201-BT201</f>
        <v>493234.538948897</v>
      </c>
      <c r="BV201" s="180" t="n">
        <f aca="false">BV200+BO201-BP201</f>
        <v>150000</v>
      </c>
      <c r="BW201" s="180" t="n">
        <f aca="false">BW200+BT201</f>
        <v>0</v>
      </c>
      <c r="BX201" s="180" t="n">
        <f aca="false">BU201+BW201-BV201</f>
        <v>343234.538948897</v>
      </c>
      <c r="BY201" s="180" t="n">
        <f aca="false">MAX(0,IFERROR(INDEX(TAB_IR,MATCH($C201,TAB_IR_DIAS,1),MATCH($F$8,TAB_IR_REGIMES,0)),0)*IF($F$26=2,BU201,MAX(0,BX201))-BW201)</f>
        <v>49323.4538948897</v>
      </c>
      <c r="BZ201" s="181" t="n">
        <f aca="false">MAX(0,BU201-BY201-BU201*$F$25)</f>
        <v>443911.085054008</v>
      </c>
      <c r="CA201" s="180" t="n">
        <f aca="false">BZ201/$D201</f>
        <v>280914.203391138</v>
      </c>
      <c r="CC201" s="180" t="n">
        <f aca="false">CJ200</f>
        <v>357762.618760357</v>
      </c>
      <c r="CD201" s="180" t="n">
        <f aca="false">IF($G$9=0,0,IF($A201&gt;IN_PRAZO,0,IF(APORTE_CORRIGIDO="Sim",IN_APORTE*$D201,IN_APORTE))+IF(AND($G$35=1,PGBL_REINVESTE="Sim",$A201&gt;=13,$A201&lt;=IN_PRAZO,MONTH($B201)=5),PGBL_BENEFICIO,0))</f>
        <v>0</v>
      </c>
      <c r="CE201" s="180" t="n">
        <f aca="false">CD201*$G$24</f>
        <v>0</v>
      </c>
      <c r="CF201" s="180" t="n">
        <f aca="false">CC201*$G$19</f>
        <v>2918.35033575873</v>
      </c>
      <c r="CG201" s="180" t="n">
        <f aca="false">CC201*$G$22</f>
        <v>298.135515633631</v>
      </c>
      <c r="CH201" s="180" t="n">
        <f aca="false">$G$23*MAX(0,CF201-CC201*$G$18)</f>
        <v>0</v>
      </c>
      <c r="CI201" s="180" t="n">
        <f aca="false">IF(AND($G$27=1,OR(MONTH($B201)=5,MONTH($B201)=11)),MAX(0,$G$28*MAX(0,(CC201+CF201-CG201-CH201+CD201-CE201)+CL200-CK201)-CL200),0)</f>
        <v>0</v>
      </c>
      <c r="CJ201" s="181" t="n">
        <f aca="false">CC201+CF201-CG201-CH201+CD201-CE201-CI201</f>
        <v>360382.833580482</v>
      </c>
      <c r="CK201" s="180" t="n">
        <f aca="false">CK200+CD201-CE201</f>
        <v>150000</v>
      </c>
      <c r="CL201" s="180" t="n">
        <f aca="false">CL200+CI201</f>
        <v>34847.8033872588</v>
      </c>
      <c r="CM201" s="180" t="n">
        <f aca="false">CJ201+CL201-CK201</f>
        <v>245230.636967741</v>
      </c>
      <c r="CN201" s="180" t="n">
        <f aca="false">MAX(0,IFERROR(INDEX(TAB_IR,MATCH($C201,TAB_IR_DIAS,1),MATCH($G$8,TAB_IR_REGIMES,0)),0)*IF($G$26=2,CJ201,MAX(0,CM201))-CL201)</f>
        <v>1936.79215790241</v>
      </c>
      <c r="CO201" s="181" t="n">
        <f aca="false">MAX(0,CJ201-CN201-CJ201*$G$25)</f>
        <v>358446.04142258</v>
      </c>
      <c r="CP201" s="180" t="n">
        <f aca="false">CO201/$D201</f>
        <v>226830.524344037</v>
      </c>
    </row>
    <row r="202" customFormat="false" ht="12" hidden="false" customHeight="true" outlineLevel="0" collapsed="false">
      <c r="A202" s="177" t="n">
        <v>141</v>
      </c>
      <c r="B202" s="178" t="n">
        <f aca="false">EDATE(DATA_INICIO,$A202)</f>
        <v>50548</v>
      </c>
      <c r="C202" s="177" t="n">
        <f aca="false">$A202*30</f>
        <v>4230</v>
      </c>
      <c r="D202" s="179" t="n">
        <f aca="false">(1+IPCA_CENARIO)^($A202/12)</f>
        <v>1.58541052412645</v>
      </c>
      <c r="F202" s="180" t="n">
        <f aca="false">M201</f>
        <v>549873.016119543</v>
      </c>
      <c r="G202" s="180" t="n">
        <f aca="false">IF($B$9=0,0,IF($A202&gt;IN_PRAZO,0,IF(APORTE_CORRIGIDO="Sim",IN_APORTE*$D202,IN_APORTE))+IF(AND($B$35=1,PGBL_REINVESTE="Sim",$A202&gt;=13,$A202&lt;=IN_PRAZO,MONTH($B202)=5),PGBL_BENEFICIO,0))</f>
        <v>0</v>
      </c>
      <c r="H202" s="180" t="n">
        <f aca="false">G202*$B$24</f>
        <v>0</v>
      </c>
      <c r="I202" s="180" t="n">
        <f aca="false">F202*$B$19</f>
        <v>5217.63119027299</v>
      </c>
      <c r="J202" s="180" t="n">
        <f aca="false">F202*$B$22</f>
        <v>91.6455026865905</v>
      </c>
      <c r="K202" s="180" t="n">
        <f aca="false">$B$23*MAX(0,I202-F202*$B$18)</f>
        <v>0</v>
      </c>
      <c r="L202" s="180" t="n">
        <f aca="false">IF(AND($B$27=1,OR(MONTH($B202)=5,MONTH($B202)=11)),MAX(0,$B$28*MAX(0,(F202+I202-J202-K202+G202-H202)+O201-N202)-O201),0)</f>
        <v>0</v>
      </c>
      <c r="M202" s="181" t="n">
        <f aca="false">F202+I202-J202-K202+G202-H202-L202</f>
        <v>554999.001807129</v>
      </c>
      <c r="N202" s="180" t="n">
        <f aca="false">N201+G202-H202</f>
        <v>150000</v>
      </c>
      <c r="O202" s="180" t="n">
        <f aca="false">O201+L202</f>
        <v>0</v>
      </c>
      <c r="P202" s="180" t="n">
        <f aca="false">M202+O202-N202</f>
        <v>404999.001807129</v>
      </c>
      <c r="Q202" s="180" t="n">
        <f aca="false">MAX(0,IFERROR(INDEX(TAB_IR,MATCH($C202,TAB_IR_DIAS,1),MATCH($B$8,TAB_IR_REGIMES,0)),0)*IF($B$26=2,M202,MAX(0,P202))-O202)</f>
        <v>60749.8502710694</v>
      </c>
      <c r="R202" s="181" t="n">
        <f aca="false">MAX(0,M202-Q202-M202*$B$25)</f>
        <v>494249.15153606</v>
      </c>
      <c r="S202" s="180" t="n">
        <f aca="false">R202/$D202</f>
        <v>311748.373064691</v>
      </c>
      <c r="U202" s="180" t="n">
        <f aca="false">AB201</f>
        <v>457084.263334924</v>
      </c>
      <c r="V202" s="180" t="n">
        <f aca="false">IF($C$9=0,0,IF($A202&gt;IN_PRAZO,0,IF(APORTE_CORRIGIDO="Sim",IN_APORTE*$D202,IN_APORTE))+IF(AND($C$35=1,PGBL_REINVESTE="Sim",$A202&gt;=13,$A202&lt;=IN_PRAZO,MONTH($B202)=5),PGBL_BENEFICIO,0))</f>
        <v>0</v>
      </c>
      <c r="W202" s="180" t="n">
        <f aca="false">V202*$C$24</f>
        <v>0</v>
      </c>
      <c r="X202" s="180" t="n">
        <f aca="false">U202*$C$19</f>
        <v>3728.53938177097</v>
      </c>
      <c r="Y202" s="180" t="n">
        <f aca="false">U202*$C$22</f>
        <v>76.1807105558207</v>
      </c>
      <c r="Z202" s="180" t="n">
        <f aca="false">$C$23*MAX(0,X202-U202*$C$18)</f>
        <v>0</v>
      </c>
      <c r="AA202" s="180" t="n">
        <f aca="false">IF(AND($C$27=1,OR(MONTH($B202)=5,MONTH($B202)=11)),MAX(0,$C$28*MAX(0,(U202+X202-Y202-Z202+V202-W202)+AD201-AC202)-AD201),0)</f>
        <v>0</v>
      </c>
      <c r="AB202" s="181" t="n">
        <f aca="false">U202+X202-Y202-Z202+V202-W202-AA202</f>
        <v>460736.622006139</v>
      </c>
      <c r="AC202" s="180" t="n">
        <f aca="false">AC201+V202-W202</f>
        <v>150000</v>
      </c>
      <c r="AD202" s="180" t="n">
        <f aca="false">AD201+AA202</f>
        <v>0</v>
      </c>
      <c r="AE202" s="180" t="n">
        <f aca="false">AB202+AD202-AC202</f>
        <v>310736.622006139</v>
      </c>
      <c r="AF202" s="180" t="n">
        <f aca="false">MAX(0,IFERROR(INDEX(TAB_IR,MATCH($C202,TAB_IR_DIAS,1),MATCH($C$8,TAB_IR_REGIMES,0)),0)*IF($C$26=2,AB202,MAX(0,AE202))-AD202)</f>
        <v>46610.4933009209</v>
      </c>
      <c r="AG202" s="181" t="n">
        <f aca="false">MAX(0,AB202-AF202-AB202*$C$25)</f>
        <v>414126.128705218</v>
      </c>
      <c r="AH202" s="180" t="n">
        <f aca="false">AG202/$D202</f>
        <v>261210.659575632</v>
      </c>
      <c r="AJ202" s="180" t="n">
        <f aca="false">AQ201</f>
        <v>398062.949358214</v>
      </c>
      <c r="AK202" s="180" t="n">
        <f aca="false">IF($D$9=0,0,IF($A202&gt;IN_PRAZO,0,IF(APORTE_CORRIGIDO="Sim",IN_APORTE*$D202,IN_APORTE))+IF(AND($D$35=1,PGBL_REINVESTE="Sim",$A202&gt;=13,$A202&lt;=IN_PRAZO,MONTH($B202)=5),PGBL_BENEFICIO,0))</f>
        <v>0</v>
      </c>
      <c r="AL202" s="180" t="n">
        <f aca="false">AK202*$D$24</f>
        <v>0</v>
      </c>
      <c r="AM202" s="180" t="n">
        <f aca="false">AJ202*$D$19</f>
        <v>3578.06725842979</v>
      </c>
      <c r="AN202" s="180" t="n">
        <f aca="false">AJ202*$D$22</f>
        <v>331.719124465178</v>
      </c>
      <c r="AO202" s="180" t="n">
        <f aca="false">$D$23*MAX(0,AM202-AJ202*$D$18)</f>
        <v>0</v>
      </c>
      <c r="AP202" s="180" t="n">
        <f aca="false">IF(AND($D$27=1,OR(MONTH($B202)=5,MONTH($B202)=11)),MAX(0,$D$28*MAX(0,(AJ202+AM202-AN202-AO202+AK202-AL202)+AS201-AR202)-AS201),0)</f>
        <v>2863.25956328632</v>
      </c>
      <c r="AQ202" s="181" t="n">
        <f aca="false">AJ202+AM202-AN202-AO202+AK202-AL202-AP202</f>
        <v>398446.037928892</v>
      </c>
      <c r="AR202" s="180" t="n">
        <f aca="false">AR201+AK202-AL202</f>
        <v>150000</v>
      </c>
      <c r="AS202" s="180" t="n">
        <f aca="false">AS201+AP202</f>
        <v>43843.4184580398</v>
      </c>
      <c r="AT202" s="180" t="n">
        <f aca="false">AQ202+AS202-AR202</f>
        <v>292289.456386932</v>
      </c>
      <c r="AU202" s="180" t="n">
        <f aca="false">MAX(0,IFERROR(INDEX(TAB_IR,MATCH($C202,TAB_IR_DIAS,1),MATCH($D$8,TAB_IR_REGIMES,0)),0)*IF($D$26=2,AQ202,MAX(0,AT202))-AS202)</f>
        <v>0</v>
      </c>
      <c r="AV202" s="181" t="n">
        <f aca="false">MAX(0,AQ202-AU202-AQ202*$D$25)</f>
        <v>398446.037928892</v>
      </c>
      <c r="AW202" s="180" t="n">
        <f aca="false">AV202/$D202</f>
        <v>251320.419453146</v>
      </c>
      <c r="AY202" s="180" t="n">
        <f aca="false">BF201</f>
        <v>493234.538948897</v>
      </c>
      <c r="AZ202" s="180" t="n">
        <f aca="false">IF($E$9=0,0,IF($A202&gt;IN_PRAZO,0,IF(APORTE_CORRIGIDO="Sim",IN_APORTE*$D202,IN_APORTE))+IF(AND($E$35=1,PGBL_REINVESTE="Sim",$A202&gt;=13,$A202&lt;=IN_PRAZO,MONTH($B202)=5),PGBL_BENEFICIO,0))</f>
        <v>0</v>
      </c>
      <c r="BA202" s="180" t="n">
        <f aca="false">AZ202*$E$24</f>
        <v>0</v>
      </c>
      <c r="BB202" s="180" t="n">
        <f aca="false">AY202*$E$19</f>
        <v>4828.14729970858</v>
      </c>
      <c r="BC202" s="180" t="n">
        <f aca="false">AY202*$E$22</f>
        <v>616.543173686122</v>
      </c>
      <c r="BD202" s="180" t="n">
        <f aca="false">$E$23*MAX(0,BB202-AY202*$E$18)</f>
        <v>0</v>
      </c>
      <c r="BE202" s="180" t="n">
        <f aca="false">IF(AND($E$27=1,OR(MONTH($B202)=5,MONTH($B202)=11)),MAX(0,$E$28*MAX(0,(AY202+BB202-BC202-BD202+AZ202-BA202)+BH201-BG202)-BH201),0)</f>
        <v>0</v>
      </c>
      <c r="BF202" s="181" t="n">
        <f aca="false">AY202+BB202-BC202-BD202+AZ202-BA202-BE202</f>
        <v>497446.14307492</v>
      </c>
      <c r="BG202" s="180" t="n">
        <f aca="false">BG201+AZ202-BA202</f>
        <v>150000</v>
      </c>
      <c r="BH202" s="180" t="n">
        <f aca="false">BH201+BE202</f>
        <v>0</v>
      </c>
      <c r="BI202" s="180" t="n">
        <f aca="false">BF202+BH202-BG202</f>
        <v>347446.14307492</v>
      </c>
      <c r="BJ202" s="180" t="n">
        <f aca="false">MAX(0,IFERROR(INDEX(TAB_IR,MATCH($C202,TAB_IR_DIAS,1),MATCH($E$8,TAB_IR_REGIMES,0)),0)*IF($E$26=2,BF202,MAX(0,BI202))-BH202)</f>
        <v>34744.614307492</v>
      </c>
      <c r="BK202" s="181" t="n">
        <f aca="false">MAX(0,BF202-BJ202-BF202*$E$25)</f>
        <v>462701.528767428</v>
      </c>
      <c r="BL202" s="180" t="n">
        <f aca="false">BK202/$D202</f>
        <v>291849.663999407</v>
      </c>
      <c r="BN202" s="180" t="n">
        <f aca="false">BU201</f>
        <v>493234.538948897</v>
      </c>
      <c r="BO202" s="180" t="n">
        <f aca="false">IF($F$9=0,0,IF($A202&gt;IN_PRAZO,0,IF(APORTE_CORRIGIDO="Sim",IN_APORTE*$D202,IN_APORTE))+IF(AND($F$35=1,PGBL_REINVESTE="Sim",$A202&gt;=13,$A202&lt;=IN_PRAZO,MONTH($B202)=5),PGBL_BENEFICIO,0))</f>
        <v>0</v>
      </c>
      <c r="BP202" s="180" t="n">
        <f aca="false">BO202*$F$24</f>
        <v>0</v>
      </c>
      <c r="BQ202" s="180" t="n">
        <f aca="false">BN202*$F$19</f>
        <v>4828.14729970858</v>
      </c>
      <c r="BR202" s="180" t="n">
        <f aca="false">BN202*$F$22</f>
        <v>616.543173686122</v>
      </c>
      <c r="BS202" s="180" t="n">
        <f aca="false">$F$23*MAX(0,BQ202-BN202*$F$18)</f>
        <v>0</v>
      </c>
      <c r="BT202" s="180" t="n">
        <f aca="false">IF(AND($F$27=1,OR(MONTH($B202)=5,MONTH($B202)=11)),MAX(0,$F$28*MAX(0,(BN202+BQ202-BR202-BS202+BO202-BP202)+BW201-BV202)-BW201),0)</f>
        <v>0</v>
      </c>
      <c r="BU202" s="181" t="n">
        <f aca="false">BN202+BQ202-BR202-BS202+BO202-BP202-BT202</f>
        <v>497446.14307492</v>
      </c>
      <c r="BV202" s="180" t="n">
        <f aca="false">BV201+BO202-BP202</f>
        <v>150000</v>
      </c>
      <c r="BW202" s="180" t="n">
        <f aca="false">BW201+BT202</f>
        <v>0</v>
      </c>
      <c r="BX202" s="180" t="n">
        <f aca="false">BU202+BW202-BV202</f>
        <v>347446.14307492</v>
      </c>
      <c r="BY202" s="180" t="n">
        <f aca="false">MAX(0,IFERROR(INDEX(TAB_IR,MATCH($C202,TAB_IR_DIAS,1),MATCH($F$8,TAB_IR_REGIMES,0)),0)*IF($F$26=2,BU202,MAX(0,BX202))-BW202)</f>
        <v>49744.614307492</v>
      </c>
      <c r="BZ202" s="181" t="n">
        <f aca="false">MAX(0,BU202-BY202-BU202*$F$25)</f>
        <v>447701.528767428</v>
      </c>
      <c r="CA202" s="180" t="n">
        <f aca="false">BZ202/$D202</f>
        <v>282388.392125824</v>
      </c>
      <c r="CC202" s="180" t="n">
        <f aca="false">CJ201</f>
        <v>360382.833580482</v>
      </c>
      <c r="CD202" s="180" t="n">
        <f aca="false">IF($G$9=0,0,IF($A202&gt;IN_PRAZO,0,IF(APORTE_CORRIGIDO="Sim",IN_APORTE*$D202,IN_APORTE))+IF(AND($G$35=1,PGBL_REINVESTE="Sim",$A202&gt;=13,$A202&lt;=IN_PRAZO,MONTH($B202)=5),PGBL_BENEFICIO,0))</f>
        <v>0</v>
      </c>
      <c r="CE202" s="180" t="n">
        <f aca="false">CD202*$G$24</f>
        <v>0</v>
      </c>
      <c r="CF202" s="180" t="n">
        <f aca="false">CC202*$G$19</f>
        <v>2939.72401875157</v>
      </c>
      <c r="CG202" s="180" t="n">
        <f aca="false">CC202*$G$22</f>
        <v>300.319027983735</v>
      </c>
      <c r="CH202" s="180" t="n">
        <f aca="false">$G$23*MAX(0,CF202-CC202*$G$18)</f>
        <v>0</v>
      </c>
      <c r="CI202" s="180" t="n">
        <f aca="false">IF(AND($G$27=1,OR(MONTH($B202)=5,MONTH($B202)=11)),MAX(0,$G$28*MAX(0,(CC202+CF202-CG202-CH202+CD202-CE202)+CL201-CK202)-CL201),0)</f>
        <v>2332.70290651759</v>
      </c>
      <c r="CJ202" s="181" t="n">
        <f aca="false">CC202+CF202-CG202-CH202+CD202-CE202-CI202</f>
        <v>360689.535664733</v>
      </c>
      <c r="CK202" s="180" t="n">
        <f aca="false">CK201+CD202-CE202</f>
        <v>150000</v>
      </c>
      <c r="CL202" s="180" t="n">
        <f aca="false">CL201+CI202</f>
        <v>37180.5062937763</v>
      </c>
      <c r="CM202" s="180" t="n">
        <f aca="false">CJ202+CL202-CK202</f>
        <v>247870.041958509</v>
      </c>
      <c r="CN202" s="180" t="n">
        <f aca="false">MAX(0,IFERROR(INDEX(TAB_IR,MATCH($C202,TAB_IR_DIAS,1),MATCH($G$8,TAB_IR_REGIMES,0)),0)*IF($G$26=2,CJ202,MAX(0,CM202))-CL202)</f>
        <v>0</v>
      </c>
      <c r="CO202" s="181" t="n">
        <f aca="false">MAX(0,CJ202-CN202-CJ202*$G$25)</f>
        <v>360689.535664733</v>
      </c>
      <c r="CP202" s="180" t="n">
        <f aca="false">CO202/$D202</f>
        <v>227505.450592029</v>
      </c>
    </row>
    <row r="203" customFormat="false" ht="12" hidden="false" customHeight="true" outlineLevel="0" collapsed="false">
      <c r="A203" s="177" t="n">
        <v>142</v>
      </c>
      <c r="B203" s="178" t="n">
        <f aca="false">EDATE(DATA_INICIO,$A203)</f>
        <v>50579</v>
      </c>
      <c r="C203" s="177" t="n">
        <f aca="false">$A203*30</f>
        <v>4260</v>
      </c>
      <c r="D203" s="179" t="n">
        <f aca="false">(1+IPCA_CENARIO)^($A203/12)</f>
        <v>1.5906007456304</v>
      </c>
      <c r="F203" s="180" t="n">
        <f aca="false">M202</f>
        <v>554999.001807129</v>
      </c>
      <c r="G203" s="180" t="n">
        <f aca="false">IF($B$9=0,0,IF($A203&gt;IN_PRAZO,0,IF(APORTE_CORRIGIDO="Sim",IN_APORTE*$D203,IN_APORTE))+IF(AND($B$35=1,PGBL_REINVESTE="Sim",$A203&gt;=13,$A203&lt;=IN_PRAZO,MONTH($B203)=5),PGBL_BENEFICIO,0))</f>
        <v>0</v>
      </c>
      <c r="H203" s="180" t="n">
        <f aca="false">G203*$B$24</f>
        <v>0</v>
      </c>
      <c r="I203" s="180" t="n">
        <f aca="false">F203*$B$19</f>
        <v>5266.27060704813</v>
      </c>
      <c r="J203" s="180" t="n">
        <f aca="false">F203*$B$22</f>
        <v>92.4998336345216</v>
      </c>
      <c r="K203" s="180" t="n">
        <f aca="false">$B$23*MAX(0,I203-F203*$B$18)</f>
        <v>0</v>
      </c>
      <c r="L203" s="180" t="n">
        <f aca="false">IF(AND($B$27=1,OR(MONTH($B203)=5,MONTH($B203)=11)),MAX(0,$B$28*MAX(0,(F203+I203-J203-K203+G203-H203)+O202-N203)-O202),0)</f>
        <v>0</v>
      </c>
      <c r="M203" s="181" t="n">
        <f aca="false">F203+I203-J203-K203+G203-H203-L203</f>
        <v>560172.772580543</v>
      </c>
      <c r="N203" s="180" t="n">
        <f aca="false">N202+G203-H203</f>
        <v>150000</v>
      </c>
      <c r="O203" s="180" t="n">
        <f aca="false">O202+L203</f>
        <v>0</v>
      </c>
      <c r="P203" s="180" t="n">
        <f aca="false">M203+O203-N203</f>
        <v>410172.772580543</v>
      </c>
      <c r="Q203" s="180" t="n">
        <f aca="false">MAX(0,IFERROR(INDEX(TAB_IR,MATCH($C203,TAB_IR_DIAS,1),MATCH($B$8,TAB_IR_REGIMES,0)),0)*IF($B$26=2,M203,MAX(0,P203))-O203)</f>
        <v>61525.9158870815</v>
      </c>
      <c r="R203" s="181" t="n">
        <f aca="false">MAX(0,M203-Q203-M203*$B$25)</f>
        <v>498646.856693462</v>
      </c>
      <c r="S203" s="180" t="n">
        <f aca="false">R203/$D203</f>
        <v>313495.927914855</v>
      </c>
      <c r="U203" s="180" t="n">
        <f aca="false">AB202</f>
        <v>460736.622006139</v>
      </c>
      <c r="V203" s="180" t="n">
        <f aca="false">IF($C$9=0,0,IF($A203&gt;IN_PRAZO,0,IF(APORTE_CORRIGIDO="Sim",IN_APORTE*$D203,IN_APORTE))+IF(AND($C$35=1,PGBL_REINVESTE="Sim",$A203&gt;=13,$A203&lt;=IN_PRAZO,MONTH($B203)=5),PGBL_BENEFICIO,0))</f>
        <v>0</v>
      </c>
      <c r="W203" s="180" t="n">
        <f aca="false">V203*$C$24</f>
        <v>0</v>
      </c>
      <c r="X203" s="180" t="n">
        <f aca="false">U203*$C$19</f>
        <v>3758.33249484518</v>
      </c>
      <c r="Y203" s="180" t="n">
        <f aca="false">U203*$C$22</f>
        <v>76.7894370010232</v>
      </c>
      <c r="Z203" s="180" t="n">
        <f aca="false">$C$23*MAX(0,X203-U203*$C$18)</f>
        <v>0</v>
      </c>
      <c r="AA203" s="180" t="n">
        <f aca="false">IF(AND($C$27=1,OR(MONTH($B203)=5,MONTH($B203)=11)),MAX(0,$C$28*MAX(0,(U203+X203-Y203-Z203+V203-W203)+AD202-AC203)-AD202),0)</f>
        <v>0</v>
      </c>
      <c r="AB203" s="181" t="n">
        <f aca="false">U203+X203-Y203-Z203+V203-W203-AA203</f>
        <v>464418.165063983</v>
      </c>
      <c r="AC203" s="180" t="n">
        <f aca="false">AC202+V203-W203</f>
        <v>150000</v>
      </c>
      <c r="AD203" s="180" t="n">
        <f aca="false">AD202+AA203</f>
        <v>0</v>
      </c>
      <c r="AE203" s="180" t="n">
        <f aca="false">AB203+AD203-AC203</f>
        <v>314418.165063983</v>
      </c>
      <c r="AF203" s="180" t="n">
        <f aca="false">MAX(0,IFERROR(INDEX(TAB_IR,MATCH($C203,TAB_IR_DIAS,1),MATCH($C$8,TAB_IR_REGIMES,0)),0)*IF($C$26=2,AB203,MAX(0,AE203))-AD203)</f>
        <v>47162.7247595975</v>
      </c>
      <c r="AG203" s="181" t="n">
        <f aca="false">MAX(0,AB203-AF203-AB203*$C$25)</f>
        <v>417255.440304386</v>
      </c>
      <c r="AH203" s="180" t="n">
        <f aca="false">AG203/$D203</f>
        <v>262325.691378333</v>
      </c>
      <c r="AJ203" s="180" t="n">
        <f aca="false">AQ202</f>
        <v>398446.037928892</v>
      </c>
      <c r="AK203" s="180" t="n">
        <f aca="false">IF($D$9=0,0,IF($A203&gt;IN_PRAZO,0,IF(APORTE_CORRIGIDO="Sim",IN_APORTE*$D203,IN_APORTE))+IF(AND($D$35=1,PGBL_REINVESTE="Sim",$A203&gt;=13,$A203&lt;=IN_PRAZO,MONTH($B203)=5),PGBL_BENEFICIO,0))</f>
        <v>0</v>
      </c>
      <c r="AL203" s="180" t="n">
        <f aca="false">AK203*$D$24</f>
        <v>0</v>
      </c>
      <c r="AM203" s="180" t="n">
        <f aca="false">AJ203*$D$19</f>
        <v>3581.51072553476</v>
      </c>
      <c r="AN203" s="180" t="n">
        <f aca="false">AJ203*$D$22</f>
        <v>332.038364940743</v>
      </c>
      <c r="AO203" s="180" t="n">
        <f aca="false">$D$23*MAX(0,AM203-AJ203*$D$18)</f>
        <v>0</v>
      </c>
      <c r="AP203" s="180" t="n">
        <f aca="false">IF(AND($D$27=1,OR(MONTH($B203)=5,MONTH($B203)=11)),MAX(0,$D$28*MAX(0,(AJ203+AM203-AN203-AO203+AK203-AL203)+AS202-AR203)-AS202),0)</f>
        <v>0</v>
      </c>
      <c r="AQ203" s="181" t="n">
        <f aca="false">AJ203+AM203-AN203-AO203+AK203-AL203-AP203</f>
        <v>401695.510289486</v>
      </c>
      <c r="AR203" s="180" t="n">
        <f aca="false">AR202+AK203-AL203</f>
        <v>150000</v>
      </c>
      <c r="AS203" s="180" t="n">
        <f aca="false">AS202+AP203</f>
        <v>43843.4184580398</v>
      </c>
      <c r="AT203" s="180" t="n">
        <f aca="false">AQ203+AS203-AR203</f>
        <v>295538.928747526</v>
      </c>
      <c r="AU203" s="180" t="n">
        <f aca="false">MAX(0,IFERROR(INDEX(TAB_IR,MATCH($C203,TAB_IR_DIAS,1),MATCH($D$8,TAB_IR_REGIMES,0)),0)*IF($D$26=2,AQ203,MAX(0,AT203))-AS203)</f>
        <v>487.420854089098</v>
      </c>
      <c r="AV203" s="181" t="n">
        <f aca="false">MAX(0,AQ203-AU203-AQ203*$D$25)</f>
        <v>401208.089435397</v>
      </c>
      <c r="AW203" s="180" t="n">
        <f aca="false">AV203/$D203</f>
        <v>252236.8297246</v>
      </c>
      <c r="AY203" s="180" t="n">
        <f aca="false">BF202</f>
        <v>497446.14307492</v>
      </c>
      <c r="AZ203" s="180" t="n">
        <f aca="false">IF($E$9=0,0,IF($A203&gt;IN_PRAZO,0,IF(APORTE_CORRIGIDO="Sim",IN_APORTE*$D203,IN_APORTE))+IF(AND($E$35=1,PGBL_REINVESTE="Sim",$A203&gt;=13,$A203&lt;=IN_PRAZO,MONTH($B203)=5),PGBL_BENEFICIO,0))</f>
        <v>0</v>
      </c>
      <c r="BA203" s="180" t="n">
        <f aca="false">AZ203*$E$24</f>
        <v>0</v>
      </c>
      <c r="BB203" s="180" t="n">
        <f aca="false">AY203*$E$19</f>
        <v>4869.37362001419</v>
      </c>
      <c r="BC203" s="180" t="n">
        <f aca="false">AY203*$E$22</f>
        <v>621.80767884365</v>
      </c>
      <c r="BD203" s="180" t="n">
        <f aca="false">$E$23*MAX(0,BB203-AY203*$E$18)</f>
        <v>0</v>
      </c>
      <c r="BE203" s="180" t="n">
        <f aca="false">IF(AND($E$27=1,OR(MONTH($B203)=5,MONTH($B203)=11)),MAX(0,$E$28*MAX(0,(AY203+BB203-BC203-BD203+AZ203-BA203)+BH202-BG203)-BH202),0)</f>
        <v>0</v>
      </c>
      <c r="BF203" s="181" t="n">
        <f aca="false">AY203+BB203-BC203-BD203+AZ203-BA203-BE203</f>
        <v>501693.70901609</v>
      </c>
      <c r="BG203" s="180" t="n">
        <f aca="false">BG202+AZ203-BA203</f>
        <v>150000</v>
      </c>
      <c r="BH203" s="180" t="n">
        <f aca="false">BH202+BE203</f>
        <v>0</v>
      </c>
      <c r="BI203" s="180" t="n">
        <f aca="false">BF203+BH203-BG203</f>
        <v>351693.70901609</v>
      </c>
      <c r="BJ203" s="180" t="n">
        <f aca="false">MAX(0,IFERROR(INDEX(TAB_IR,MATCH($C203,TAB_IR_DIAS,1),MATCH($E$8,TAB_IR_REGIMES,0)),0)*IF($E$26=2,BF203,MAX(0,BI203))-BH203)</f>
        <v>35169.370901609</v>
      </c>
      <c r="BK203" s="181" t="n">
        <f aca="false">MAX(0,BF203-BJ203-BF203*$E$25)</f>
        <v>466524.338114481</v>
      </c>
      <c r="BL203" s="180" t="n">
        <f aca="false">BK203/$D203</f>
        <v>293300.716346379</v>
      </c>
      <c r="BN203" s="180" t="n">
        <f aca="false">BU202</f>
        <v>497446.14307492</v>
      </c>
      <c r="BO203" s="180" t="n">
        <f aca="false">IF($F$9=0,0,IF($A203&gt;IN_PRAZO,0,IF(APORTE_CORRIGIDO="Sim",IN_APORTE*$D203,IN_APORTE))+IF(AND($F$35=1,PGBL_REINVESTE="Sim",$A203&gt;=13,$A203&lt;=IN_PRAZO,MONTH($B203)=5),PGBL_BENEFICIO,0))</f>
        <v>0</v>
      </c>
      <c r="BP203" s="180" t="n">
        <f aca="false">BO203*$F$24</f>
        <v>0</v>
      </c>
      <c r="BQ203" s="180" t="n">
        <f aca="false">BN203*$F$19</f>
        <v>4869.37362001419</v>
      </c>
      <c r="BR203" s="180" t="n">
        <f aca="false">BN203*$F$22</f>
        <v>621.80767884365</v>
      </c>
      <c r="BS203" s="180" t="n">
        <f aca="false">$F$23*MAX(0,BQ203-BN203*$F$18)</f>
        <v>0</v>
      </c>
      <c r="BT203" s="180" t="n">
        <f aca="false">IF(AND($F$27=1,OR(MONTH($B203)=5,MONTH($B203)=11)),MAX(0,$F$28*MAX(0,(BN203+BQ203-BR203-BS203+BO203-BP203)+BW202-BV203)-BW202),0)</f>
        <v>0</v>
      </c>
      <c r="BU203" s="181" t="n">
        <f aca="false">BN203+BQ203-BR203-BS203+BO203-BP203-BT203</f>
        <v>501693.70901609</v>
      </c>
      <c r="BV203" s="180" t="n">
        <f aca="false">BV202+BO203-BP203</f>
        <v>150000</v>
      </c>
      <c r="BW203" s="180" t="n">
        <f aca="false">BW202+BT203</f>
        <v>0</v>
      </c>
      <c r="BX203" s="180" t="n">
        <f aca="false">BU203+BW203-BV203</f>
        <v>351693.70901609</v>
      </c>
      <c r="BY203" s="180" t="n">
        <f aca="false">MAX(0,IFERROR(INDEX(TAB_IR,MATCH($C203,TAB_IR_DIAS,1),MATCH($F$8,TAB_IR_REGIMES,0)),0)*IF($F$26=2,BU203,MAX(0,BX203))-BW203)</f>
        <v>50169.370901609</v>
      </c>
      <c r="BZ203" s="181" t="n">
        <f aca="false">MAX(0,BU203-BY203-BU203*$F$25)</f>
        <v>451524.338114481</v>
      </c>
      <c r="CA203" s="180" t="n">
        <f aca="false">BZ203/$D203</f>
        <v>283870.317145821</v>
      </c>
      <c r="CC203" s="180" t="n">
        <f aca="false">CJ202</f>
        <v>360689.535664733</v>
      </c>
      <c r="CD203" s="180" t="n">
        <f aca="false">IF($G$9=0,0,IF($A203&gt;IN_PRAZO,0,IF(APORTE_CORRIGIDO="Sim",IN_APORTE*$D203,IN_APORTE))+IF(AND($G$35=1,PGBL_REINVESTE="Sim",$A203&gt;=13,$A203&lt;=IN_PRAZO,MONTH($B203)=5),PGBL_BENEFICIO,0))</f>
        <v>0</v>
      </c>
      <c r="CE203" s="180" t="n">
        <f aca="false">CD203*$G$24</f>
        <v>0</v>
      </c>
      <c r="CF203" s="180" t="n">
        <f aca="false">CC203*$G$19</f>
        <v>2942.22585679616</v>
      </c>
      <c r="CG203" s="180" t="n">
        <f aca="false">CC203*$G$22</f>
        <v>300.574613053944</v>
      </c>
      <c r="CH203" s="180" t="n">
        <f aca="false">$G$23*MAX(0,CF203-CC203*$G$18)</f>
        <v>0</v>
      </c>
      <c r="CI203" s="180" t="n">
        <f aca="false">IF(AND($G$27=1,OR(MONTH($B203)=5,MONTH($B203)=11)),MAX(0,$G$28*MAX(0,(CC203+CF203-CG203-CH203+CD203-CE203)+CL202-CK203)-CL202),0)</f>
        <v>0</v>
      </c>
      <c r="CJ203" s="181" t="n">
        <f aca="false">CC203+CF203-CG203-CH203+CD203-CE203-CI203</f>
        <v>363331.186908475</v>
      </c>
      <c r="CK203" s="180" t="n">
        <f aca="false">CK202+CD203-CE203</f>
        <v>150000</v>
      </c>
      <c r="CL203" s="180" t="n">
        <f aca="false">CL202+CI203</f>
        <v>37180.5062937763</v>
      </c>
      <c r="CM203" s="180" t="n">
        <f aca="false">CJ203+CL203-CK203</f>
        <v>250511.693202251</v>
      </c>
      <c r="CN203" s="180" t="n">
        <f aca="false">MAX(0,IFERROR(INDEX(TAB_IR,MATCH($C203,TAB_IR_DIAS,1),MATCH($G$8,TAB_IR_REGIMES,0)),0)*IF($G$26=2,CJ203,MAX(0,CM203))-CL203)</f>
        <v>396.247686561328</v>
      </c>
      <c r="CO203" s="181" t="n">
        <f aca="false">MAX(0,CJ203-CN203-CJ203*$G$25)</f>
        <v>362934.939221913</v>
      </c>
      <c r="CP203" s="180" t="n">
        <f aca="false">CO203/$D203</f>
        <v>228174.757379528</v>
      </c>
    </row>
    <row r="204" customFormat="false" ht="12" hidden="false" customHeight="true" outlineLevel="0" collapsed="false">
      <c r="A204" s="177" t="n">
        <v>143</v>
      </c>
      <c r="B204" s="178" t="n">
        <f aca="false">EDATE(DATA_INICIO,$A204)</f>
        <v>50609</v>
      </c>
      <c r="C204" s="177" t="n">
        <f aca="false">$A204*30</f>
        <v>4290</v>
      </c>
      <c r="D204" s="179" t="n">
        <f aca="false">(1+IPCA_CENARIO)^($A204/12)</f>
        <v>1.59580795856896</v>
      </c>
      <c r="F204" s="180" t="n">
        <f aca="false">M203</f>
        <v>560172.772580543</v>
      </c>
      <c r="G204" s="180" t="n">
        <f aca="false">IF($B$9=0,0,IF($A204&gt;IN_PRAZO,0,IF(APORTE_CORRIGIDO="Sim",IN_APORTE*$D204,IN_APORTE))+IF(AND($B$35=1,PGBL_REINVESTE="Sim",$A204&gt;=13,$A204&lt;=IN_PRAZO,MONTH($B204)=5),PGBL_BENEFICIO,0))</f>
        <v>0</v>
      </c>
      <c r="H204" s="180" t="n">
        <f aca="false">G204*$B$24</f>
        <v>0</v>
      </c>
      <c r="I204" s="180" t="n">
        <f aca="false">F204*$B$19</f>
        <v>5315.36344660805</v>
      </c>
      <c r="J204" s="180" t="n">
        <f aca="false">F204*$B$22</f>
        <v>93.3621287634238</v>
      </c>
      <c r="K204" s="180" t="n">
        <f aca="false">$B$23*MAX(0,I204-F204*$B$18)</f>
        <v>0</v>
      </c>
      <c r="L204" s="180" t="n">
        <f aca="false">IF(AND($B$27=1,OR(MONTH($B204)=5,MONTH($B204)=11)),MAX(0,$B$28*MAX(0,(F204+I204-J204-K204+G204-H204)+O203-N204)-O203),0)</f>
        <v>0</v>
      </c>
      <c r="M204" s="181" t="n">
        <f aca="false">F204+I204-J204-K204+G204-H204-L204</f>
        <v>565394.773898388</v>
      </c>
      <c r="N204" s="180" t="n">
        <f aca="false">N203+G204-H204</f>
        <v>150000</v>
      </c>
      <c r="O204" s="180" t="n">
        <f aca="false">O203+L204</f>
        <v>0</v>
      </c>
      <c r="P204" s="180" t="n">
        <f aca="false">M204+O204-N204</f>
        <v>415394.773898388</v>
      </c>
      <c r="Q204" s="180" t="n">
        <f aca="false">MAX(0,IFERROR(INDEX(TAB_IR,MATCH($C204,TAB_IR_DIAS,1),MATCH($B$8,TAB_IR_REGIMES,0)),0)*IF($B$26=2,M204,MAX(0,P204))-O204)</f>
        <v>62309.2160847582</v>
      </c>
      <c r="R204" s="181" t="n">
        <f aca="false">MAX(0,M204-Q204-M204*$B$25)</f>
        <v>503085.55781363</v>
      </c>
      <c r="S204" s="180" t="n">
        <f aca="false">R204/$D204</f>
        <v>315254.448451786</v>
      </c>
      <c r="U204" s="180" t="n">
        <f aca="false">AB203</f>
        <v>464418.165063983</v>
      </c>
      <c r="V204" s="180" t="n">
        <f aca="false">IF($C$9=0,0,IF($A204&gt;IN_PRAZO,0,IF(APORTE_CORRIGIDO="Sim",IN_APORTE*$D204,IN_APORTE))+IF(AND($C$35=1,PGBL_REINVESTE="Sim",$A204&gt;=13,$A204&lt;=IN_PRAZO,MONTH($B204)=5),PGBL_BENEFICIO,0))</f>
        <v>0</v>
      </c>
      <c r="W204" s="180" t="n">
        <f aca="false">V204*$C$24</f>
        <v>0</v>
      </c>
      <c r="X204" s="180" t="n">
        <f aca="false">U204*$C$19</f>
        <v>3788.36367154049</v>
      </c>
      <c r="Y204" s="180" t="n">
        <f aca="false">U204*$C$22</f>
        <v>77.4030275106639</v>
      </c>
      <c r="Z204" s="180" t="n">
        <f aca="false">$C$23*MAX(0,X204-U204*$C$18)</f>
        <v>0</v>
      </c>
      <c r="AA204" s="180" t="n">
        <f aca="false">IF(AND($C$27=1,OR(MONTH($B204)=5,MONTH($B204)=11)),MAX(0,$C$28*MAX(0,(U204+X204-Y204-Z204+V204-W204)+AD203-AC204)-AD203),0)</f>
        <v>0</v>
      </c>
      <c r="AB204" s="181" t="n">
        <f aca="false">U204+X204-Y204-Z204+V204-W204-AA204</f>
        <v>468129.125708013</v>
      </c>
      <c r="AC204" s="180" t="n">
        <f aca="false">AC203+V204-W204</f>
        <v>150000</v>
      </c>
      <c r="AD204" s="180" t="n">
        <f aca="false">AD203+AA204</f>
        <v>0</v>
      </c>
      <c r="AE204" s="180" t="n">
        <f aca="false">AB204+AD204-AC204</f>
        <v>318129.125708013</v>
      </c>
      <c r="AF204" s="180" t="n">
        <f aca="false">MAX(0,IFERROR(INDEX(TAB_IR,MATCH($C204,TAB_IR_DIAS,1),MATCH($C$8,TAB_IR_REGIMES,0)),0)*IF($C$26=2,AB204,MAX(0,AE204))-AD204)</f>
        <v>47719.368856202</v>
      </c>
      <c r="AG204" s="181" t="n">
        <f aca="false">MAX(0,AB204-AF204-AB204*$C$25)</f>
        <v>420409.756851811</v>
      </c>
      <c r="AH204" s="180" t="n">
        <f aca="false">AG204/$D204</f>
        <v>263446.334249901</v>
      </c>
      <c r="AJ204" s="180" t="n">
        <f aca="false">AQ203</f>
        <v>401695.510289486</v>
      </c>
      <c r="AK204" s="180" t="n">
        <f aca="false">IF($D$9=0,0,IF($A204&gt;IN_PRAZO,0,IF(APORTE_CORRIGIDO="Sim",IN_APORTE*$D204,IN_APORTE))+IF(AND($D$35=1,PGBL_REINVESTE="Sim",$A204&gt;=13,$A204&lt;=IN_PRAZO,MONTH($B204)=5),PGBL_BENEFICIO,0))</f>
        <v>0</v>
      </c>
      <c r="AL204" s="180" t="n">
        <f aca="false">AK204*$D$24</f>
        <v>0</v>
      </c>
      <c r="AM204" s="180" t="n">
        <f aca="false">AJ204*$D$19</f>
        <v>3610.71924815501</v>
      </c>
      <c r="AN204" s="180" t="n">
        <f aca="false">AJ204*$D$22</f>
        <v>334.746258574572</v>
      </c>
      <c r="AO204" s="180" t="n">
        <f aca="false">$D$23*MAX(0,AM204-AJ204*$D$18)</f>
        <v>0</v>
      </c>
      <c r="AP204" s="180" t="n">
        <f aca="false">IF(AND($D$27=1,OR(MONTH($B204)=5,MONTH($B204)=11)),MAX(0,$D$28*MAX(0,(AJ204+AM204-AN204-AO204+AK204-AL204)+AS203-AR204)-AS203),0)</f>
        <v>0</v>
      </c>
      <c r="AQ204" s="181" t="n">
        <f aca="false">AJ204+AM204-AN204-AO204+AK204-AL204-AP204</f>
        <v>404971.483279066</v>
      </c>
      <c r="AR204" s="180" t="n">
        <f aca="false">AR203+AK204-AL204</f>
        <v>150000</v>
      </c>
      <c r="AS204" s="180" t="n">
        <f aca="false">AS203+AP204</f>
        <v>43843.4184580398</v>
      </c>
      <c r="AT204" s="180" t="n">
        <f aca="false">AQ204+AS204-AR204</f>
        <v>298814.901737106</v>
      </c>
      <c r="AU204" s="180" t="n">
        <f aca="false">MAX(0,IFERROR(INDEX(TAB_IR,MATCH($C204,TAB_IR_DIAS,1),MATCH($D$8,TAB_IR_REGIMES,0)),0)*IF($D$26=2,AQ204,MAX(0,AT204))-AS204)</f>
        <v>978.816802526162</v>
      </c>
      <c r="AV204" s="181" t="n">
        <f aca="false">MAX(0,AQ204-AU204-AQ204*$D$25)</f>
        <v>403992.66647654</v>
      </c>
      <c r="AW204" s="180" t="n">
        <f aca="false">AV204/$D204</f>
        <v>253158.698894333</v>
      </c>
      <c r="AY204" s="180" t="n">
        <f aca="false">BF203</f>
        <v>501693.70901609</v>
      </c>
      <c r="AZ204" s="180" t="n">
        <f aca="false">IF($E$9=0,0,IF($A204&gt;IN_PRAZO,0,IF(APORTE_CORRIGIDO="Sim",IN_APORTE*$D204,IN_APORTE))+IF(AND($E$35=1,PGBL_REINVESTE="Sim",$A204&gt;=13,$A204&lt;=IN_PRAZO,MONTH($B204)=5),PGBL_BENEFICIO,0))</f>
        <v>0</v>
      </c>
      <c r="BA204" s="180" t="n">
        <f aca="false">AZ204*$E$24</f>
        <v>0</v>
      </c>
      <c r="BB204" s="180" t="n">
        <f aca="false">AY204*$E$19</f>
        <v>4910.95196137062</v>
      </c>
      <c r="BC204" s="180" t="n">
        <f aca="false">AY204*$E$22</f>
        <v>627.117136270113</v>
      </c>
      <c r="BD204" s="180" t="n">
        <f aca="false">$E$23*MAX(0,BB204-AY204*$E$18)</f>
        <v>0</v>
      </c>
      <c r="BE204" s="180" t="n">
        <f aca="false">IF(AND($E$27=1,OR(MONTH($B204)=5,MONTH($B204)=11)),MAX(0,$E$28*MAX(0,(AY204+BB204-BC204-BD204+AZ204-BA204)+BH203-BG204)-BH203),0)</f>
        <v>0</v>
      </c>
      <c r="BF204" s="181" t="n">
        <f aca="false">AY204+BB204-BC204-BD204+AZ204-BA204-BE204</f>
        <v>505977.543841191</v>
      </c>
      <c r="BG204" s="180" t="n">
        <f aca="false">BG203+AZ204-BA204</f>
        <v>150000</v>
      </c>
      <c r="BH204" s="180" t="n">
        <f aca="false">BH203+BE204</f>
        <v>0</v>
      </c>
      <c r="BI204" s="180" t="n">
        <f aca="false">BF204+BH204-BG204</f>
        <v>355977.543841191</v>
      </c>
      <c r="BJ204" s="180" t="n">
        <f aca="false">MAX(0,IFERROR(INDEX(TAB_IR,MATCH($C204,TAB_IR_DIAS,1),MATCH($E$8,TAB_IR_REGIMES,0)),0)*IF($E$26=2,BF204,MAX(0,BI204))-BH204)</f>
        <v>35597.7543841191</v>
      </c>
      <c r="BK204" s="181" t="n">
        <f aca="false">MAX(0,BF204-BJ204-BF204*$E$25)</f>
        <v>470379.789457072</v>
      </c>
      <c r="BL204" s="180" t="n">
        <f aca="false">BK204/$D204</f>
        <v>294759.646316643</v>
      </c>
      <c r="BN204" s="180" t="n">
        <f aca="false">BU203</f>
        <v>501693.70901609</v>
      </c>
      <c r="BO204" s="180" t="n">
        <f aca="false">IF($F$9=0,0,IF($A204&gt;IN_PRAZO,0,IF(APORTE_CORRIGIDO="Sim",IN_APORTE*$D204,IN_APORTE))+IF(AND($F$35=1,PGBL_REINVESTE="Sim",$A204&gt;=13,$A204&lt;=IN_PRAZO,MONTH($B204)=5),PGBL_BENEFICIO,0))</f>
        <v>0</v>
      </c>
      <c r="BP204" s="180" t="n">
        <f aca="false">BO204*$F$24</f>
        <v>0</v>
      </c>
      <c r="BQ204" s="180" t="n">
        <f aca="false">BN204*$F$19</f>
        <v>4910.95196137062</v>
      </c>
      <c r="BR204" s="180" t="n">
        <f aca="false">BN204*$F$22</f>
        <v>627.117136270113</v>
      </c>
      <c r="BS204" s="180" t="n">
        <f aca="false">$F$23*MAX(0,BQ204-BN204*$F$18)</f>
        <v>0</v>
      </c>
      <c r="BT204" s="180" t="n">
        <f aca="false">IF(AND($F$27=1,OR(MONTH($B204)=5,MONTH($B204)=11)),MAX(0,$F$28*MAX(0,(BN204+BQ204-BR204-BS204+BO204-BP204)+BW203-BV204)-BW203),0)</f>
        <v>0</v>
      </c>
      <c r="BU204" s="181" t="n">
        <f aca="false">BN204+BQ204-BR204-BS204+BO204-BP204-BT204</f>
        <v>505977.543841191</v>
      </c>
      <c r="BV204" s="180" t="n">
        <f aca="false">BV203+BO204-BP204</f>
        <v>150000</v>
      </c>
      <c r="BW204" s="180" t="n">
        <f aca="false">BW203+BT204</f>
        <v>0</v>
      </c>
      <c r="BX204" s="180" t="n">
        <f aca="false">BU204+BW204-BV204</f>
        <v>355977.543841191</v>
      </c>
      <c r="BY204" s="180" t="n">
        <f aca="false">MAX(0,IFERROR(INDEX(TAB_IR,MATCH($C204,TAB_IR_DIAS,1),MATCH($F$8,TAB_IR_REGIMES,0)),0)*IF($F$26=2,BU204,MAX(0,BX204))-BW204)</f>
        <v>50597.7543841191</v>
      </c>
      <c r="BZ204" s="181" t="n">
        <f aca="false">MAX(0,BU204-BY204-BU204*$F$25)</f>
        <v>455379.789457072</v>
      </c>
      <c r="CA204" s="180" t="n">
        <f aca="false">BZ204/$D204</f>
        <v>285360.019049806</v>
      </c>
      <c r="CC204" s="180" t="n">
        <f aca="false">CJ203</f>
        <v>363331.186908475</v>
      </c>
      <c r="CD204" s="180" t="n">
        <f aca="false">IF($G$9=0,0,IF($A204&gt;IN_PRAZO,0,IF(APORTE_CORRIGIDO="Sim",IN_APORTE*$D204,IN_APORTE))+IF(AND($G$35=1,PGBL_REINVESTE="Sim",$A204&gt;=13,$A204&lt;=IN_PRAZO,MONTH($B204)=5),PGBL_BENEFICIO,0))</f>
        <v>0</v>
      </c>
      <c r="CE204" s="180" t="n">
        <f aca="false">CD204*$G$24</f>
        <v>0</v>
      </c>
      <c r="CF204" s="180" t="n">
        <f aca="false">CC204*$G$19</f>
        <v>2963.77440152911</v>
      </c>
      <c r="CG204" s="180" t="n">
        <f aca="false">CC204*$G$22</f>
        <v>302.775989090396</v>
      </c>
      <c r="CH204" s="180" t="n">
        <f aca="false">$G$23*MAX(0,CF204-CC204*$G$18)</f>
        <v>0</v>
      </c>
      <c r="CI204" s="180" t="n">
        <f aca="false">IF(AND($G$27=1,OR(MONTH($B204)=5,MONTH($B204)=11)),MAX(0,$G$28*MAX(0,(CC204+CF204-CG204-CH204+CD204-CE204)+CL203-CK204)-CL203),0)</f>
        <v>0</v>
      </c>
      <c r="CJ204" s="181" t="n">
        <f aca="false">CC204+CF204-CG204-CH204+CD204-CE204-CI204</f>
        <v>365992.185320914</v>
      </c>
      <c r="CK204" s="180" t="n">
        <f aca="false">CK203+CD204-CE204</f>
        <v>150000</v>
      </c>
      <c r="CL204" s="180" t="n">
        <f aca="false">CL203+CI204</f>
        <v>37180.5062937763</v>
      </c>
      <c r="CM204" s="180" t="n">
        <f aca="false">CJ204+CL204-CK204</f>
        <v>253172.69161469</v>
      </c>
      <c r="CN204" s="180" t="n">
        <f aca="false">MAX(0,IFERROR(INDEX(TAB_IR,MATCH($C204,TAB_IR_DIAS,1),MATCH($G$8,TAB_IR_REGIMES,0)),0)*IF($G$26=2,CJ204,MAX(0,CM204))-CL204)</f>
        <v>795.397448427138</v>
      </c>
      <c r="CO204" s="181" t="n">
        <f aca="false">MAX(0,CJ204-CN204-CJ204*$G$25)</f>
        <v>365196.787872486</v>
      </c>
      <c r="CP204" s="180" t="n">
        <f aca="false">CO204/$D204</f>
        <v>228847.579003162</v>
      </c>
    </row>
    <row r="205" customFormat="false" ht="12" hidden="false" customHeight="true" outlineLevel="0" collapsed="false">
      <c r="A205" s="177" t="n">
        <v>144</v>
      </c>
      <c r="B205" s="178" t="n">
        <f aca="false">EDATE(DATA_INICIO,$A205)</f>
        <v>50640</v>
      </c>
      <c r="C205" s="177" t="n">
        <f aca="false">$A205*30</f>
        <v>4320</v>
      </c>
      <c r="D205" s="179" t="n">
        <f aca="false">(1+IPCA_CENARIO)^($A205/12)</f>
        <v>1.60103221856768</v>
      </c>
      <c r="F205" s="180" t="n">
        <f aca="false">M204</f>
        <v>565394.773898388</v>
      </c>
      <c r="G205" s="180" t="n">
        <f aca="false">IF($B$9=0,0,IF($A205&gt;IN_PRAZO,0,IF(APORTE_CORRIGIDO="Sim",IN_APORTE*$D205,IN_APORTE))+IF(AND($B$35=1,PGBL_REINVESTE="Sim",$A205&gt;=13,$A205&lt;=IN_PRAZO,MONTH($B205)=5),PGBL_BENEFICIO,0))</f>
        <v>0</v>
      </c>
      <c r="H205" s="180" t="n">
        <f aca="false">G205*$B$24</f>
        <v>0</v>
      </c>
      <c r="I205" s="180" t="n">
        <f aca="false">F205*$B$19</f>
        <v>5364.9139358172</v>
      </c>
      <c r="J205" s="180" t="n">
        <f aca="false">F205*$B$22</f>
        <v>94.2324623163979</v>
      </c>
      <c r="K205" s="180" t="n">
        <f aca="false">$B$23*MAX(0,I205-F205*$B$18)</f>
        <v>0</v>
      </c>
      <c r="L205" s="180" t="n">
        <f aca="false">IF(AND($B$27=1,OR(MONTH($B205)=5,MONTH($B205)=11)),MAX(0,$B$28*MAX(0,(F205+I205-J205-K205+G205-H205)+O204-N205)-O204),0)</f>
        <v>0</v>
      </c>
      <c r="M205" s="181" t="n">
        <f aca="false">F205+I205-J205-K205+G205-H205-L205</f>
        <v>570665.455371889</v>
      </c>
      <c r="N205" s="180" t="n">
        <f aca="false">N204+G205-H205</f>
        <v>150000</v>
      </c>
      <c r="O205" s="180" t="n">
        <f aca="false">O204+L205</f>
        <v>0</v>
      </c>
      <c r="P205" s="180" t="n">
        <f aca="false">M205+O205-N205</f>
        <v>420665.455371888</v>
      </c>
      <c r="Q205" s="180" t="n">
        <f aca="false">MAX(0,IFERROR(INDEX(TAB_IR,MATCH($C205,TAB_IR_DIAS,1),MATCH($B$8,TAB_IR_REGIMES,0)),0)*IF($B$26=2,M205,MAX(0,P205))-O205)</f>
        <v>63099.8183057833</v>
      </c>
      <c r="R205" s="181" t="n">
        <f aca="false">MAX(0,M205-Q205-M205*$B$25)</f>
        <v>507565.637066105</v>
      </c>
      <c r="S205" s="180" t="n">
        <f aca="false">R205/$D205</f>
        <v>317023.999379716</v>
      </c>
      <c r="U205" s="180" t="n">
        <f aca="false">AB204</f>
        <v>468129.125708013</v>
      </c>
      <c r="V205" s="180" t="n">
        <f aca="false">IF($C$9=0,0,IF($A205&gt;IN_PRAZO,0,IF(APORTE_CORRIGIDO="Sim",IN_APORTE*$D205,IN_APORTE))+IF(AND($C$35=1,PGBL_REINVESTE="Sim",$A205&gt;=13,$A205&lt;=IN_PRAZO,MONTH($B205)=5),PGBL_BENEFICIO,0))</f>
        <v>0</v>
      </c>
      <c r="W205" s="180" t="n">
        <f aca="false">V205*$C$24</f>
        <v>0</v>
      </c>
      <c r="X205" s="180" t="n">
        <f aca="false">U205*$C$19</f>
        <v>3818.63481411826</v>
      </c>
      <c r="Y205" s="180" t="n">
        <f aca="false">U205*$C$22</f>
        <v>78.0215209513356</v>
      </c>
      <c r="Z205" s="180" t="n">
        <f aca="false">$C$23*MAX(0,X205-U205*$C$18)</f>
        <v>0</v>
      </c>
      <c r="AA205" s="180" t="n">
        <f aca="false">IF(AND($C$27=1,OR(MONTH($B205)=5,MONTH($B205)=11)),MAX(0,$C$28*MAX(0,(U205+X205-Y205-Z205+V205-W205)+AD204-AC205)-AD204),0)</f>
        <v>0</v>
      </c>
      <c r="AB205" s="181" t="n">
        <f aca="false">U205+X205-Y205-Z205+V205-W205-AA205</f>
        <v>471869.73900118</v>
      </c>
      <c r="AC205" s="180" t="n">
        <f aca="false">AC204+V205-W205</f>
        <v>150000</v>
      </c>
      <c r="AD205" s="180" t="n">
        <f aca="false">AD204+AA205</f>
        <v>0</v>
      </c>
      <c r="AE205" s="180" t="n">
        <f aca="false">AB205+AD205-AC205</f>
        <v>321869.73900118</v>
      </c>
      <c r="AF205" s="180" t="n">
        <f aca="false">MAX(0,IFERROR(INDEX(TAB_IR,MATCH($C205,TAB_IR_DIAS,1),MATCH($C$8,TAB_IR_REGIMES,0)),0)*IF($C$26=2,AB205,MAX(0,AE205))-AD205)</f>
        <v>48280.460850177</v>
      </c>
      <c r="AG205" s="181" t="n">
        <f aca="false">MAX(0,AB205-AF205-AB205*$C$25)</f>
        <v>423589.278151003</v>
      </c>
      <c r="AH205" s="180" t="n">
        <f aca="false">AG205/$D205</f>
        <v>264572.613366866</v>
      </c>
      <c r="AJ205" s="180" t="n">
        <f aca="false">AQ204</f>
        <v>404971.483279066</v>
      </c>
      <c r="AK205" s="180" t="n">
        <f aca="false">IF($D$9=0,0,IF($A205&gt;IN_PRAZO,0,IF(APORTE_CORRIGIDO="Sim",IN_APORTE*$D205,IN_APORTE))+IF(AND($D$35=1,PGBL_REINVESTE="Sim",$A205&gt;=13,$A205&lt;=IN_PRAZO,MONTH($B205)=5),PGBL_BENEFICIO,0))</f>
        <v>0</v>
      </c>
      <c r="AL205" s="180" t="n">
        <f aca="false">AK205*$D$24</f>
        <v>0</v>
      </c>
      <c r="AM205" s="180" t="n">
        <f aca="false">AJ205*$D$19</f>
        <v>3640.16597690084</v>
      </c>
      <c r="AN205" s="180" t="n">
        <f aca="false">AJ205*$D$22</f>
        <v>337.476236065889</v>
      </c>
      <c r="AO205" s="180" t="n">
        <f aca="false">$D$23*MAX(0,AM205-AJ205*$D$18)</f>
        <v>0</v>
      </c>
      <c r="AP205" s="180" t="n">
        <f aca="false">IF(AND($D$27=1,OR(MONTH($B205)=5,MONTH($B205)=11)),MAX(0,$D$28*MAX(0,(AJ205+AM205-AN205-AO205+AK205-AL205)+AS204-AR205)-AS204),0)</f>
        <v>0</v>
      </c>
      <c r="AQ205" s="181" t="n">
        <f aca="false">AJ205+AM205-AN205-AO205+AK205-AL205-AP205</f>
        <v>408274.173019901</v>
      </c>
      <c r="AR205" s="180" t="n">
        <f aca="false">AR204+AK205-AL205</f>
        <v>150000</v>
      </c>
      <c r="AS205" s="180" t="n">
        <f aca="false">AS204+AP205</f>
        <v>43843.4184580398</v>
      </c>
      <c r="AT205" s="180" t="n">
        <f aca="false">AQ205+AS205-AR205</f>
        <v>302117.591477941</v>
      </c>
      <c r="AU205" s="180" t="n">
        <f aca="false">MAX(0,IFERROR(INDEX(TAB_IR,MATCH($C205,TAB_IR_DIAS,1),MATCH($D$8,TAB_IR_REGIMES,0)),0)*IF($D$26=2,AQ205,MAX(0,AT205))-AS205)</f>
        <v>1474.2202636514</v>
      </c>
      <c r="AV205" s="181" t="n">
        <f aca="false">MAX(0,AQ205-AU205-AQ205*$D$25)</f>
        <v>406799.95275625</v>
      </c>
      <c r="AW205" s="180" t="n">
        <f aca="false">AV205/$D205</f>
        <v>254086.050260864</v>
      </c>
      <c r="AY205" s="180" t="n">
        <f aca="false">BF204</f>
        <v>505977.543841191</v>
      </c>
      <c r="AZ205" s="180" t="n">
        <f aca="false">IF($E$9=0,0,IF($A205&gt;IN_PRAZO,0,IF(APORTE_CORRIGIDO="Sim",IN_APORTE*$D205,IN_APORTE))+IF(AND($E$35=1,PGBL_REINVESTE="Sim",$A205&gt;=13,$A205&lt;=IN_PRAZO,MONTH($B205)=5),PGBL_BENEFICIO,0))</f>
        <v>0</v>
      </c>
      <c r="BA205" s="180" t="n">
        <f aca="false">AZ205*$E$24</f>
        <v>0</v>
      </c>
      <c r="BB205" s="180" t="n">
        <f aca="false">AY205*$E$19</f>
        <v>4952.88532959597</v>
      </c>
      <c r="BC205" s="180" t="n">
        <f aca="false">AY205*$E$22</f>
        <v>632.471929801488</v>
      </c>
      <c r="BD205" s="180" t="n">
        <f aca="false">$E$23*MAX(0,BB205-AY205*$E$18)</f>
        <v>0</v>
      </c>
      <c r="BE205" s="180" t="n">
        <f aca="false">IF(AND($E$27=1,OR(MONTH($B205)=5,MONTH($B205)=11)),MAX(0,$E$28*MAX(0,(AY205+BB205-BC205-BD205+AZ205-BA205)+BH204-BG205)-BH204),0)</f>
        <v>0</v>
      </c>
      <c r="BF205" s="181" t="n">
        <f aca="false">AY205+BB205-BC205-BD205+AZ205-BA205-BE205</f>
        <v>510297.957240985</v>
      </c>
      <c r="BG205" s="180" t="n">
        <f aca="false">BG204+AZ205-BA205</f>
        <v>150000</v>
      </c>
      <c r="BH205" s="180" t="n">
        <f aca="false">BH204+BE205</f>
        <v>0</v>
      </c>
      <c r="BI205" s="180" t="n">
        <f aca="false">BF205+BH205-BG205</f>
        <v>360297.957240985</v>
      </c>
      <c r="BJ205" s="180" t="n">
        <f aca="false">MAX(0,IFERROR(INDEX(TAB_IR,MATCH($C205,TAB_IR_DIAS,1),MATCH($E$8,TAB_IR_REGIMES,0)),0)*IF($E$26=2,BF205,MAX(0,BI205))-BH205)</f>
        <v>36029.7957240985</v>
      </c>
      <c r="BK205" s="181" t="n">
        <f aca="false">MAX(0,BF205-BJ205-BF205*$E$25)</f>
        <v>474268.161516887</v>
      </c>
      <c r="BL205" s="180" t="n">
        <f aca="false">BK205/$D205</f>
        <v>296226.494393209</v>
      </c>
      <c r="BN205" s="180" t="n">
        <f aca="false">BU204</f>
        <v>505977.543841191</v>
      </c>
      <c r="BO205" s="180" t="n">
        <f aca="false">IF($F$9=0,0,IF($A205&gt;IN_PRAZO,0,IF(APORTE_CORRIGIDO="Sim",IN_APORTE*$D205,IN_APORTE))+IF(AND($F$35=1,PGBL_REINVESTE="Sim",$A205&gt;=13,$A205&lt;=IN_PRAZO,MONTH($B205)=5),PGBL_BENEFICIO,0))</f>
        <v>0</v>
      </c>
      <c r="BP205" s="180" t="n">
        <f aca="false">BO205*$F$24</f>
        <v>0</v>
      </c>
      <c r="BQ205" s="180" t="n">
        <f aca="false">BN205*$F$19</f>
        <v>4952.88532959597</v>
      </c>
      <c r="BR205" s="180" t="n">
        <f aca="false">BN205*$F$22</f>
        <v>632.471929801488</v>
      </c>
      <c r="BS205" s="180" t="n">
        <f aca="false">$F$23*MAX(0,BQ205-BN205*$F$18)</f>
        <v>0</v>
      </c>
      <c r="BT205" s="180" t="n">
        <f aca="false">IF(AND($F$27=1,OR(MONTH($B205)=5,MONTH($B205)=11)),MAX(0,$F$28*MAX(0,(BN205+BQ205-BR205-BS205+BO205-BP205)+BW204-BV205)-BW204),0)</f>
        <v>0</v>
      </c>
      <c r="BU205" s="181" t="n">
        <f aca="false">BN205+BQ205-BR205-BS205+BO205-BP205-BT205</f>
        <v>510297.957240985</v>
      </c>
      <c r="BV205" s="180" t="n">
        <f aca="false">BV204+BO205-BP205</f>
        <v>150000</v>
      </c>
      <c r="BW205" s="180" t="n">
        <f aca="false">BW204+BT205</f>
        <v>0</v>
      </c>
      <c r="BX205" s="180" t="n">
        <f aca="false">BU205+BW205-BV205</f>
        <v>360297.957240985</v>
      </c>
      <c r="BY205" s="180" t="n">
        <f aca="false">MAX(0,IFERROR(INDEX(TAB_IR,MATCH($C205,TAB_IR_DIAS,1),MATCH($F$8,TAB_IR_REGIMES,0)),0)*IF($F$26=2,BU205,MAX(0,BX205))-BW205)</f>
        <v>51029.7957240985</v>
      </c>
      <c r="BZ205" s="181" t="n">
        <f aca="false">MAX(0,BU205-BY205-BU205*$F$25)</f>
        <v>459268.161516887</v>
      </c>
      <c r="CA205" s="180" t="n">
        <f aca="false">BZ205/$D205</f>
        <v>286857.538649508</v>
      </c>
      <c r="CC205" s="180" t="n">
        <f aca="false">CJ204</f>
        <v>365992.185320914</v>
      </c>
      <c r="CD205" s="180" t="n">
        <f aca="false">IF($G$9=0,0,IF($A205&gt;IN_PRAZO,0,IF(APORTE_CORRIGIDO="Sim",IN_APORTE*$D205,IN_APORTE))+IF(AND($G$35=1,PGBL_REINVESTE="Sim",$A205&gt;=13,$A205&lt;=IN_PRAZO,MONTH($B205)=5),PGBL_BENEFICIO,0))</f>
        <v>0</v>
      </c>
      <c r="CE205" s="180" t="n">
        <f aca="false">CD205*$G$24</f>
        <v>0</v>
      </c>
      <c r="CF205" s="180" t="n">
        <f aca="false">CC205*$G$19</f>
        <v>2985.48076547876</v>
      </c>
      <c r="CG205" s="180" t="n">
        <f aca="false">CC205*$G$22</f>
        <v>304.993487767428</v>
      </c>
      <c r="CH205" s="180" t="n">
        <f aca="false">$G$23*MAX(0,CF205-CC205*$G$18)</f>
        <v>0</v>
      </c>
      <c r="CI205" s="180" t="n">
        <f aca="false">IF(AND($G$27=1,OR(MONTH($B205)=5,MONTH($B205)=11)),MAX(0,$G$28*MAX(0,(CC205+CF205-CG205-CH205+CD205-CE205)+CL204-CK205)-CL204),0)</f>
        <v>0</v>
      </c>
      <c r="CJ205" s="181" t="n">
        <f aca="false">CC205+CF205-CG205-CH205+CD205-CE205-CI205</f>
        <v>368672.672598625</v>
      </c>
      <c r="CK205" s="180" t="n">
        <f aca="false">CK204+CD205-CE205</f>
        <v>150000</v>
      </c>
      <c r="CL205" s="180" t="n">
        <f aca="false">CL204+CI205</f>
        <v>37180.5062937763</v>
      </c>
      <c r="CM205" s="180" t="n">
        <f aca="false">CJ205+CL205-CK205</f>
        <v>255853.178892401</v>
      </c>
      <c r="CN205" s="180" t="n">
        <f aca="false">MAX(0,IFERROR(INDEX(TAB_IR,MATCH($C205,TAB_IR_DIAS,1),MATCH($G$8,TAB_IR_REGIMES,0)),0)*IF($G$26=2,CJ205,MAX(0,CM205))-CL205)</f>
        <v>1197.47054008384</v>
      </c>
      <c r="CO205" s="181" t="n">
        <f aca="false">MAX(0,CJ205-CN205-CJ205*$G$25)</f>
        <v>367475.202058541</v>
      </c>
      <c r="CP205" s="180" t="n">
        <f aca="false">CO205/$D205</f>
        <v>229523.926999603</v>
      </c>
    </row>
    <row r="206" customFormat="false" ht="12" hidden="false" customHeight="true" outlineLevel="0" collapsed="false">
      <c r="A206" s="177" t="n">
        <v>145</v>
      </c>
      <c r="B206" s="178" t="n">
        <f aca="false">EDATE(DATA_INICIO,$A206)</f>
        <v>50671</v>
      </c>
      <c r="C206" s="177" t="n">
        <f aca="false">$A206*30</f>
        <v>4350</v>
      </c>
      <c r="D206" s="179" t="n">
        <f aca="false">(1+IPCA_CENARIO)^($A206/12)</f>
        <v>1.60627358143419</v>
      </c>
      <c r="F206" s="180" t="n">
        <f aca="false">M205</f>
        <v>570665.455371889</v>
      </c>
      <c r="G206" s="180" t="n">
        <f aca="false">IF($B$9=0,0,IF($A206&gt;IN_PRAZO,0,IF(APORTE_CORRIGIDO="Sim",IN_APORTE*$D206,IN_APORTE))+IF(AND($B$35=1,PGBL_REINVESTE="Sim",$A206&gt;=13,$A206&lt;=IN_PRAZO,MONTH($B206)=5),PGBL_BENEFICIO,0))</f>
        <v>0</v>
      </c>
      <c r="H206" s="180" t="n">
        <f aca="false">G206*$B$24</f>
        <v>0</v>
      </c>
      <c r="I206" s="180" t="n">
        <f aca="false">F206*$B$19</f>
        <v>5414.92634094339</v>
      </c>
      <c r="J206" s="180" t="n">
        <f aca="false">F206*$B$22</f>
        <v>95.1109092286481</v>
      </c>
      <c r="K206" s="180" t="n">
        <f aca="false">$B$23*MAX(0,I206-F206*$B$18)</f>
        <v>0</v>
      </c>
      <c r="L206" s="180" t="n">
        <f aca="false">IF(AND($B$27=1,OR(MONTH($B206)=5,MONTH($B206)=11)),MAX(0,$B$28*MAX(0,(F206+I206-J206-K206+G206-H206)+O205-N206)-O205),0)</f>
        <v>0</v>
      </c>
      <c r="M206" s="181" t="n">
        <f aca="false">F206+I206-J206-K206+G206-H206-L206</f>
        <v>575985.270803603</v>
      </c>
      <c r="N206" s="180" t="n">
        <f aca="false">N205+G206-H206</f>
        <v>150000</v>
      </c>
      <c r="O206" s="180" t="n">
        <f aca="false">O205+L206</f>
        <v>0</v>
      </c>
      <c r="P206" s="180" t="n">
        <f aca="false">M206+O206-N206</f>
        <v>425985.270803603</v>
      </c>
      <c r="Q206" s="180" t="n">
        <f aca="false">MAX(0,IFERROR(INDEX(TAB_IR,MATCH($C206,TAB_IR_DIAS,1),MATCH($B$8,TAB_IR_REGIMES,0)),0)*IF($B$26=2,M206,MAX(0,P206))-O206)</f>
        <v>63897.7906205405</v>
      </c>
      <c r="R206" s="181" t="n">
        <f aca="false">MAX(0,M206-Q206-M206*$B$25)</f>
        <v>512087.480183063</v>
      </c>
      <c r="S206" s="180" t="n">
        <f aca="false">R206/$D206</f>
        <v>318804.645797534</v>
      </c>
      <c r="U206" s="180" t="n">
        <f aca="false">AB205</f>
        <v>471869.73900118</v>
      </c>
      <c r="V206" s="180" t="n">
        <f aca="false">IF($C$9=0,0,IF($A206&gt;IN_PRAZO,0,IF(APORTE_CORRIGIDO="Sim",IN_APORTE*$D206,IN_APORTE))+IF(AND($C$35=1,PGBL_REINVESTE="Sim",$A206&gt;=13,$A206&lt;=IN_PRAZO,MONTH($B206)=5),PGBL_BENEFICIO,0))</f>
        <v>0</v>
      </c>
      <c r="W206" s="180" t="n">
        <f aca="false">V206*$C$24</f>
        <v>0</v>
      </c>
      <c r="X206" s="180" t="n">
        <f aca="false">U206*$C$19</f>
        <v>3849.14784003998</v>
      </c>
      <c r="Y206" s="180" t="n">
        <f aca="false">U206*$C$22</f>
        <v>78.6449565001967</v>
      </c>
      <c r="Z206" s="180" t="n">
        <f aca="false">$C$23*MAX(0,X206-U206*$C$18)</f>
        <v>0</v>
      </c>
      <c r="AA206" s="180" t="n">
        <f aca="false">IF(AND($C$27=1,OR(MONTH($B206)=5,MONTH($B206)=11)),MAX(0,$C$28*MAX(0,(U206+X206-Y206-Z206+V206-W206)+AD205-AC206)-AD205),0)</f>
        <v>0</v>
      </c>
      <c r="AB206" s="181" t="n">
        <f aca="false">U206+X206-Y206-Z206+V206-W206-AA206</f>
        <v>475640.24188472</v>
      </c>
      <c r="AC206" s="180" t="n">
        <f aca="false">AC205+V206-W206</f>
        <v>150000</v>
      </c>
      <c r="AD206" s="180" t="n">
        <f aca="false">AD205+AA206</f>
        <v>0</v>
      </c>
      <c r="AE206" s="180" t="n">
        <f aca="false">AB206+AD206-AC206</f>
        <v>325640.24188472</v>
      </c>
      <c r="AF206" s="180" t="n">
        <f aca="false">MAX(0,IFERROR(INDEX(TAB_IR,MATCH($C206,TAB_IR_DIAS,1),MATCH($C$8,TAB_IR_REGIMES,0)),0)*IF($C$26=2,AB206,MAX(0,AE206))-AD206)</f>
        <v>48846.036282708</v>
      </c>
      <c r="AG206" s="181" t="n">
        <f aca="false">MAX(0,AB206-AF206-AB206*$C$25)</f>
        <v>426794.205602012</v>
      </c>
      <c r="AH206" s="180" t="n">
        <f aca="false">AG206/$D206</f>
        <v>265704.554028051</v>
      </c>
      <c r="AJ206" s="180" t="n">
        <f aca="false">AQ205</f>
        <v>408274.173019901</v>
      </c>
      <c r="AK206" s="180" t="n">
        <f aca="false">IF($D$9=0,0,IF($A206&gt;IN_PRAZO,0,IF(APORTE_CORRIGIDO="Sim",IN_APORTE*$D206,IN_APORTE))+IF(AND($D$35=1,PGBL_REINVESTE="Sim",$A206&gt;=13,$A206&lt;=IN_PRAZO,MONTH($B206)=5),PGBL_BENEFICIO,0))</f>
        <v>0</v>
      </c>
      <c r="AL206" s="180" t="n">
        <f aca="false">AK206*$D$24</f>
        <v>0</v>
      </c>
      <c r="AM206" s="180" t="n">
        <f aca="false">AJ206*$D$19</f>
        <v>3669.85285442985</v>
      </c>
      <c r="AN206" s="180" t="n">
        <f aca="false">AJ206*$D$22</f>
        <v>340.228477516584</v>
      </c>
      <c r="AO206" s="180" t="n">
        <f aca="false">$D$23*MAX(0,AM206-AJ206*$D$18)</f>
        <v>0</v>
      </c>
      <c r="AP206" s="180" t="n">
        <f aca="false">IF(AND($D$27=1,OR(MONTH($B206)=5,MONTH($B206)=11)),MAX(0,$D$28*MAX(0,(AJ206+AM206-AN206-AO206+AK206-AL206)+AS205-AR206)-AS205),0)</f>
        <v>0</v>
      </c>
      <c r="AQ206" s="181" t="n">
        <f aca="false">AJ206+AM206-AN206-AO206+AK206-AL206-AP206</f>
        <v>411603.797396815</v>
      </c>
      <c r="AR206" s="180" t="n">
        <f aca="false">AR205+AK206-AL206</f>
        <v>150000</v>
      </c>
      <c r="AS206" s="180" t="n">
        <f aca="false">AS205+AP206</f>
        <v>43843.4184580398</v>
      </c>
      <c r="AT206" s="180" t="n">
        <f aca="false">AQ206+AS206-AR206</f>
        <v>305447.215854854</v>
      </c>
      <c r="AU206" s="180" t="n">
        <f aca="false">MAX(0,IFERROR(INDEX(TAB_IR,MATCH($C206,TAB_IR_DIAS,1),MATCH($D$8,TAB_IR_REGIMES,0)),0)*IF($D$26=2,AQ206,MAX(0,AT206))-AS206)</f>
        <v>1973.6639201884</v>
      </c>
      <c r="AV206" s="181" t="n">
        <f aca="false">MAX(0,AQ206-AU206-AQ206*$D$25)</f>
        <v>409630.133476626</v>
      </c>
      <c r="AW206" s="180" t="n">
        <f aca="false">AV206/$D206</f>
        <v>255018.907246723</v>
      </c>
      <c r="AY206" s="180" t="n">
        <f aca="false">BF205</f>
        <v>510297.957240985</v>
      </c>
      <c r="AZ206" s="180" t="n">
        <f aca="false">IF($E$9=0,0,IF($A206&gt;IN_PRAZO,0,IF(APORTE_CORRIGIDO="Sim",IN_APORTE*$D206,IN_APORTE))+IF(AND($E$35=1,PGBL_REINVESTE="Sim",$A206&gt;=13,$A206&lt;=IN_PRAZO,MONTH($B206)=5),PGBL_BENEFICIO,0))</f>
        <v>0</v>
      </c>
      <c r="BA206" s="180" t="n">
        <f aca="false">AZ206*$E$24</f>
        <v>0</v>
      </c>
      <c r="BB206" s="180" t="n">
        <f aca="false">AY206*$E$19</f>
        <v>4995.17675617428</v>
      </c>
      <c r="BC206" s="180" t="n">
        <f aca="false">AY206*$E$22</f>
        <v>637.872446551231</v>
      </c>
      <c r="BD206" s="180" t="n">
        <f aca="false">$E$23*MAX(0,BB206-AY206*$E$18)</f>
        <v>0</v>
      </c>
      <c r="BE206" s="180" t="n">
        <f aca="false">IF(AND($E$27=1,OR(MONTH($B206)=5,MONTH($B206)=11)),MAX(0,$E$28*MAX(0,(AY206+BB206-BC206-BD206+AZ206-BA206)+BH205-BG206)-BH205),0)</f>
        <v>0</v>
      </c>
      <c r="BF206" s="181" t="n">
        <f aca="false">AY206+BB206-BC206-BD206+AZ206-BA206-BE206</f>
        <v>514655.261550608</v>
      </c>
      <c r="BG206" s="180" t="n">
        <f aca="false">BG205+AZ206-BA206</f>
        <v>150000</v>
      </c>
      <c r="BH206" s="180" t="n">
        <f aca="false">BH205+BE206</f>
        <v>0</v>
      </c>
      <c r="BI206" s="180" t="n">
        <f aca="false">BF206+BH206-BG206</f>
        <v>364655.261550608</v>
      </c>
      <c r="BJ206" s="180" t="n">
        <f aca="false">MAX(0,IFERROR(INDEX(TAB_IR,MATCH($C206,TAB_IR_DIAS,1),MATCH($E$8,TAB_IR_REGIMES,0)),0)*IF($E$26=2,BF206,MAX(0,BI206))-BH206)</f>
        <v>36465.5261550608</v>
      </c>
      <c r="BK206" s="181" t="n">
        <f aca="false">MAX(0,BF206-BJ206-BF206*$E$25)</f>
        <v>478189.735395547</v>
      </c>
      <c r="BL206" s="180" t="n">
        <f aca="false">BK206/$D206</f>
        <v>297701.301274337</v>
      </c>
      <c r="BN206" s="180" t="n">
        <f aca="false">BU205</f>
        <v>510297.957240985</v>
      </c>
      <c r="BO206" s="180" t="n">
        <f aca="false">IF($F$9=0,0,IF($A206&gt;IN_PRAZO,0,IF(APORTE_CORRIGIDO="Sim",IN_APORTE*$D206,IN_APORTE))+IF(AND($F$35=1,PGBL_REINVESTE="Sim",$A206&gt;=13,$A206&lt;=IN_PRAZO,MONTH($B206)=5),PGBL_BENEFICIO,0))</f>
        <v>0</v>
      </c>
      <c r="BP206" s="180" t="n">
        <f aca="false">BO206*$F$24</f>
        <v>0</v>
      </c>
      <c r="BQ206" s="180" t="n">
        <f aca="false">BN206*$F$19</f>
        <v>4995.17675617428</v>
      </c>
      <c r="BR206" s="180" t="n">
        <f aca="false">BN206*$F$22</f>
        <v>637.872446551231</v>
      </c>
      <c r="BS206" s="180" t="n">
        <f aca="false">$F$23*MAX(0,BQ206-BN206*$F$18)</f>
        <v>0</v>
      </c>
      <c r="BT206" s="180" t="n">
        <f aca="false">IF(AND($F$27=1,OR(MONTH($B206)=5,MONTH($B206)=11)),MAX(0,$F$28*MAX(0,(BN206+BQ206-BR206-BS206+BO206-BP206)+BW205-BV206)-BW205),0)</f>
        <v>0</v>
      </c>
      <c r="BU206" s="181" t="n">
        <f aca="false">BN206+BQ206-BR206-BS206+BO206-BP206-BT206</f>
        <v>514655.261550608</v>
      </c>
      <c r="BV206" s="180" t="n">
        <f aca="false">BV205+BO206-BP206</f>
        <v>150000</v>
      </c>
      <c r="BW206" s="180" t="n">
        <f aca="false">BW205+BT206</f>
        <v>0</v>
      </c>
      <c r="BX206" s="180" t="n">
        <f aca="false">BU206+BW206-BV206</f>
        <v>364655.261550608</v>
      </c>
      <c r="BY206" s="180" t="n">
        <f aca="false">MAX(0,IFERROR(INDEX(TAB_IR,MATCH($C206,TAB_IR_DIAS,1),MATCH($F$8,TAB_IR_REGIMES,0)),0)*IF($F$26=2,BU206,MAX(0,BX206))-BW206)</f>
        <v>51465.5261550608</v>
      </c>
      <c r="BZ206" s="181" t="n">
        <f aca="false">MAX(0,BU206-BY206-BU206*$F$25)</f>
        <v>463189.735395547</v>
      </c>
      <c r="CA206" s="180" t="n">
        <f aca="false">BZ206/$D206</f>
        <v>288362.916970832</v>
      </c>
      <c r="CC206" s="180" t="n">
        <f aca="false">CJ205</f>
        <v>368672.672598625</v>
      </c>
      <c r="CD206" s="180" t="n">
        <f aca="false">IF($G$9=0,0,IF($A206&gt;IN_PRAZO,0,IF(APORTE_CORRIGIDO="Sim",IN_APORTE*$D206,IN_APORTE))+IF(AND($G$35=1,PGBL_REINVESTE="Sim",$A206&gt;=13,$A206&lt;=IN_PRAZO,MONTH($B206)=5),PGBL_BENEFICIO,0))</f>
        <v>0</v>
      </c>
      <c r="CE206" s="180" t="n">
        <f aca="false">CD206*$G$24</f>
        <v>0</v>
      </c>
      <c r="CF206" s="180" t="n">
        <f aca="false">CC206*$G$19</f>
        <v>3007.34610449604</v>
      </c>
      <c r="CG206" s="180" t="n">
        <f aca="false">CC206*$G$22</f>
        <v>307.227227165521</v>
      </c>
      <c r="CH206" s="180" t="n">
        <f aca="false">$G$23*MAX(0,CF206-CC206*$G$18)</f>
        <v>0</v>
      </c>
      <c r="CI206" s="180" t="n">
        <f aca="false">IF(AND($G$27=1,OR(MONTH($B206)=5,MONTH($B206)=11)),MAX(0,$G$28*MAX(0,(CC206+CF206-CG206-CH206+CD206-CE206)+CL205-CK206)-CL205),0)</f>
        <v>0</v>
      </c>
      <c r="CJ206" s="181" t="n">
        <f aca="false">CC206+CF206-CG206-CH206+CD206-CE206-CI206</f>
        <v>371372.791475955</v>
      </c>
      <c r="CK206" s="180" t="n">
        <f aca="false">CK205+CD206-CE206</f>
        <v>150000</v>
      </c>
      <c r="CL206" s="180" t="n">
        <f aca="false">CL205+CI206</f>
        <v>37180.5062937763</v>
      </c>
      <c r="CM206" s="180" t="n">
        <f aca="false">CJ206+CL206-CK206</f>
        <v>258553.297769732</v>
      </c>
      <c r="CN206" s="180" t="n">
        <f aca="false">MAX(0,IFERROR(INDEX(TAB_IR,MATCH($C206,TAB_IR_DIAS,1),MATCH($G$8,TAB_IR_REGIMES,0)),0)*IF($G$26=2,CJ206,MAX(0,CM206))-CL206)</f>
        <v>1602.48837168342</v>
      </c>
      <c r="CO206" s="181" t="n">
        <f aca="false">MAX(0,CJ206-CN206-CJ206*$G$25)</f>
        <v>369770.303104272</v>
      </c>
      <c r="CP206" s="180" t="n">
        <f aca="false">CO206/$D206</f>
        <v>230203.812960751</v>
      </c>
    </row>
    <row r="207" customFormat="false" ht="12" hidden="false" customHeight="true" outlineLevel="0" collapsed="false">
      <c r="A207" s="177" t="n">
        <v>146</v>
      </c>
      <c r="B207" s="178" t="n">
        <f aca="false">EDATE(DATA_INICIO,$A207)</f>
        <v>50701</v>
      </c>
      <c r="C207" s="177" t="n">
        <f aca="false">$A207*30</f>
        <v>4380</v>
      </c>
      <c r="D207" s="179" t="n">
        <f aca="false">(1+IPCA_CENARIO)^($A207/12)</f>
        <v>1.61153210315882</v>
      </c>
      <c r="F207" s="180" t="n">
        <f aca="false">M206</f>
        <v>575985.270803603</v>
      </c>
      <c r="G207" s="180" t="n">
        <f aca="false">IF($B$9=0,0,IF($A207&gt;IN_PRAZO,0,IF(APORTE_CORRIGIDO="Sim",IN_APORTE*$D207,IN_APORTE))+IF(AND($B$35=1,PGBL_REINVESTE="Sim",$A207&gt;=13,$A207&lt;=IN_PRAZO,MONTH($B207)=5),PGBL_BENEFICIO,0))</f>
        <v>0</v>
      </c>
      <c r="H207" s="180" t="n">
        <f aca="false">G207*$B$24</f>
        <v>0</v>
      </c>
      <c r="I207" s="180" t="n">
        <f aca="false">F207*$B$19</f>
        <v>5465.40496802513</v>
      </c>
      <c r="J207" s="180" t="n">
        <f aca="false">F207*$B$22</f>
        <v>95.9975451339339</v>
      </c>
      <c r="K207" s="180" t="n">
        <f aca="false">$B$23*MAX(0,I207-F207*$B$18)</f>
        <v>0</v>
      </c>
      <c r="L207" s="180" t="n">
        <f aca="false">IF(AND($B$27=1,OR(MONTH($B207)=5,MONTH($B207)=11)),MAX(0,$B$28*MAX(0,(F207+I207-J207-K207+G207-H207)+O206-N207)-O206),0)</f>
        <v>0</v>
      </c>
      <c r="M207" s="181" t="n">
        <f aca="false">F207+I207-J207-K207+G207-H207-L207</f>
        <v>581354.678226495</v>
      </c>
      <c r="N207" s="180" t="n">
        <f aca="false">N206+G207-H207</f>
        <v>150000</v>
      </c>
      <c r="O207" s="180" t="n">
        <f aca="false">O206+L207</f>
        <v>0</v>
      </c>
      <c r="P207" s="180" t="n">
        <f aca="false">M207+O207-N207</f>
        <v>431354.678226494</v>
      </c>
      <c r="Q207" s="180" t="n">
        <f aca="false">MAX(0,IFERROR(INDEX(TAB_IR,MATCH($C207,TAB_IR_DIAS,1),MATCH($B$8,TAB_IR_REGIMES,0)),0)*IF($B$26=2,M207,MAX(0,P207))-O207)</f>
        <v>64703.2017339742</v>
      </c>
      <c r="R207" s="181" t="n">
        <f aca="false">MAX(0,M207-Q207-M207*$B$25)</f>
        <v>516651.47649252</v>
      </c>
      <c r="S207" s="180" t="n">
        <f aca="false">R207/$D207</f>
        <v>320596.453201157</v>
      </c>
      <c r="U207" s="180" t="n">
        <f aca="false">AB206</f>
        <v>475640.24188472</v>
      </c>
      <c r="V207" s="180" t="n">
        <f aca="false">IF($C$9=0,0,IF($A207&gt;IN_PRAZO,0,IF(APORTE_CORRIGIDO="Sim",IN_APORTE*$D207,IN_APORTE))+IF(AND($C$35=1,PGBL_REINVESTE="Sim",$A207&gt;=13,$A207&lt;=IN_PRAZO,MONTH($B207)=5),PGBL_BENEFICIO,0))</f>
        <v>0</v>
      </c>
      <c r="W207" s="180" t="n">
        <f aca="false">V207*$C$24</f>
        <v>0</v>
      </c>
      <c r="X207" s="180" t="n">
        <f aca="false">U207*$C$19</f>
        <v>3879.90468208873</v>
      </c>
      <c r="Y207" s="180" t="n">
        <f aca="false">U207*$C$22</f>
        <v>79.2733736474533</v>
      </c>
      <c r="Z207" s="180" t="n">
        <f aca="false">$C$23*MAX(0,X207-U207*$C$18)</f>
        <v>0</v>
      </c>
      <c r="AA207" s="180" t="n">
        <f aca="false">IF(AND($C$27=1,OR(MONTH($B207)=5,MONTH($B207)=11)),MAX(0,$C$28*MAX(0,(U207+X207-Y207-Z207+V207-W207)+AD206-AC207)-AD206),0)</f>
        <v>0</v>
      </c>
      <c r="AB207" s="181" t="n">
        <f aca="false">U207+X207-Y207-Z207+V207-W207-AA207</f>
        <v>479440.873193161</v>
      </c>
      <c r="AC207" s="180" t="n">
        <f aca="false">AC206+V207-W207</f>
        <v>150000</v>
      </c>
      <c r="AD207" s="180" t="n">
        <f aca="false">AD206+AA207</f>
        <v>0</v>
      </c>
      <c r="AE207" s="180" t="n">
        <f aca="false">AB207+AD207-AC207</f>
        <v>329440.873193161</v>
      </c>
      <c r="AF207" s="180" t="n">
        <f aca="false">MAX(0,IFERROR(INDEX(TAB_IR,MATCH($C207,TAB_IR_DIAS,1),MATCH($C$8,TAB_IR_REGIMES,0)),0)*IF($C$26=2,AB207,MAX(0,AE207))-AD207)</f>
        <v>49416.1309789742</v>
      </c>
      <c r="AG207" s="181" t="n">
        <f aca="false">MAX(0,AB207-AF207-AB207*$C$25)</f>
        <v>430024.742214187</v>
      </c>
      <c r="AH207" s="180" t="n">
        <f aca="false">AG207/$D207</f>
        <v>266842.181655134</v>
      </c>
      <c r="AJ207" s="180" t="n">
        <f aca="false">AQ206</f>
        <v>411603.797396815</v>
      </c>
      <c r="AK207" s="180" t="n">
        <f aca="false">IF($D$9=0,0,IF($A207&gt;IN_PRAZO,0,IF(APORTE_CORRIGIDO="Sim",IN_APORTE*$D207,IN_APORTE))+IF(AND($D$35=1,PGBL_REINVESTE="Sim",$A207&gt;=13,$A207&lt;=IN_PRAZO,MONTH($B207)=5),PGBL_BENEFICIO,0))</f>
        <v>0</v>
      </c>
      <c r="AL207" s="180" t="n">
        <f aca="false">AK207*$D$24</f>
        <v>0</v>
      </c>
      <c r="AM207" s="180" t="n">
        <f aca="false">AJ207*$D$19</f>
        <v>3699.78183924271</v>
      </c>
      <c r="AN207" s="180" t="n">
        <f aca="false">AJ207*$D$22</f>
        <v>343.003164497346</v>
      </c>
      <c r="AO207" s="180" t="n">
        <f aca="false">$D$23*MAX(0,AM207-AJ207*$D$18)</f>
        <v>0</v>
      </c>
      <c r="AP207" s="180" t="n">
        <f aca="false">IF(AND($D$27=1,OR(MONTH($B207)=5,MONTH($B207)=11)),MAX(0,$D$28*MAX(0,(AJ207+AM207-AN207-AO207+AK207-AL207)+AS206-AR207)-AS206),0)</f>
        <v>0</v>
      </c>
      <c r="AQ207" s="181" t="n">
        <f aca="false">AJ207+AM207-AN207-AO207+AK207-AL207-AP207</f>
        <v>414960.57607156</v>
      </c>
      <c r="AR207" s="180" t="n">
        <f aca="false">AR206+AK207-AL207</f>
        <v>150000</v>
      </c>
      <c r="AS207" s="180" t="n">
        <f aca="false">AS206+AP207</f>
        <v>43843.4184580398</v>
      </c>
      <c r="AT207" s="180" t="n">
        <f aca="false">AQ207+AS207-AR207</f>
        <v>308803.9945296</v>
      </c>
      <c r="AU207" s="180" t="n">
        <f aca="false">MAX(0,IFERROR(INDEX(TAB_IR,MATCH($C207,TAB_IR_DIAS,1),MATCH($D$8,TAB_IR_REGIMES,0)),0)*IF($D$26=2,AQ207,MAX(0,AT207))-AS207)</f>
        <v>2477.18072140021</v>
      </c>
      <c r="AV207" s="181" t="n">
        <f aca="false">MAX(0,AQ207-AU207-AQ207*$D$25)</f>
        <v>412483.39535016</v>
      </c>
      <c r="AW207" s="180" t="n">
        <f aca="false">AV207/$D207</f>
        <v>255957.293399018</v>
      </c>
      <c r="AY207" s="180" t="n">
        <f aca="false">BF206</f>
        <v>514655.261550608</v>
      </c>
      <c r="AZ207" s="180" t="n">
        <f aca="false">IF($E$9=0,0,IF($A207&gt;IN_PRAZO,0,IF(APORTE_CORRIGIDO="Sim",IN_APORTE*$D207,IN_APORTE))+IF(AND($E$35=1,PGBL_REINVESTE="Sim",$A207&gt;=13,$A207&lt;=IN_PRAZO,MONTH($B207)=5),PGBL_BENEFICIO,0))</f>
        <v>0</v>
      </c>
      <c r="BA207" s="180" t="n">
        <f aca="false">AZ207*$E$24</f>
        <v>0</v>
      </c>
      <c r="BB207" s="180" t="n">
        <f aca="false">AY207*$E$19</f>
        <v>5037.82929847463</v>
      </c>
      <c r="BC207" s="180" t="n">
        <f aca="false">AY207*$E$22</f>
        <v>643.31907693826</v>
      </c>
      <c r="BD207" s="180" t="n">
        <f aca="false">$E$23*MAX(0,BB207-AY207*$E$18)</f>
        <v>0</v>
      </c>
      <c r="BE207" s="180" t="n">
        <f aca="false">IF(AND($E$27=1,OR(MONTH($B207)=5,MONTH($B207)=11)),MAX(0,$E$28*MAX(0,(AY207+BB207-BC207-BD207+AZ207-BA207)+BH206-BG207)-BH206),0)</f>
        <v>0</v>
      </c>
      <c r="BF207" s="181" t="n">
        <f aca="false">AY207+BB207-BC207-BD207+AZ207-BA207-BE207</f>
        <v>519049.771772145</v>
      </c>
      <c r="BG207" s="180" t="n">
        <f aca="false">BG206+AZ207-BA207</f>
        <v>150000</v>
      </c>
      <c r="BH207" s="180" t="n">
        <f aca="false">BH206+BE207</f>
        <v>0</v>
      </c>
      <c r="BI207" s="180" t="n">
        <f aca="false">BF207+BH207-BG207</f>
        <v>369049.771772145</v>
      </c>
      <c r="BJ207" s="180" t="n">
        <f aca="false">MAX(0,IFERROR(INDEX(TAB_IR,MATCH($C207,TAB_IR_DIAS,1),MATCH($E$8,TAB_IR_REGIMES,0)),0)*IF($E$26=2,BF207,MAX(0,BI207))-BH207)</f>
        <v>36904.9771772145</v>
      </c>
      <c r="BK207" s="181" t="n">
        <f aca="false">MAX(0,BF207-BJ207-BF207*$E$25)</f>
        <v>482144.79459493</v>
      </c>
      <c r="BL207" s="180" t="n">
        <f aca="false">BK207/$D207</f>
        <v>299184.107874649</v>
      </c>
      <c r="BN207" s="180" t="n">
        <f aca="false">BU206</f>
        <v>514655.261550608</v>
      </c>
      <c r="BO207" s="180" t="n">
        <f aca="false">IF($F$9=0,0,IF($A207&gt;IN_PRAZO,0,IF(APORTE_CORRIGIDO="Sim",IN_APORTE*$D207,IN_APORTE))+IF(AND($F$35=1,PGBL_REINVESTE="Sim",$A207&gt;=13,$A207&lt;=IN_PRAZO,MONTH($B207)=5),PGBL_BENEFICIO,0))</f>
        <v>0</v>
      </c>
      <c r="BP207" s="180" t="n">
        <f aca="false">BO207*$F$24</f>
        <v>0</v>
      </c>
      <c r="BQ207" s="180" t="n">
        <f aca="false">BN207*$F$19</f>
        <v>5037.82929847463</v>
      </c>
      <c r="BR207" s="180" t="n">
        <f aca="false">BN207*$F$22</f>
        <v>643.31907693826</v>
      </c>
      <c r="BS207" s="180" t="n">
        <f aca="false">$F$23*MAX(0,BQ207-BN207*$F$18)</f>
        <v>0</v>
      </c>
      <c r="BT207" s="180" t="n">
        <f aca="false">IF(AND($F$27=1,OR(MONTH($B207)=5,MONTH($B207)=11)),MAX(0,$F$28*MAX(0,(BN207+BQ207-BR207-BS207+BO207-BP207)+BW206-BV207)-BW206),0)</f>
        <v>0</v>
      </c>
      <c r="BU207" s="181" t="n">
        <f aca="false">BN207+BQ207-BR207-BS207+BO207-BP207-BT207</f>
        <v>519049.771772145</v>
      </c>
      <c r="BV207" s="180" t="n">
        <f aca="false">BV206+BO207-BP207</f>
        <v>150000</v>
      </c>
      <c r="BW207" s="180" t="n">
        <f aca="false">BW206+BT207</f>
        <v>0</v>
      </c>
      <c r="BX207" s="180" t="n">
        <f aca="false">BU207+BW207-BV207</f>
        <v>369049.771772145</v>
      </c>
      <c r="BY207" s="180" t="n">
        <f aca="false">MAX(0,IFERROR(INDEX(TAB_IR,MATCH($C207,TAB_IR_DIAS,1),MATCH($F$8,TAB_IR_REGIMES,0)),0)*IF($F$26=2,BU207,MAX(0,BX207))-BW207)</f>
        <v>51904.9771772145</v>
      </c>
      <c r="BZ207" s="181" t="n">
        <f aca="false">MAX(0,BU207-BY207-BU207*$F$25)</f>
        <v>467144.79459493</v>
      </c>
      <c r="CA207" s="180" t="n">
        <f aca="false">BZ207/$D207</f>
        <v>289876.195254976</v>
      </c>
      <c r="CC207" s="180" t="n">
        <f aca="false">CJ206</f>
        <v>371372.791475955</v>
      </c>
      <c r="CD207" s="180" t="n">
        <f aca="false">IF($G$9=0,0,IF($A207&gt;IN_PRAZO,0,IF(APORTE_CORRIGIDO="Sim",IN_APORTE*$D207,IN_APORTE))+IF(AND($G$35=1,PGBL_REINVESTE="Sim",$A207&gt;=13,$A207&lt;=IN_PRAZO,MONTH($B207)=5),PGBL_BENEFICIO,0))</f>
        <v>0</v>
      </c>
      <c r="CE207" s="180" t="n">
        <f aca="false">CD207*$G$24</f>
        <v>0</v>
      </c>
      <c r="CF207" s="180" t="n">
        <f aca="false">CC207*$G$19</f>
        <v>3029.3715828972</v>
      </c>
      <c r="CG207" s="180" t="n">
        <f aca="false">CC207*$G$22</f>
        <v>309.477326229963</v>
      </c>
      <c r="CH207" s="180" t="n">
        <f aca="false">$G$23*MAX(0,CF207-CC207*$G$18)</f>
        <v>0</v>
      </c>
      <c r="CI207" s="180" t="n">
        <f aca="false">IF(AND($G$27=1,OR(MONTH($B207)=5,MONTH($B207)=11)),MAX(0,$G$28*MAX(0,(CC207+CF207-CG207-CH207+CD207-CE207)+CL206-CK207)-CL206),0)</f>
        <v>0</v>
      </c>
      <c r="CJ207" s="181" t="n">
        <f aca="false">CC207+CF207-CG207-CH207+CD207-CE207-CI207</f>
        <v>374092.685732623</v>
      </c>
      <c r="CK207" s="180" t="n">
        <f aca="false">CK206+CD207-CE207</f>
        <v>150000</v>
      </c>
      <c r="CL207" s="180" t="n">
        <f aca="false">CL206+CI207</f>
        <v>37180.5062937763</v>
      </c>
      <c r="CM207" s="180" t="n">
        <f aca="false">CJ207+CL207-CK207</f>
        <v>261273.192026399</v>
      </c>
      <c r="CN207" s="180" t="n">
        <f aca="false">MAX(0,IFERROR(INDEX(TAB_IR,MATCH($C207,TAB_IR_DIAS,1),MATCH($G$8,TAB_IR_REGIMES,0)),0)*IF($G$26=2,CJ207,MAX(0,CM207))-CL207)</f>
        <v>2010.4725101835</v>
      </c>
      <c r="CO207" s="181" t="n">
        <f aca="false">MAX(0,CJ207-CN207-CJ207*$G$25)</f>
        <v>372082.213222439</v>
      </c>
      <c r="CP207" s="180" t="n">
        <f aca="false">CO207/$D207</f>
        <v>230887.24853393</v>
      </c>
    </row>
    <row r="208" customFormat="false" ht="12" hidden="false" customHeight="true" outlineLevel="0" collapsed="false">
      <c r="A208" s="177" t="n">
        <v>147</v>
      </c>
      <c r="B208" s="178" t="n">
        <f aca="false">EDATE(DATA_INICIO,$A208)</f>
        <v>50732</v>
      </c>
      <c r="C208" s="177" t="n">
        <f aca="false">$A208*30</f>
        <v>4410</v>
      </c>
      <c r="D208" s="179" t="n">
        <f aca="false">(1+IPCA_CENARIO)^($A208/12)</f>
        <v>1.61680783991523</v>
      </c>
      <c r="F208" s="180" t="n">
        <f aca="false">M207</f>
        <v>581354.678226495</v>
      </c>
      <c r="G208" s="180" t="n">
        <f aca="false">IF($B$9=0,0,IF($A208&gt;IN_PRAZO,0,IF(APORTE_CORRIGIDO="Sim",IN_APORTE*$D208,IN_APORTE))+IF(AND($B$35=1,PGBL_REINVESTE="Sim",$A208&gt;=13,$A208&lt;=IN_PRAZO,MONTH($B208)=5),PGBL_BENEFICIO,0))</f>
        <v>0</v>
      </c>
      <c r="H208" s="180" t="n">
        <f aca="false">G208*$B$24</f>
        <v>0</v>
      </c>
      <c r="I208" s="180" t="n">
        <f aca="false">F208*$B$19</f>
        <v>5516.35416324236</v>
      </c>
      <c r="J208" s="180" t="n">
        <f aca="false">F208*$B$22</f>
        <v>96.8924463710824</v>
      </c>
      <c r="K208" s="180" t="n">
        <f aca="false">$B$23*MAX(0,I208-F208*$B$18)</f>
        <v>0</v>
      </c>
      <c r="L208" s="180" t="n">
        <f aca="false">IF(AND($B$27=1,OR(MONTH($B208)=5,MONTH($B208)=11)),MAX(0,$B$28*MAX(0,(F208+I208-J208-K208+G208-H208)+O207-N208)-O207),0)</f>
        <v>0</v>
      </c>
      <c r="M208" s="181" t="n">
        <f aca="false">F208+I208-J208-K208+G208-H208-L208</f>
        <v>586774.139943366</v>
      </c>
      <c r="N208" s="180" t="n">
        <f aca="false">N207+G208-H208</f>
        <v>150000</v>
      </c>
      <c r="O208" s="180" t="n">
        <f aca="false">O207+L208</f>
        <v>0</v>
      </c>
      <c r="P208" s="180" t="n">
        <f aca="false">M208+O208-N208</f>
        <v>436774.139943366</v>
      </c>
      <c r="Q208" s="180" t="n">
        <f aca="false">MAX(0,IFERROR(INDEX(TAB_IR,MATCH($C208,TAB_IR_DIAS,1),MATCH($B$8,TAB_IR_REGIMES,0)),0)*IF($B$26=2,M208,MAX(0,P208))-O208)</f>
        <v>65516.1209915049</v>
      </c>
      <c r="R208" s="181" t="n">
        <f aca="false">MAX(0,M208-Q208-M208*$B$25)</f>
        <v>521258.018951861</v>
      </c>
      <c r="S208" s="180" t="n">
        <f aca="false">R208/$D208</f>
        <v>322399.487485904</v>
      </c>
      <c r="U208" s="180" t="n">
        <f aca="false">AB207</f>
        <v>479440.873193161</v>
      </c>
      <c r="V208" s="180" t="n">
        <f aca="false">IF($C$9=0,0,IF($A208&gt;IN_PRAZO,0,IF(APORTE_CORRIGIDO="Sim",IN_APORTE*$D208,IN_APORTE))+IF(AND($C$35=1,PGBL_REINVESTE="Sim",$A208&gt;=13,$A208&lt;=IN_PRAZO,MONTH($B208)=5),PGBL_BENEFICIO,0))</f>
        <v>0</v>
      </c>
      <c r="W208" s="180" t="n">
        <f aca="false">V208*$C$24</f>
        <v>0</v>
      </c>
      <c r="X208" s="180" t="n">
        <f aca="false">U208*$C$19</f>
        <v>3910.90728849159</v>
      </c>
      <c r="Y208" s="180" t="n">
        <f aca="false">U208*$C$22</f>
        <v>79.9068121988602</v>
      </c>
      <c r="Z208" s="180" t="n">
        <f aca="false">$C$23*MAX(0,X208-U208*$C$18)</f>
        <v>0</v>
      </c>
      <c r="AA208" s="180" t="n">
        <f aca="false">IF(AND($C$27=1,OR(MONTH($B208)=5,MONTH($B208)=11)),MAX(0,$C$28*MAX(0,(U208+X208-Y208-Z208+V208-W208)+AD207-AC208)-AD207),0)</f>
        <v>0</v>
      </c>
      <c r="AB208" s="181" t="n">
        <f aca="false">U208+X208-Y208-Z208+V208-W208-AA208</f>
        <v>483271.873669454</v>
      </c>
      <c r="AC208" s="180" t="n">
        <f aca="false">AC207+V208-W208</f>
        <v>150000</v>
      </c>
      <c r="AD208" s="180" t="n">
        <f aca="false">AD207+AA208</f>
        <v>0</v>
      </c>
      <c r="AE208" s="180" t="n">
        <f aca="false">AB208+AD208-AC208</f>
        <v>333271.873669454</v>
      </c>
      <c r="AF208" s="180" t="n">
        <f aca="false">MAX(0,IFERROR(INDEX(TAB_IR,MATCH($C208,TAB_IR_DIAS,1),MATCH($C$8,TAB_IR_REGIMES,0)),0)*IF($C$26=2,AB208,MAX(0,AE208))-AD208)</f>
        <v>49990.7810504181</v>
      </c>
      <c r="AG208" s="181" t="n">
        <f aca="false">MAX(0,AB208-AF208-AB208*$C$25)</f>
        <v>433281.092619036</v>
      </c>
      <c r="AH208" s="180" t="n">
        <f aca="false">AG208/$D208</f>
        <v>267985.521793211</v>
      </c>
      <c r="AJ208" s="180" t="n">
        <f aca="false">AQ207</f>
        <v>414960.57607156</v>
      </c>
      <c r="AK208" s="180" t="n">
        <f aca="false">IF($D$9=0,0,IF($A208&gt;IN_PRAZO,0,IF(APORTE_CORRIGIDO="Sim",IN_APORTE*$D208,IN_APORTE))+IF(AND($D$35=1,PGBL_REINVESTE="Sim",$A208&gt;=13,$A208&lt;=IN_PRAZO,MONTH($B208)=5),PGBL_BENEFICIO,0))</f>
        <v>0</v>
      </c>
      <c r="AL208" s="180" t="n">
        <f aca="false">AK208*$D$24</f>
        <v>0</v>
      </c>
      <c r="AM208" s="180" t="n">
        <f aca="false">AJ208*$D$19</f>
        <v>3729.95490581237</v>
      </c>
      <c r="AN208" s="180" t="n">
        <f aca="false">AJ208*$D$22</f>
        <v>345.800480059633</v>
      </c>
      <c r="AO208" s="180" t="n">
        <f aca="false">$D$23*MAX(0,AM208-AJ208*$D$18)</f>
        <v>0</v>
      </c>
      <c r="AP208" s="180" t="n">
        <f aca="false">IF(AND($D$27=1,OR(MONTH($B208)=5,MONTH($B208)=11)),MAX(0,$D$28*MAX(0,(AJ208+AM208-AN208-AO208+AK208-AL208)+AS207-AR208)-AS207),0)</f>
        <v>2984.80388526312</v>
      </c>
      <c r="AQ208" s="181" t="n">
        <f aca="false">AJ208+AM208-AN208-AO208+AK208-AL208-AP208</f>
        <v>415359.92661205</v>
      </c>
      <c r="AR208" s="180" t="n">
        <f aca="false">AR207+AK208-AL208</f>
        <v>150000</v>
      </c>
      <c r="AS208" s="180" t="n">
        <f aca="false">AS207+AP208</f>
        <v>46828.2223433029</v>
      </c>
      <c r="AT208" s="180" t="n">
        <f aca="false">AQ208+AS208-AR208</f>
        <v>312188.148955353</v>
      </c>
      <c r="AU208" s="180" t="n">
        <f aca="false">MAX(0,IFERROR(INDEX(TAB_IR,MATCH($C208,TAB_IR_DIAS,1),MATCH($D$8,TAB_IR_REGIMES,0)),0)*IF($D$26=2,AQ208,MAX(0,AT208))-AS208)</f>
        <v>0</v>
      </c>
      <c r="AV208" s="181" t="n">
        <f aca="false">MAX(0,AQ208-AU208-AQ208*$D$25)</f>
        <v>415359.92661205</v>
      </c>
      <c r="AW208" s="180" t="n">
        <f aca="false">AV208/$D208</f>
        <v>256901.232390009</v>
      </c>
      <c r="AY208" s="180" t="n">
        <f aca="false">BF207</f>
        <v>519049.771772145</v>
      </c>
      <c r="AZ208" s="180" t="n">
        <f aca="false">IF($E$9=0,0,IF($A208&gt;IN_PRAZO,0,IF(APORTE_CORRIGIDO="Sim",IN_APORTE*$D208,IN_APORTE))+IF(AND($E$35=1,PGBL_REINVESTE="Sim",$A208&gt;=13,$A208&lt;=IN_PRAZO,MONTH($B208)=5),PGBL_BENEFICIO,0))</f>
        <v>0</v>
      </c>
      <c r="BA208" s="180" t="n">
        <f aca="false">AZ208*$E$24</f>
        <v>0</v>
      </c>
      <c r="BB208" s="180" t="n">
        <f aca="false">AY208*$E$19</f>
        <v>5080.84603997223</v>
      </c>
      <c r="BC208" s="180" t="n">
        <f aca="false">AY208*$E$22</f>
        <v>648.812214715181</v>
      </c>
      <c r="BD208" s="180" t="n">
        <f aca="false">$E$23*MAX(0,BB208-AY208*$E$18)</f>
        <v>0</v>
      </c>
      <c r="BE208" s="180" t="n">
        <f aca="false">IF(AND($E$27=1,OR(MONTH($B208)=5,MONTH($B208)=11)),MAX(0,$E$28*MAX(0,(AY208+BB208-BC208-BD208+AZ208-BA208)+BH207-BG208)-BH207),0)</f>
        <v>0</v>
      </c>
      <c r="BF208" s="181" t="n">
        <f aca="false">AY208+BB208-BC208-BD208+AZ208-BA208-BE208</f>
        <v>523481.805597402</v>
      </c>
      <c r="BG208" s="180" t="n">
        <f aca="false">BG207+AZ208-BA208</f>
        <v>150000</v>
      </c>
      <c r="BH208" s="180" t="n">
        <f aca="false">BH207+BE208</f>
        <v>0</v>
      </c>
      <c r="BI208" s="180" t="n">
        <f aca="false">BF208+BH208-BG208</f>
        <v>373481.805597402</v>
      </c>
      <c r="BJ208" s="180" t="n">
        <f aca="false">MAX(0,IFERROR(INDEX(TAB_IR,MATCH($C208,TAB_IR_DIAS,1),MATCH($E$8,TAB_IR_REGIMES,0)),0)*IF($E$26=2,BF208,MAX(0,BI208))-BH208)</f>
        <v>37348.1805597402</v>
      </c>
      <c r="BK208" s="181" t="n">
        <f aca="false">MAX(0,BF208-BJ208-BF208*$E$25)</f>
        <v>486133.625037661</v>
      </c>
      <c r="BL208" s="180" t="n">
        <f aca="false">BK208/$D208</f>
        <v>300674.955326262</v>
      </c>
      <c r="BN208" s="180" t="n">
        <f aca="false">BU207</f>
        <v>519049.771772145</v>
      </c>
      <c r="BO208" s="180" t="n">
        <f aca="false">IF($F$9=0,0,IF($A208&gt;IN_PRAZO,0,IF(APORTE_CORRIGIDO="Sim",IN_APORTE*$D208,IN_APORTE))+IF(AND($F$35=1,PGBL_REINVESTE="Sim",$A208&gt;=13,$A208&lt;=IN_PRAZO,MONTH($B208)=5),PGBL_BENEFICIO,0))</f>
        <v>0</v>
      </c>
      <c r="BP208" s="180" t="n">
        <f aca="false">BO208*$F$24</f>
        <v>0</v>
      </c>
      <c r="BQ208" s="180" t="n">
        <f aca="false">BN208*$F$19</f>
        <v>5080.84603997223</v>
      </c>
      <c r="BR208" s="180" t="n">
        <f aca="false">BN208*$F$22</f>
        <v>648.812214715181</v>
      </c>
      <c r="BS208" s="180" t="n">
        <f aca="false">$F$23*MAX(0,BQ208-BN208*$F$18)</f>
        <v>0</v>
      </c>
      <c r="BT208" s="180" t="n">
        <f aca="false">IF(AND($F$27=1,OR(MONTH($B208)=5,MONTH($B208)=11)),MAX(0,$F$28*MAX(0,(BN208+BQ208-BR208-BS208+BO208-BP208)+BW207-BV208)-BW207),0)</f>
        <v>0</v>
      </c>
      <c r="BU208" s="181" t="n">
        <f aca="false">BN208+BQ208-BR208-BS208+BO208-BP208-BT208</f>
        <v>523481.805597402</v>
      </c>
      <c r="BV208" s="180" t="n">
        <f aca="false">BV207+BO208-BP208</f>
        <v>150000</v>
      </c>
      <c r="BW208" s="180" t="n">
        <f aca="false">BW207+BT208</f>
        <v>0</v>
      </c>
      <c r="BX208" s="180" t="n">
        <f aca="false">BU208+BW208-BV208</f>
        <v>373481.805597402</v>
      </c>
      <c r="BY208" s="180" t="n">
        <f aca="false">MAX(0,IFERROR(INDEX(TAB_IR,MATCH($C208,TAB_IR_DIAS,1),MATCH($F$8,TAB_IR_REGIMES,0)),0)*IF($F$26=2,BU208,MAX(0,BX208))-BW208)</f>
        <v>52348.1805597402</v>
      </c>
      <c r="BZ208" s="181" t="n">
        <f aca="false">MAX(0,BU208-BY208-BU208*$F$25)</f>
        <v>471133.625037661</v>
      </c>
      <c r="CA208" s="180" t="n">
        <f aca="false">BZ208/$D208</f>
        <v>291397.414959569</v>
      </c>
      <c r="CC208" s="180" t="n">
        <f aca="false">CJ207</f>
        <v>374092.685732623</v>
      </c>
      <c r="CD208" s="180" t="n">
        <f aca="false">IF($G$9=0,0,IF($A208&gt;IN_PRAZO,0,IF(APORTE_CORRIGIDO="Sim",IN_APORTE*$D208,IN_APORTE))+IF(AND($G$35=1,PGBL_REINVESTE="Sim",$A208&gt;=13,$A208&lt;=IN_PRAZO,MONTH($B208)=5),PGBL_BENEFICIO,0))</f>
        <v>0</v>
      </c>
      <c r="CE208" s="180" t="n">
        <f aca="false">CD208*$G$24</f>
        <v>0</v>
      </c>
      <c r="CF208" s="180" t="n">
        <f aca="false">CC208*$G$19</f>
        <v>3051.55837352579</v>
      </c>
      <c r="CG208" s="180" t="n">
        <f aca="false">CC208*$G$22</f>
        <v>311.743904777186</v>
      </c>
      <c r="CH208" s="180" t="n">
        <f aca="false">$G$23*MAX(0,CF208-CC208*$G$18)</f>
        <v>0</v>
      </c>
      <c r="CI208" s="180" t="n">
        <f aca="false">IF(AND($G$27=1,OR(MONTH($B208)=5,MONTH($B208)=11)),MAX(0,$G$28*MAX(0,(CC208+CF208-CG208-CH208+CD208-CE208)+CL207-CK208)-CL207),0)</f>
        <v>2421.44468049579</v>
      </c>
      <c r="CJ208" s="181" t="n">
        <f aca="false">CC208+CF208-CG208-CH208+CD208-CE208-CI208</f>
        <v>374411.055520875</v>
      </c>
      <c r="CK208" s="180" t="n">
        <f aca="false">CK207+CD208-CE208</f>
        <v>150000</v>
      </c>
      <c r="CL208" s="180" t="n">
        <f aca="false">CL207+CI208</f>
        <v>39601.9509742721</v>
      </c>
      <c r="CM208" s="180" t="n">
        <f aca="false">CJ208+CL208-CK208</f>
        <v>264013.006495148</v>
      </c>
      <c r="CN208" s="180" t="n">
        <f aca="false">MAX(0,IFERROR(INDEX(TAB_IR,MATCH($C208,TAB_IR_DIAS,1),MATCH($G$8,TAB_IR_REGIMES,0)),0)*IF($G$26=2,CJ208,MAX(0,CM208))-CL208)</f>
        <v>0</v>
      </c>
      <c r="CO208" s="181" t="n">
        <f aca="false">MAX(0,CJ208-CN208-CJ208*$G$25)</f>
        <v>374411.055520875</v>
      </c>
      <c r="CP208" s="180" t="n">
        <f aca="false">CO208/$D208</f>
        <v>231574.245422082</v>
      </c>
    </row>
    <row r="209" customFormat="false" ht="12" hidden="false" customHeight="true" outlineLevel="0" collapsed="false">
      <c r="A209" s="177" t="n">
        <v>148</v>
      </c>
      <c r="B209" s="178" t="n">
        <f aca="false">EDATE(DATA_INICIO,$A209)</f>
        <v>50762</v>
      </c>
      <c r="C209" s="177" t="n">
        <f aca="false">$A209*30</f>
        <v>4440</v>
      </c>
      <c r="D209" s="179" t="n">
        <f aca="false">(1+IPCA_CENARIO)^($A209/12)</f>
        <v>1.62210084806093</v>
      </c>
      <c r="F209" s="180" t="n">
        <f aca="false">M208</f>
        <v>586774.139943366</v>
      </c>
      <c r="G209" s="180" t="n">
        <f aca="false">IF($B$9=0,0,IF($A209&gt;IN_PRAZO,0,IF(APORTE_CORRIGIDO="Sim",IN_APORTE*$D209,IN_APORTE))+IF(AND($B$35=1,PGBL_REINVESTE="Sim",$A209&gt;=13,$A209&lt;=IN_PRAZO,MONTH($B209)=5),PGBL_BENEFICIO,0))</f>
        <v>0</v>
      </c>
      <c r="H209" s="180" t="n">
        <f aca="false">G209*$B$24</f>
        <v>0</v>
      </c>
      <c r="I209" s="180" t="n">
        <f aca="false">F209*$B$19</f>
        <v>5567.77831329065</v>
      </c>
      <c r="J209" s="180" t="n">
        <f aca="false">F209*$B$22</f>
        <v>97.795689990561</v>
      </c>
      <c r="K209" s="180" t="n">
        <f aca="false">$B$23*MAX(0,I209-F209*$B$18)</f>
        <v>0</v>
      </c>
      <c r="L209" s="180" t="n">
        <f aca="false">IF(AND($B$27=1,OR(MONTH($B209)=5,MONTH($B209)=11)),MAX(0,$B$28*MAX(0,(F209+I209-J209-K209+G209-H209)+O208-N209)-O208),0)</f>
        <v>0</v>
      </c>
      <c r="M209" s="181" t="n">
        <f aca="false">F209+I209-J209-K209+G209-H209-L209</f>
        <v>592244.122566666</v>
      </c>
      <c r="N209" s="180" t="n">
        <f aca="false">N208+G209-H209</f>
        <v>150000</v>
      </c>
      <c r="O209" s="180" t="n">
        <f aca="false">O208+L209</f>
        <v>0</v>
      </c>
      <c r="P209" s="180" t="n">
        <f aca="false">M209+O209-N209</f>
        <v>442244.122566666</v>
      </c>
      <c r="Q209" s="180" t="n">
        <f aca="false">MAX(0,IFERROR(INDEX(TAB_IR,MATCH($C209,TAB_IR_DIAS,1),MATCH($B$8,TAB_IR_REGIMES,0)),0)*IF($B$26=2,M209,MAX(0,P209))-O209)</f>
        <v>66336.6183849999</v>
      </c>
      <c r="R209" s="181" t="n">
        <f aca="false">MAX(0,M209-Q209-M209*$B$25)</f>
        <v>525907.504181666</v>
      </c>
      <c r="S209" s="180" t="n">
        <f aca="false">R209/$D209</f>
        <v>324213.814948892</v>
      </c>
      <c r="U209" s="180" t="n">
        <f aca="false">AB208</f>
        <v>483271.873669454</v>
      </c>
      <c r="V209" s="180" t="n">
        <f aca="false">IF($C$9=0,0,IF($A209&gt;IN_PRAZO,0,IF(APORTE_CORRIGIDO="Sim",IN_APORTE*$D209,IN_APORTE))+IF(AND($C$35=1,PGBL_REINVESTE="Sim",$A209&gt;=13,$A209&lt;=IN_PRAZO,MONTH($B209)=5),PGBL_BENEFICIO,0))</f>
        <v>0</v>
      </c>
      <c r="W209" s="180" t="n">
        <f aca="false">V209*$C$24</f>
        <v>0</v>
      </c>
      <c r="X209" s="180" t="n">
        <f aca="false">U209*$C$19</f>
        <v>3942.15762304309</v>
      </c>
      <c r="Y209" s="180" t="n">
        <f aca="false">U209*$C$22</f>
        <v>80.5453122782423</v>
      </c>
      <c r="Z209" s="180" t="n">
        <f aca="false">$C$23*MAX(0,X209-U209*$C$18)</f>
        <v>0</v>
      </c>
      <c r="AA209" s="180" t="n">
        <f aca="false">IF(AND($C$27=1,OR(MONTH($B209)=5,MONTH($B209)=11)),MAX(0,$C$28*MAX(0,(U209+X209-Y209-Z209+V209-W209)+AD208-AC209)-AD208),0)</f>
        <v>0</v>
      </c>
      <c r="AB209" s="181" t="n">
        <f aca="false">U209+X209-Y209-Z209+V209-W209-AA209</f>
        <v>487133.485980219</v>
      </c>
      <c r="AC209" s="180" t="n">
        <f aca="false">AC208+V209-W209</f>
        <v>150000</v>
      </c>
      <c r="AD209" s="180" t="n">
        <f aca="false">AD208+AA209</f>
        <v>0</v>
      </c>
      <c r="AE209" s="180" t="n">
        <f aca="false">AB209+AD209-AC209</f>
        <v>337133.485980219</v>
      </c>
      <c r="AF209" s="180" t="n">
        <f aca="false">MAX(0,IFERROR(INDEX(TAB_IR,MATCH($C209,TAB_IR_DIAS,1),MATCH($C$8,TAB_IR_REGIMES,0)),0)*IF($C$26=2,AB209,MAX(0,AE209))-AD209)</f>
        <v>50570.0228970328</v>
      </c>
      <c r="AG209" s="181" t="n">
        <f aca="false">MAX(0,AB209-AF209-AB209*$C$25)</f>
        <v>436563.463083186</v>
      </c>
      <c r="AH209" s="180" t="n">
        <f aca="false">AG209/$D209</f>
        <v>269134.600111366</v>
      </c>
      <c r="AJ209" s="180" t="n">
        <f aca="false">AQ208</f>
        <v>415359.92661205</v>
      </c>
      <c r="AK209" s="180" t="n">
        <f aca="false">IF($D$9=0,0,IF($A209&gt;IN_PRAZO,0,IF(APORTE_CORRIGIDO="Sim",IN_APORTE*$D209,IN_APORTE))+IF(AND($D$35=1,PGBL_REINVESTE="Sim",$A209&gt;=13,$A209&lt;=IN_PRAZO,MONTH($B209)=5),PGBL_BENEFICIO,0))</f>
        <v>0</v>
      </c>
      <c r="AL209" s="180" t="n">
        <f aca="false">AK209*$D$24</f>
        <v>0</v>
      </c>
      <c r="AM209" s="180" t="n">
        <f aca="false">AJ209*$D$19</f>
        <v>3733.54454683741</v>
      </c>
      <c r="AN209" s="180" t="n">
        <f aca="false">AJ209*$D$22</f>
        <v>346.133272176708</v>
      </c>
      <c r="AO209" s="180" t="n">
        <f aca="false">$D$23*MAX(0,AM209-AJ209*$D$18)</f>
        <v>0</v>
      </c>
      <c r="AP209" s="180" t="n">
        <f aca="false">IF(AND($D$27=1,OR(MONTH($B209)=5,MONTH($B209)=11)),MAX(0,$D$28*MAX(0,(AJ209+AM209-AN209-AO209+AK209-AL209)+AS208-AR209)-AS208),0)</f>
        <v>0</v>
      </c>
      <c r="AQ209" s="181" t="n">
        <f aca="false">AJ209+AM209-AN209-AO209+AK209-AL209-AP209</f>
        <v>418747.33788671</v>
      </c>
      <c r="AR209" s="180" t="n">
        <f aca="false">AR208+AK209-AL209</f>
        <v>150000</v>
      </c>
      <c r="AS209" s="180" t="n">
        <f aca="false">AS208+AP209</f>
        <v>46828.2223433029</v>
      </c>
      <c r="AT209" s="180" t="n">
        <f aca="false">AQ209+AS209-AR209</f>
        <v>315575.560230013</v>
      </c>
      <c r="AU209" s="180" t="n">
        <f aca="false">MAX(0,IFERROR(INDEX(TAB_IR,MATCH($C209,TAB_IR_DIAS,1),MATCH($D$8,TAB_IR_REGIMES,0)),0)*IF($D$26=2,AQ209,MAX(0,AT209))-AS209)</f>
        <v>508.111691199105</v>
      </c>
      <c r="AV209" s="181" t="n">
        <f aca="false">MAX(0,AQ209-AU209-AQ209*$D$25)</f>
        <v>418239.226195511</v>
      </c>
      <c r="AW209" s="180" t="n">
        <f aca="false">AV209/$D209</f>
        <v>257837.992437694</v>
      </c>
      <c r="AY209" s="180" t="n">
        <f aca="false">BF208</f>
        <v>523481.805597402</v>
      </c>
      <c r="AZ209" s="180" t="n">
        <f aca="false">IF($E$9=0,0,IF($A209&gt;IN_PRAZO,0,IF(APORTE_CORRIGIDO="Sim",IN_APORTE*$D209,IN_APORTE))+IF(AND($E$35=1,PGBL_REINVESTE="Sim",$A209&gt;=13,$A209&lt;=IN_PRAZO,MONTH($B209)=5),PGBL_BENEFICIO,0))</f>
        <v>0</v>
      </c>
      <c r="BA209" s="180" t="n">
        <f aca="false">AZ209*$E$24</f>
        <v>0</v>
      </c>
      <c r="BB209" s="180" t="n">
        <f aca="false">AY209*$E$19</f>
        <v>5124.23009047128</v>
      </c>
      <c r="BC209" s="180" t="n">
        <f aca="false">AY209*$E$22</f>
        <v>654.352256996752</v>
      </c>
      <c r="BD209" s="180" t="n">
        <f aca="false">$E$23*MAX(0,BB209-AY209*$E$18)</f>
        <v>0</v>
      </c>
      <c r="BE209" s="180" t="n">
        <f aca="false">IF(AND($E$27=1,OR(MONTH($B209)=5,MONTH($B209)=11)),MAX(0,$E$28*MAX(0,(AY209+BB209-BC209-BD209+AZ209-BA209)+BH208-BG209)-BH208),0)</f>
        <v>0</v>
      </c>
      <c r="BF209" s="181" t="n">
        <f aca="false">AY209+BB209-BC209-BD209+AZ209-BA209-BE209</f>
        <v>527951.683430876</v>
      </c>
      <c r="BG209" s="180" t="n">
        <f aca="false">BG208+AZ209-BA209</f>
        <v>150000</v>
      </c>
      <c r="BH209" s="180" t="n">
        <f aca="false">BH208+BE209</f>
        <v>0</v>
      </c>
      <c r="BI209" s="180" t="n">
        <f aca="false">BF209+BH209-BG209</f>
        <v>377951.683430876</v>
      </c>
      <c r="BJ209" s="180" t="n">
        <f aca="false">MAX(0,IFERROR(INDEX(TAB_IR,MATCH($C209,TAB_IR_DIAS,1),MATCH($E$8,TAB_IR_REGIMES,0)),0)*IF($E$26=2,BF209,MAX(0,BI209))-BH209)</f>
        <v>37795.1683430876</v>
      </c>
      <c r="BK209" s="181" t="n">
        <f aca="false">MAX(0,BF209-BJ209-BF209*$E$25)</f>
        <v>490156.515087789</v>
      </c>
      <c r="BL209" s="180" t="n">
        <f aca="false">BK209/$D209</f>
        <v>302173.884979917</v>
      </c>
      <c r="BN209" s="180" t="n">
        <f aca="false">BU208</f>
        <v>523481.805597402</v>
      </c>
      <c r="BO209" s="180" t="n">
        <f aca="false">IF($F$9=0,0,IF($A209&gt;IN_PRAZO,0,IF(APORTE_CORRIGIDO="Sim",IN_APORTE*$D209,IN_APORTE))+IF(AND($F$35=1,PGBL_REINVESTE="Sim",$A209&gt;=13,$A209&lt;=IN_PRAZO,MONTH($B209)=5),PGBL_BENEFICIO,0))</f>
        <v>0</v>
      </c>
      <c r="BP209" s="180" t="n">
        <f aca="false">BO209*$F$24</f>
        <v>0</v>
      </c>
      <c r="BQ209" s="180" t="n">
        <f aca="false">BN209*$F$19</f>
        <v>5124.23009047128</v>
      </c>
      <c r="BR209" s="180" t="n">
        <f aca="false">BN209*$F$22</f>
        <v>654.352256996752</v>
      </c>
      <c r="BS209" s="180" t="n">
        <f aca="false">$F$23*MAX(0,BQ209-BN209*$F$18)</f>
        <v>0</v>
      </c>
      <c r="BT209" s="180" t="n">
        <f aca="false">IF(AND($F$27=1,OR(MONTH($B209)=5,MONTH($B209)=11)),MAX(0,$F$28*MAX(0,(BN209+BQ209-BR209-BS209+BO209-BP209)+BW208-BV209)-BW208),0)</f>
        <v>0</v>
      </c>
      <c r="BU209" s="181" t="n">
        <f aca="false">BN209+BQ209-BR209-BS209+BO209-BP209-BT209</f>
        <v>527951.683430876</v>
      </c>
      <c r="BV209" s="180" t="n">
        <f aca="false">BV208+BO209-BP209</f>
        <v>150000</v>
      </c>
      <c r="BW209" s="180" t="n">
        <f aca="false">BW208+BT209</f>
        <v>0</v>
      </c>
      <c r="BX209" s="180" t="n">
        <f aca="false">BU209+BW209-BV209</f>
        <v>377951.683430876</v>
      </c>
      <c r="BY209" s="180" t="n">
        <f aca="false">MAX(0,IFERROR(INDEX(TAB_IR,MATCH($C209,TAB_IR_DIAS,1),MATCH($F$8,TAB_IR_REGIMES,0)),0)*IF($F$26=2,BU209,MAX(0,BX209))-BW209)</f>
        <v>52795.1683430876</v>
      </c>
      <c r="BZ209" s="181" t="n">
        <f aca="false">MAX(0,BU209-BY209-BU209*$F$25)</f>
        <v>475156.515087789</v>
      </c>
      <c r="CA209" s="180" t="n">
        <f aca="false">BZ209/$D209</f>
        <v>292926.617759799</v>
      </c>
      <c r="CC209" s="180" t="n">
        <f aca="false">CJ208</f>
        <v>374411.055520875</v>
      </c>
      <c r="CD209" s="180" t="n">
        <f aca="false">IF($G$9=0,0,IF($A209&gt;IN_PRAZO,0,IF(APORTE_CORRIGIDO="Sim",IN_APORTE*$D209,IN_APORTE))+IF(AND($G$35=1,PGBL_REINVESTE="Sim",$A209&gt;=13,$A209&lt;=IN_PRAZO,MONTH($B209)=5),PGBL_BENEFICIO,0))</f>
        <v>0</v>
      </c>
      <c r="CE209" s="180" t="n">
        <f aca="false">CD209*$G$24</f>
        <v>0</v>
      </c>
      <c r="CF209" s="180" t="n">
        <f aca="false">CC209*$G$19</f>
        <v>3054.15538766232</v>
      </c>
      <c r="CG209" s="180" t="n">
        <f aca="false">CC209*$G$22</f>
        <v>312.009212934063</v>
      </c>
      <c r="CH209" s="180" t="n">
        <f aca="false">$G$23*MAX(0,CF209-CC209*$G$18)</f>
        <v>0</v>
      </c>
      <c r="CI209" s="180" t="n">
        <f aca="false">IF(AND($G$27=1,OR(MONTH($B209)=5,MONTH($B209)=11)),MAX(0,$G$28*MAX(0,(CC209+CF209-CG209-CH209+CD209-CE209)+CL208-CK209)-CL208),0)</f>
        <v>0</v>
      </c>
      <c r="CJ209" s="181" t="n">
        <f aca="false">CC209+CF209-CG209-CH209+CD209-CE209-CI209</f>
        <v>377153.201695604</v>
      </c>
      <c r="CK209" s="180" t="n">
        <f aca="false">CK208+CD209-CE209</f>
        <v>150000</v>
      </c>
      <c r="CL209" s="180" t="n">
        <f aca="false">CL208+CI209</f>
        <v>39601.9509742721</v>
      </c>
      <c r="CM209" s="180" t="n">
        <f aca="false">CJ209+CL209-CK209</f>
        <v>266755.152669876</v>
      </c>
      <c r="CN209" s="180" t="n">
        <f aca="false">MAX(0,IFERROR(INDEX(TAB_IR,MATCH($C209,TAB_IR_DIAS,1),MATCH($G$8,TAB_IR_REGIMES,0)),0)*IF($G$26=2,CJ209,MAX(0,CM209))-CL209)</f>
        <v>411.321926209239</v>
      </c>
      <c r="CO209" s="181" t="n">
        <f aca="false">MAX(0,CJ209-CN209-CJ209*$G$25)</f>
        <v>376741.879769394</v>
      </c>
      <c r="CP209" s="180" t="n">
        <f aca="false">CO209/$D209</f>
        <v>232255.522349153</v>
      </c>
    </row>
    <row r="210" customFormat="false" ht="12" hidden="false" customHeight="true" outlineLevel="0" collapsed="false">
      <c r="A210" s="177" t="n">
        <v>149</v>
      </c>
      <c r="B210" s="178" t="n">
        <f aca="false">EDATE(DATA_INICIO,$A210)</f>
        <v>50793</v>
      </c>
      <c r="C210" s="177" t="n">
        <f aca="false">$A210*30</f>
        <v>4470</v>
      </c>
      <c r="D210" s="179" t="n">
        <f aca="false">(1+IPCA_CENARIO)^($A210/12)</f>
        <v>1.62741118413796</v>
      </c>
      <c r="F210" s="180" t="n">
        <f aca="false">M209</f>
        <v>592244.122566666</v>
      </c>
      <c r="G210" s="180" t="n">
        <f aca="false">IF($B$9=0,0,IF($A210&gt;IN_PRAZO,0,IF(APORTE_CORRIGIDO="Sim",IN_APORTE*$D210,IN_APORTE))+IF(AND($B$35=1,PGBL_REINVESTE="Sim",$A210&gt;=13,$A210&lt;=IN_PRAZO,MONTH($B210)=5),PGBL_BENEFICIO,0))</f>
        <v>0</v>
      </c>
      <c r="H210" s="180" t="n">
        <f aca="false">G210*$B$24</f>
        <v>0</v>
      </c>
      <c r="I210" s="180" t="n">
        <f aca="false">F210*$B$19</f>
        <v>5619.68184575892</v>
      </c>
      <c r="J210" s="180" t="n">
        <f aca="false">F210*$B$22</f>
        <v>98.707353761111</v>
      </c>
      <c r="K210" s="180" t="n">
        <f aca="false">$B$23*MAX(0,I210-F210*$B$18)</f>
        <v>0</v>
      </c>
      <c r="L210" s="180" t="n">
        <f aca="false">IF(AND($B$27=1,OR(MONTH($B210)=5,MONTH($B210)=11)),MAX(0,$B$28*MAX(0,(F210+I210-J210-K210+G210-H210)+O209-N210)-O209),0)</f>
        <v>0</v>
      </c>
      <c r="M210" s="181" t="n">
        <f aca="false">F210+I210-J210-K210+G210-H210-L210</f>
        <v>597765.097058664</v>
      </c>
      <c r="N210" s="180" t="n">
        <f aca="false">N209+G210-H210</f>
        <v>150000</v>
      </c>
      <c r="O210" s="180" t="n">
        <f aca="false">O209+L210</f>
        <v>0</v>
      </c>
      <c r="P210" s="180" t="n">
        <f aca="false">M210+O210-N210</f>
        <v>447765.097058664</v>
      </c>
      <c r="Q210" s="180" t="n">
        <f aca="false">MAX(0,IFERROR(INDEX(TAB_IR,MATCH($C210,TAB_IR_DIAS,1),MATCH($B$8,TAB_IR_REGIMES,0)),0)*IF($B$26=2,M210,MAX(0,P210))-O210)</f>
        <v>67164.7645587996</v>
      </c>
      <c r="R210" s="181" t="n">
        <f aca="false">MAX(0,M210-Q210-M210*$B$25)</f>
        <v>530600.332499864</v>
      </c>
      <c r="S210" s="180" t="n">
        <f aca="false">R210/$D210</f>
        <v>326039.50229144</v>
      </c>
      <c r="U210" s="180" t="n">
        <f aca="false">AB209</f>
        <v>487133.485980219</v>
      </c>
      <c r="V210" s="180" t="n">
        <f aca="false">IF($C$9=0,0,IF($A210&gt;IN_PRAZO,0,IF(APORTE_CORRIGIDO="Sim",IN_APORTE*$D210,IN_APORTE))+IF(AND($C$35=1,PGBL_REINVESTE="Sim",$A210&gt;=13,$A210&lt;=IN_PRAZO,MONTH($B210)=5),PGBL_BENEFICIO,0))</f>
        <v>0</v>
      </c>
      <c r="W210" s="180" t="n">
        <f aca="false">V210*$C$24</f>
        <v>0</v>
      </c>
      <c r="X210" s="180" t="n">
        <f aca="false">U210*$C$19</f>
        <v>3973.65766522955</v>
      </c>
      <c r="Y210" s="180" t="n">
        <f aca="false">U210*$C$22</f>
        <v>81.1889143300365</v>
      </c>
      <c r="Z210" s="180" t="n">
        <f aca="false">$C$23*MAX(0,X210-U210*$C$18)</f>
        <v>0</v>
      </c>
      <c r="AA210" s="180" t="n">
        <f aca="false">IF(AND($C$27=1,OR(MONTH($B210)=5,MONTH($B210)=11)),MAX(0,$C$28*MAX(0,(U210+X210-Y210-Z210+V210-W210)+AD209-AC210)-AD209),0)</f>
        <v>0</v>
      </c>
      <c r="AB210" s="181" t="n">
        <f aca="false">U210+X210-Y210-Z210+V210-W210-AA210</f>
        <v>491025.954731118</v>
      </c>
      <c r="AC210" s="180" t="n">
        <f aca="false">AC209+V210-W210</f>
        <v>150000</v>
      </c>
      <c r="AD210" s="180" t="n">
        <f aca="false">AD209+AA210</f>
        <v>0</v>
      </c>
      <c r="AE210" s="180" t="n">
        <f aca="false">AB210+AD210-AC210</f>
        <v>341025.954731118</v>
      </c>
      <c r="AF210" s="180" t="n">
        <f aca="false">MAX(0,IFERROR(INDEX(TAB_IR,MATCH($C210,TAB_IR_DIAS,1),MATCH($C$8,TAB_IR_REGIMES,0)),0)*IF($C$26=2,AB210,MAX(0,AE210))-AD210)</f>
        <v>51153.8932096678</v>
      </c>
      <c r="AG210" s="181" t="n">
        <f aca="false">MAX(0,AB210-AF210-AB210*$C$25)</f>
        <v>439872.061521451</v>
      </c>
      <c r="AH210" s="180" t="n">
        <f aca="false">AG210/$D210</f>
        <v>270289.442403242</v>
      </c>
      <c r="AJ210" s="180" t="n">
        <f aca="false">AQ209</f>
        <v>418747.33788671</v>
      </c>
      <c r="AK210" s="180" t="n">
        <f aca="false">IF($D$9=0,0,IF($A210&gt;IN_PRAZO,0,IF(APORTE_CORRIGIDO="Sim",IN_APORTE*$D210,IN_APORTE))+IF(AND($D$35=1,PGBL_REINVESTE="Sim",$A210&gt;=13,$A210&lt;=IN_PRAZO,MONTH($B210)=5),PGBL_BENEFICIO,0))</f>
        <v>0</v>
      </c>
      <c r="AL210" s="180" t="n">
        <f aca="false">AK210*$D$24</f>
        <v>0</v>
      </c>
      <c r="AM210" s="180" t="n">
        <f aca="false">AJ210*$D$19</f>
        <v>3763.99296056755</v>
      </c>
      <c r="AN210" s="180" t="n">
        <f aca="false">AJ210*$D$22</f>
        <v>348.956114905592</v>
      </c>
      <c r="AO210" s="180" t="n">
        <f aca="false">$D$23*MAX(0,AM210-AJ210*$D$18)</f>
        <v>0</v>
      </c>
      <c r="AP210" s="180" t="n">
        <f aca="false">IF(AND($D$27=1,OR(MONTH($B210)=5,MONTH($B210)=11)),MAX(0,$D$28*MAX(0,(AJ210+AM210-AN210-AO210+AK210-AL210)+AS209-AR210)-AS209),0)</f>
        <v>0</v>
      </c>
      <c r="AQ210" s="181" t="n">
        <f aca="false">AJ210+AM210-AN210-AO210+AK210-AL210-AP210</f>
        <v>422162.374732372</v>
      </c>
      <c r="AR210" s="180" t="n">
        <f aca="false">AR209+AK210-AL210</f>
        <v>150000</v>
      </c>
      <c r="AS210" s="180" t="n">
        <f aca="false">AS209+AP210</f>
        <v>46828.2223433029</v>
      </c>
      <c r="AT210" s="180" t="n">
        <f aca="false">AQ210+AS210-AR210</f>
        <v>318990.597075675</v>
      </c>
      <c r="AU210" s="180" t="n">
        <f aca="false">MAX(0,IFERROR(INDEX(TAB_IR,MATCH($C210,TAB_IR_DIAS,1),MATCH($D$8,TAB_IR_REGIMES,0)),0)*IF($D$26=2,AQ210,MAX(0,AT210))-AS210)</f>
        <v>1020.36721804839</v>
      </c>
      <c r="AV210" s="181" t="n">
        <f aca="false">MAX(0,AQ210-AU210-AQ210*$D$25)</f>
        <v>421142.007514324</v>
      </c>
      <c r="AW210" s="180" t="n">
        <f aca="false">AV210/$D210</f>
        <v>258780.332603774</v>
      </c>
      <c r="AY210" s="180" t="n">
        <f aca="false">BF209</f>
        <v>527951.683430876</v>
      </c>
      <c r="AZ210" s="180" t="n">
        <f aca="false">IF($E$9=0,0,IF($A210&gt;IN_PRAZO,0,IF(APORTE_CORRIGIDO="Sim",IN_APORTE*$D210,IN_APORTE))+IF(AND($E$35=1,PGBL_REINVESTE="Sim",$A210&gt;=13,$A210&lt;=IN_PRAZO,MONTH($B210)=5),PGBL_BENEFICIO,0))</f>
        <v>0</v>
      </c>
      <c r="BA210" s="180" t="n">
        <f aca="false">AZ210*$E$24</f>
        <v>0</v>
      </c>
      <c r="BB210" s="180" t="n">
        <f aca="false">AY210*$E$19</f>
        <v>5167.9845863298</v>
      </c>
      <c r="BC210" s="180" t="n">
        <f aca="false">AY210*$E$22</f>
        <v>659.939604288595</v>
      </c>
      <c r="BD210" s="180" t="n">
        <f aca="false">$E$23*MAX(0,BB210-AY210*$E$18)</f>
        <v>0</v>
      </c>
      <c r="BE210" s="180" t="n">
        <f aca="false">IF(AND($E$27=1,OR(MONTH($B210)=5,MONTH($B210)=11)),MAX(0,$E$28*MAX(0,(AY210+BB210-BC210-BD210+AZ210-BA210)+BH209-BG210)-BH209),0)</f>
        <v>0</v>
      </c>
      <c r="BF210" s="181" t="n">
        <f aca="false">AY210+BB210-BC210-BD210+AZ210-BA210-BE210</f>
        <v>532459.728412917</v>
      </c>
      <c r="BG210" s="180" t="n">
        <f aca="false">BG209+AZ210-BA210</f>
        <v>150000</v>
      </c>
      <c r="BH210" s="180" t="n">
        <f aca="false">BH209+BE210</f>
        <v>0</v>
      </c>
      <c r="BI210" s="180" t="n">
        <f aca="false">BF210+BH210-BG210</f>
        <v>382459.728412917</v>
      </c>
      <c r="BJ210" s="180" t="n">
        <f aca="false">MAX(0,IFERROR(INDEX(TAB_IR,MATCH($C210,TAB_IR_DIAS,1),MATCH($E$8,TAB_IR_REGIMES,0)),0)*IF($E$26=2,BF210,MAX(0,BI210))-BH210)</f>
        <v>38245.9728412917</v>
      </c>
      <c r="BK210" s="181" t="n">
        <f aca="false">MAX(0,BF210-BJ210-BF210*$E$25)</f>
        <v>494213.755571626</v>
      </c>
      <c r="BL210" s="180" t="n">
        <f aca="false">BK210/$D210</f>
        <v>303680.938406116</v>
      </c>
      <c r="BN210" s="180" t="n">
        <f aca="false">BU209</f>
        <v>527951.683430876</v>
      </c>
      <c r="BO210" s="180" t="n">
        <f aca="false">IF($F$9=0,0,IF($A210&gt;IN_PRAZO,0,IF(APORTE_CORRIGIDO="Sim",IN_APORTE*$D210,IN_APORTE))+IF(AND($F$35=1,PGBL_REINVESTE="Sim",$A210&gt;=13,$A210&lt;=IN_PRAZO,MONTH($B210)=5),PGBL_BENEFICIO,0))</f>
        <v>0</v>
      </c>
      <c r="BP210" s="180" t="n">
        <f aca="false">BO210*$F$24</f>
        <v>0</v>
      </c>
      <c r="BQ210" s="180" t="n">
        <f aca="false">BN210*$F$19</f>
        <v>5167.9845863298</v>
      </c>
      <c r="BR210" s="180" t="n">
        <f aca="false">BN210*$F$22</f>
        <v>659.939604288595</v>
      </c>
      <c r="BS210" s="180" t="n">
        <f aca="false">$F$23*MAX(0,BQ210-BN210*$F$18)</f>
        <v>0</v>
      </c>
      <c r="BT210" s="180" t="n">
        <f aca="false">IF(AND($F$27=1,OR(MONTH($B210)=5,MONTH($B210)=11)),MAX(0,$F$28*MAX(0,(BN210+BQ210-BR210-BS210+BO210-BP210)+BW209-BV210)-BW209),0)</f>
        <v>0</v>
      </c>
      <c r="BU210" s="181" t="n">
        <f aca="false">BN210+BQ210-BR210-BS210+BO210-BP210-BT210</f>
        <v>532459.728412917</v>
      </c>
      <c r="BV210" s="180" t="n">
        <f aca="false">BV209+BO210-BP210</f>
        <v>150000</v>
      </c>
      <c r="BW210" s="180" t="n">
        <f aca="false">BW209+BT210</f>
        <v>0</v>
      </c>
      <c r="BX210" s="180" t="n">
        <f aca="false">BU210+BW210-BV210</f>
        <v>382459.728412917</v>
      </c>
      <c r="BY210" s="180" t="n">
        <f aca="false">MAX(0,IFERROR(INDEX(TAB_IR,MATCH($C210,TAB_IR_DIAS,1),MATCH($F$8,TAB_IR_REGIMES,0)),0)*IF($F$26=2,BU210,MAX(0,BX210))-BW210)</f>
        <v>53245.9728412917</v>
      </c>
      <c r="BZ210" s="181" t="n">
        <f aca="false">MAX(0,BU210-BY210-BU210*$F$25)</f>
        <v>479213.755571626</v>
      </c>
      <c r="CA210" s="180" t="n">
        <f aca="false">BZ210/$D210</f>
        <v>294463.845549559</v>
      </c>
      <c r="CC210" s="180" t="n">
        <f aca="false">CJ209</f>
        <v>377153.201695604</v>
      </c>
      <c r="CD210" s="180" t="n">
        <f aca="false">IF($G$9=0,0,IF($A210&gt;IN_PRAZO,0,IF(APORTE_CORRIGIDO="Sim",IN_APORTE*$D210,IN_APORTE))+IF(AND($G$35=1,PGBL_REINVESTE="Sim",$A210&gt;=13,$A210&lt;=IN_PRAZO,MONTH($B210)=5),PGBL_BENEFICIO,0))</f>
        <v>0</v>
      </c>
      <c r="CE210" s="180" t="n">
        <f aca="false">CD210*$G$24</f>
        <v>0</v>
      </c>
      <c r="CF210" s="180" t="n">
        <f aca="false">CC210*$G$19</f>
        <v>3076.52369220304</v>
      </c>
      <c r="CG210" s="180" t="n">
        <f aca="false">CC210*$G$22</f>
        <v>314.294334746336</v>
      </c>
      <c r="CH210" s="180" t="n">
        <f aca="false">$G$23*MAX(0,CF210-CC210*$G$18)</f>
        <v>0</v>
      </c>
      <c r="CI210" s="180" t="n">
        <f aca="false">IF(AND($G$27=1,OR(MONTH($B210)=5,MONTH($B210)=11)),MAX(0,$G$28*MAX(0,(CC210+CF210-CG210-CH210+CD210-CE210)+CL209-CK210)-CL209),0)</f>
        <v>0</v>
      </c>
      <c r="CJ210" s="181" t="n">
        <f aca="false">CC210+CF210-CG210-CH210+CD210-CE210-CI210</f>
        <v>379915.43105306</v>
      </c>
      <c r="CK210" s="180" t="n">
        <f aca="false">CK209+CD210-CE210</f>
        <v>150000</v>
      </c>
      <c r="CL210" s="180" t="n">
        <f aca="false">CL209+CI210</f>
        <v>39601.9509742721</v>
      </c>
      <c r="CM210" s="180" t="n">
        <f aca="false">CJ210+CL210-CK210</f>
        <v>269517.382027333</v>
      </c>
      <c r="CN210" s="180" t="n">
        <f aca="false">MAX(0,IFERROR(INDEX(TAB_IR,MATCH($C210,TAB_IR_DIAS,1),MATCH($G$8,TAB_IR_REGIMES,0)),0)*IF($G$26=2,CJ210,MAX(0,CM210))-CL210)</f>
        <v>825.656329827754</v>
      </c>
      <c r="CO210" s="181" t="n">
        <f aca="false">MAX(0,CJ210-CN210-CJ210*$G$25)</f>
        <v>379089.774723233</v>
      </c>
      <c r="CP210" s="180" t="n">
        <f aca="false">CO210/$D210</f>
        <v>232940.376973036</v>
      </c>
    </row>
    <row r="211" customFormat="false" ht="12" hidden="false" customHeight="true" outlineLevel="0" collapsed="false">
      <c r="A211" s="177" t="n">
        <v>150</v>
      </c>
      <c r="B211" s="178" t="n">
        <f aca="false">EDATE(DATA_INICIO,$A211)</f>
        <v>50824</v>
      </c>
      <c r="C211" s="177" t="n">
        <f aca="false">$A211*30</f>
        <v>4500</v>
      </c>
      <c r="D211" s="179" t="n">
        <f aca="false">(1+IPCA_CENARIO)^($A211/12)</f>
        <v>1.63273890487347</v>
      </c>
      <c r="F211" s="180" t="n">
        <f aca="false">M210</f>
        <v>597765.097058664</v>
      </c>
      <c r="G211" s="180" t="n">
        <f aca="false">IF($B$9=0,0,IF($A211&gt;IN_PRAZO,0,IF(APORTE_CORRIGIDO="Sim",IN_APORTE*$D211,IN_APORTE))+IF(AND($B$35=1,PGBL_REINVESTE="Sim",$A211&gt;=13,$A211&lt;=IN_PRAZO,MONTH($B211)=5),PGBL_BENEFICIO,0))</f>
        <v>0</v>
      </c>
      <c r="H211" s="180" t="n">
        <f aca="false">G211*$B$24</f>
        <v>0</v>
      </c>
      <c r="I211" s="180" t="n">
        <f aca="false">F211*$B$19</f>
        <v>5672.0692295106</v>
      </c>
      <c r="J211" s="180" t="n">
        <f aca="false">F211*$B$22</f>
        <v>99.627516176444</v>
      </c>
      <c r="K211" s="180" t="n">
        <f aca="false">$B$23*MAX(0,I211-F211*$B$18)</f>
        <v>0</v>
      </c>
      <c r="L211" s="180" t="n">
        <f aca="false">IF(AND($B$27=1,OR(MONTH($B211)=5,MONTH($B211)=11)),MAX(0,$B$28*MAX(0,(F211+I211-J211-K211+G211-H211)+O210-N211)-O210),0)</f>
        <v>0</v>
      </c>
      <c r="M211" s="181" t="n">
        <f aca="false">F211+I211-J211-K211+G211-H211-L211</f>
        <v>603337.538771998</v>
      </c>
      <c r="N211" s="180" t="n">
        <f aca="false">N210+G211-H211</f>
        <v>150000</v>
      </c>
      <c r="O211" s="180" t="n">
        <f aca="false">O210+L211</f>
        <v>0</v>
      </c>
      <c r="P211" s="180" t="n">
        <f aca="false">M211+O211-N211</f>
        <v>453337.538771998</v>
      </c>
      <c r="Q211" s="180" t="n">
        <f aca="false">MAX(0,IFERROR(INDEX(TAB_IR,MATCH($C211,TAB_IR_DIAS,1),MATCH($B$8,TAB_IR_REGIMES,0)),0)*IF($B$26=2,M211,MAX(0,P211))-O211)</f>
        <v>68000.6308157997</v>
      </c>
      <c r="R211" s="181" t="n">
        <f aca="false">MAX(0,M211-Q211-M211*$B$25)</f>
        <v>535336.907956198</v>
      </c>
      <c r="S211" s="180" t="n">
        <f aca="false">R211/$D211</f>
        <v>327876.616621495</v>
      </c>
      <c r="U211" s="180" t="n">
        <f aca="false">AB210</f>
        <v>491025.954731118</v>
      </c>
      <c r="V211" s="180" t="n">
        <f aca="false">IF($C$9=0,0,IF($A211&gt;IN_PRAZO,0,IF(APORTE_CORRIGIDO="Sim",IN_APORTE*$D211,IN_APORTE))+IF(AND($C$35=1,PGBL_REINVESTE="Sim",$A211&gt;=13,$A211&lt;=IN_PRAZO,MONTH($B211)=5),PGBL_BENEFICIO,0))</f>
        <v>0</v>
      </c>
      <c r="W211" s="180" t="n">
        <f aca="false">V211*$C$24</f>
        <v>0</v>
      </c>
      <c r="X211" s="180" t="n">
        <f aca="false">U211*$C$19</f>
        <v>4005.40941035451</v>
      </c>
      <c r="Y211" s="180" t="n">
        <f aca="false">U211*$C$22</f>
        <v>81.8376591218531</v>
      </c>
      <c r="Z211" s="180" t="n">
        <f aca="false">$C$23*MAX(0,X211-U211*$C$18)</f>
        <v>0</v>
      </c>
      <c r="AA211" s="180" t="n">
        <f aca="false">IF(AND($C$27=1,OR(MONTH($B211)=5,MONTH($B211)=11)),MAX(0,$C$28*MAX(0,(U211+X211-Y211-Z211+V211-W211)+AD210-AC211)-AD210),0)</f>
        <v>0</v>
      </c>
      <c r="AB211" s="181" t="n">
        <f aca="false">U211+X211-Y211-Z211+V211-W211-AA211</f>
        <v>494949.526482351</v>
      </c>
      <c r="AC211" s="180" t="n">
        <f aca="false">AC210+V211-W211</f>
        <v>150000</v>
      </c>
      <c r="AD211" s="180" t="n">
        <f aca="false">AD210+AA211</f>
        <v>0</v>
      </c>
      <c r="AE211" s="180" t="n">
        <f aca="false">AB211+AD211-AC211</f>
        <v>344949.526482351</v>
      </c>
      <c r="AF211" s="180" t="n">
        <f aca="false">MAX(0,IFERROR(INDEX(TAB_IR,MATCH($C211,TAB_IR_DIAS,1),MATCH($C$8,TAB_IR_REGIMES,0)),0)*IF($C$26=2,AB211,MAX(0,AE211))-AD211)</f>
        <v>51742.4289723527</v>
      </c>
      <c r="AG211" s="181" t="n">
        <f aca="false">MAX(0,AB211-AF211-AB211*$C$25)</f>
        <v>443207.097509998</v>
      </c>
      <c r="AH211" s="180" t="n">
        <f aca="false">AG211/$D211</f>
        <v>271450.074587611</v>
      </c>
      <c r="AJ211" s="180" t="n">
        <f aca="false">AQ210</f>
        <v>422162.374732372</v>
      </c>
      <c r="AK211" s="180" t="n">
        <f aca="false">IF($D$9=0,0,IF($A211&gt;IN_PRAZO,0,IF(APORTE_CORRIGIDO="Sim",IN_APORTE*$D211,IN_APORTE))+IF(AND($D$35=1,PGBL_REINVESTE="Sim",$A211&gt;=13,$A211&lt;=IN_PRAZO,MONTH($B211)=5),PGBL_BENEFICIO,0))</f>
        <v>0</v>
      </c>
      <c r="AL211" s="180" t="n">
        <f aca="false">AK211*$D$24</f>
        <v>0</v>
      </c>
      <c r="AM211" s="180" t="n">
        <f aca="false">AJ211*$D$19</f>
        <v>3794.68969218624</v>
      </c>
      <c r="AN211" s="180" t="n">
        <f aca="false">AJ211*$D$22</f>
        <v>351.801978943644</v>
      </c>
      <c r="AO211" s="180" t="n">
        <f aca="false">$D$23*MAX(0,AM211-AJ211*$D$18)</f>
        <v>0</v>
      </c>
      <c r="AP211" s="180" t="n">
        <f aca="false">IF(AND($D$27=1,OR(MONTH($B211)=5,MONTH($B211)=11)),MAX(0,$D$28*MAX(0,(AJ211+AM211-AN211-AO211+AK211-AL211)+AS210-AR211)-AS210),0)</f>
        <v>0</v>
      </c>
      <c r="AQ211" s="181" t="n">
        <f aca="false">AJ211+AM211-AN211-AO211+AK211-AL211-AP211</f>
        <v>425605.262445615</v>
      </c>
      <c r="AR211" s="180" t="n">
        <f aca="false">AR210+AK211-AL211</f>
        <v>150000</v>
      </c>
      <c r="AS211" s="180" t="n">
        <f aca="false">AS210+AP211</f>
        <v>46828.2223433029</v>
      </c>
      <c r="AT211" s="180" t="n">
        <f aca="false">AQ211+AS211-AR211</f>
        <v>322433.484788918</v>
      </c>
      <c r="AU211" s="180" t="n">
        <f aca="false">MAX(0,IFERROR(INDEX(TAB_IR,MATCH($C211,TAB_IR_DIAS,1),MATCH($D$8,TAB_IR_REGIMES,0)),0)*IF($D$26=2,AQ211,MAX(0,AT211))-AS211)</f>
        <v>1536.80037503479</v>
      </c>
      <c r="AV211" s="181" t="n">
        <f aca="false">MAX(0,AQ211-AU211-AQ211*$D$25)</f>
        <v>424068.46207058</v>
      </c>
      <c r="AW211" s="180" t="n">
        <f aca="false">AV211/$D211</f>
        <v>259728.276704133</v>
      </c>
      <c r="AY211" s="180" t="n">
        <f aca="false">BF210</f>
        <v>532459.728412917</v>
      </c>
      <c r="AZ211" s="180" t="n">
        <f aca="false">IF($E$9=0,0,IF($A211&gt;IN_PRAZO,0,IF(APORTE_CORRIGIDO="Sim",IN_APORTE*$D211,IN_APORTE))+IF(AND($E$35=1,PGBL_REINVESTE="Sim",$A211&gt;=13,$A211&lt;=IN_PRAZO,MONTH($B211)=5),PGBL_BENEFICIO,0))</f>
        <v>0</v>
      </c>
      <c r="BA211" s="180" t="n">
        <f aca="false">AZ211*$E$24</f>
        <v>0</v>
      </c>
      <c r="BB211" s="180" t="n">
        <f aca="false">AY211*$E$19</f>
        <v>5212.11269068638</v>
      </c>
      <c r="BC211" s="180" t="n">
        <f aca="false">AY211*$E$22</f>
        <v>665.574660516147</v>
      </c>
      <c r="BD211" s="180" t="n">
        <f aca="false">$E$23*MAX(0,BB211-AY211*$E$18)</f>
        <v>0</v>
      </c>
      <c r="BE211" s="180" t="n">
        <f aca="false">IF(AND($E$27=1,OR(MONTH($B211)=5,MONTH($B211)=11)),MAX(0,$E$28*MAX(0,(AY211+BB211-BC211-BD211+AZ211-BA211)+BH210-BG211)-BH210),0)</f>
        <v>0</v>
      </c>
      <c r="BF211" s="181" t="n">
        <f aca="false">AY211+BB211-BC211-BD211+AZ211-BA211-BE211</f>
        <v>537006.266443088</v>
      </c>
      <c r="BG211" s="180" t="n">
        <f aca="false">BG210+AZ211-BA211</f>
        <v>150000</v>
      </c>
      <c r="BH211" s="180" t="n">
        <f aca="false">BH210+BE211</f>
        <v>0</v>
      </c>
      <c r="BI211" s="180" t="n">
        <f aca="false">BF211+BH211-BG211</f>
        <v>387006.266443088</v>
      </c>
      <c r="BJ211" s="180" t="n">
        <f aca="false">MAX(0,IFERROR(INDEX(TAB_IR,MATCH($C211,TAB_IR_DIAS,1),MATCH($E$8,TAB_IR_REGIMES,0)),0)*IF($E$26=2,BF211,MAX(0,BI211))-BH211)</f>
        <v>38700.6266443088</v>
      </c>
      <c r="BK211" s="181" t="n">
        <f aca="false">MAX(0,BF211-BJ211-BF211*$E$25)</f>
        <v>498305.639798779</v>
      </c>
      <c r="BL211" s="180" t="n">
        <f aca="false">BK211/$D211</f>
        <v>305196.157396271</v>
      </c>
      <c r="BN211" s="180" t="n">
        <f aca="false">BU210</f>
        <v>532459.728412917</v>
      </c>
      <c r="BO211" s="180" t="n">
        <f aca="false">IF($F$9=0,0,IF($A211&gt;IN_PRAZO,0,IF(APORTE_CORRIGIDO="Sim",IN_APORTE*$D211,IN_APORTE))+IF(AND($F$35=1,PGBL_REINVESTE="Sim",$A211&gt;=13,$A211&lt;=IN_PRAZO,MONTH($B211)=5),PGBL_BENEFICIO,0))</f>
        <v>0</v>
      </c>
      <c r="BP211" s="180" t="n">
        <f aca="false">BO211*$F$24</f>
        <v>0</v>
      </c>
      <c r="BQ211" s="180" t="n">
        <f aca="false">BN211*$F$19</f>
        <v>5212.11269068638</v>
      </c>
      <c r="BR211" s="180" t="n">
        <f aca="false">BN211*$F$22</f>
        <v>665.574660516147</v>
      </c>
      <c r="BS211" s="180" t="n">
        <f aca="false">$F$23*MAX(0,BQ211-BN211*$F$18)</f>
        <v>0</v>
      </c>
      <c r="BT211" s="180" t="n">
        <f aca="false">IF(AND($F$27=1,OR(MONTH($B211)=5,MONTH($B211)=11)),MAX(0,$F$28*MAX(0,(BN211+BQ211-BR211-BS211+BO211-BP211)+BW210-BV211)-BW210),0)</f>
        <v>0</v>
      </c>
      <c r="BU211" s="181" t="n">
        <f aca="false">BN211+BQ211-BR211-BS211+BO211-BP211-BT211</f>
        <v>537006.266443088</v>
      </c>
      <c r="BV211" s="180" t="n">
        <f aca="false">BV210+BO211-BP211</f>
        <v>150000</v>
      </c>
      <c r="BW211" s="180" t="n">
        <f aca="false">BW210+BT211</f>
        <v>0</v>
      </c>
      <c r="BX211" s="180" t="n">
        <f aca="false">BU211+BW211-BV211</f>
        <v>387006.266443088</v>
      </c>
      <c r="BY211" s="180" t="n">
        <f aca="false">MAX(0,IFERROR(INDEX(TAB_IR,MATCH($C211,TAB_IR_DIAS,1),MATCH($F$8,TAB_IR_REGIMES,0)),0)*IF($F$26=2,BU211,MAX(0,BX211))-BW211)</f>
        <v>53700.6266443088</v>
      </c>
      <c r="BZ211" s="181" t="n">
        <f aca="false">MAX(0,BU211-BY211-BU211*$F$25)</f>
        <v>483305.639798779</v>
      </c>
      <c r="CA211" s="180" t="n">
        <f aca="false">BZ211/$D211</f>
        <v>296009.140442594</v>
      </c>
      <c r="CC211" s="180" t="n">
        <f aca="false">CJ210</f>
        <v>379915.43105306</v>
      </c>
      <c r="CD211" s="180" t="n">
        <f aca="false">IF($G$9=0,0,IF($A211&gt;IN_PRAZO,0,IF(APORTE_CORRIGIDO="Sim",IN_APORTE*$D211,IN_APORTE))+IF(AND($G$35=1,PGBL_REINVESTE="Sim",$A211&gt;=13,$A211&lt;=IN_PRAZO,MONTH($B211)=5),PGBL_BENEFICIO,0))</f>
        <v>0</v>
      </c>
      <c r="CE211" s="180" t="n">
        <f aca="false">CD211*$G$24</f>
        <v>0</v>
      </c>
      <c r="CF211" s="180" t="n">
        <f aca="false">CC211*$G$19</f>
        <v>3099.05581979286</v>
      </c>
      <c r="CG211" s="180" t="n">
        <f aca="false">CC211*$G$22</f>
        <v>316.596192544217</v>
      </c>
      <c r="CH211" s="180" t="n">
        <f aca="false">$G$23*MAX(0,CF211-CC211*$G$18)</f>
        <v>0</v>
      </c>
      <c r="CI211" s="180" t="n">
        <f aca="false">IF(AND($G$27=1,OR(MONTH($B211)=5,MONTH($B211)=11)),MAX(0,$G$28*MAX(0,(CC211+CF211-CG211-CH211+CD211-CE211)+CL210-CK211)-CL210),0)</f>
        <v>0</v>
      </c>
      <c r="CJ211" s="181" t="n">
        <f aca="false">CC211+CF211-CG211-CH211+CD211-CE211-CI211</f>
        <v>382697.890680309</v>
      </c>
      <c r="CK211" s="180" t="n">
        <f aca="false">CK210+CD211-CE211</f>
        <v>150000</v>
      </c>
      <c r="CL211" s="180" t="n">
        <f aca="false">CL210+CI211</f>
        <v>39601.9509742721</v>
      </c>
      <c r="CM211" s="180" t="n">
        <f aca="false">CJ211+CL211-CK211</f>
        <v>272299.841654581</v>
      </c>
      <c r="CN211" s="180" t="n">
        <f aca="false">MAX(0,IFERROR(INDEX(TAB_IR,MATCH($C211,TAB_IR_DIAS,1),MATCH($G$8,TAB_IR_REGIMES,0)),0)*IF($G$26=2,CJ211,MAX(0,CM211))-CL211)</f>
        <v>1243.02527391504</v>
      </c>
      <c r="CO211" s="181" t="n">
        <f aca="false">MAX(0,CJ211-CN211-CJ211*$G$25)</f>
        <v>381454.865406394</v>
      </c>
      <c r="CP211" s="180" t="n">
        <f aca="false">CO211/$D211</f>
        <v>233628.821036732</v>
      </c>
    </row>
    <row r="212" customFormat="false" ht="12" hidden="false" customHeight="true" outlineLevel="0" collapsed="false">
      <c r="A212" s="177" t="n">
        <v>151</v>
      </c>
      <c r="B212" s="178" t="n">
        <f aca="false">EDATE(DATA_INICIO,$A212)</f>
        <v>50852</v>
      </c>
      <c r="C212" s="177" t="n">
        <f aca="false">$A212*30</f>
        <v>4530</v>
      </c>
      <c r="D212" s="179" t="n">
        <f aca="false">(1+IPCA_CENARIO)^($A212/12)</f>
        <v>1.6380840671803</v>
      </c>
      <c r="F212" s="180" t="n">
        <f aca="false">M211</f>
        <v>603337.538771998</v>
      </c>
      <c r="G212" s="180" t="n">
        <f aca="false">IF($B$9=0,0,IF($A212&gt;IN_PRAZO,0,IF(APORTE_CORRIGIDO="Sim",IN_APORTE*$D212,IN_APORTE))+IF(AND($B$35=1,PGBL_REINVESTE="Sim",$A212&gt;=13,$A212&lt;=IN_PRAZO,MONTH($B212)=5),PGBL_BENEFICIO,0))</f>
        <v>0</v>
      </c>
      <c r="H212" s="180" t="n">
        <f aca="false">G212*$B$24</f>
        <v>0</v>
      </c>
      <c r="I212" s="180" t="n">
        <f aca="false">F212*$B$19</f>
        <v>5724.94497506846</v>
      </c>
      <c r="J212" s="180" t="n">
        <f aca="false">F212*$B$22</f>
        <v>100.556256462</v>
      </c>
      <c r="K212" s="180" t="n">
        <f aca="false">$B$23*MAX(0,I212-F212*$B$18)</f>
        <v>0</v>
      </c>
      <c r="L212" s="180" t="n">
        <f aca="false">IF(AND($B$27=1,OR(MONTH($B212)=5,MONTH($B212)=11)),MAX(0,$B$28*MAX(0,(F212+I212-J212-K212+G212-H212)+O211-N212)-O211),0)</f>
        <v>0</v>
      </c>
      <c r="M212" s="181" t="n">
        <f aca="false">F212+I212-J212-K212+G212-H212-L212</f>
        <v>608961.927490605</v>
      </c>
      <c r="N212" s="180" t="n">
        <f aca="false">N211+G212-H212</f>
        <v>150000</v>
      </c>
      <c r="O212" s="180" t="n">
        <f aca="false">O211+L212</f>
        <v>0</v>
      </c>
      <c r="P212" s="180" t="n">
        <f aca="false">M212+O212-N212</f>
        <v>458961.927490604</v>
      </c>
      <c r="Q212" s="180" t="n">
        <f aca="false">MAX(0,IFERROR(INDEX(TAB_IR,MATCH($C212,TAB_IR_DIAS,1),MATCH($B$8,TAB_IR_REGIMES,0)),0)*IF($B$26=2,M212,MAX(0,P212))-O212)</f>
        <v>68844.2891235907</v>
      </c>
      <c r="R212" s="181" t="n">
        <f aca="false">MAX(0,M212-Q212-M212*$B$25)</f>
        <v>540117.638367014</v>
      </c>
      <c r="S212" s="180" t="n">
        <f aca="false">R212/$D212</f>
        <v>329725.225456066</v>
      </c>
      <c r="U212" s="180" t="n">
        <f aca="false">AB211</f>
        <v>494949.526482351</v>
      </c>
      <c r="V212" s="180" t="n">
        <f aca="false">IF($C$9=0,0,IF($A212&gt;IN_PRAZO,0,IF(APORTE_CORRIGIDO="Sim",IN_APORTE*$D212,IN_APORTE))+IF(AND($C$35=1,PGBL_REINVESTE="Sim",$A212&gt;=13,$A212&lt;=IN_PRAZO,MONTH($B212)=5),PGBL_BENEFICIO,0))</f>
        <v>0</v>
      </c>
      <c r="W212" s="180" t="n">
        <f aca="false">V212*$C$24</f>
        <v>0</v>
      </c>
      <c r="X212" s="180" t="n">
        <f aca="false">U212*$C$19</f>
        <v>4037.4148696651</v>
      </c>
      <c r="Y212" s="180" t="n">
        <f aca="false">U212*$C$22</f>
        <v>82.4915877470585</v>
      </c>
      <c r="Z212" s="180" t="n">
        <f aca="false">$C$23*MAX(0,X212-U212*$C$18)</f>
        <v>0</v>
      </c>
      <c r="AA212" s="180" t="n">
        <f aca="false">IF(AND($C$27=1,OR(MONTH($B212)=5,MONTH($B212)=11)),MAX(0,$C$28*MAX(0,(U212+X212-Y212-Z212+V212-W212)+AD211-AC212)-AD211),0)</f>
        <v>0</v>
      </c>
      <c r="AB212" s="181" t="n">
        <f aca="false">U212+X212-Y212-Z212+V212-W212-AA212</f>
        <v>498904.449764269</v>
      </c>
      <c r="AC212" s="180" t="n">
        <f aca="false">AC211+V212-W212</f>
        <v>150000</v>
      </c>
      <c r="AD212" s="180" t="n">
        <f aca="false">AD211+AA212</f>
        <v>0</v>
      </c>
      <c r="AE212" s="180" t="n">
        <f aca="false">AB212+AD212-AC212</f>
        <v>348904.449764269</v>
      </c>
      <c r="AF212" s="180" t="n">
        <f aca="false">MAX(0,IFERROR(INDEX(TAB_IR,MATCH($C212,TAB_IR_DIAS,1),MATCH($C$8,TAB_IR_REGIMES,0)),0)*IF($C$26=2,AB212,MAX(0,AE212))-AD212)</f>
        <v>52335.6674646404</v>
      </c>
      <c r="AG212" s="181" t="n">
        <f aca="false">MAX(0,AB212-AF212-AB212*$C$25)</f>
        <v>446568.782299629</v>
      </c>
      <c r="AH212" s="180" t="n">
        <f aca="false">AG212/$D212</f>
        <v>272616.522708951</v>
      </c>
      <c r="AJ212" s="180" t="n">
        <f aca="false">AQ211</f>
        <v>425605.262445615</v>
      </c>
      <c r="AK212" s="180" t="n">
        <f aca="false">IF($D$9=0,0,IF($A212&gt;IN_PRAZO,0,IF(APORTE_CORRIGIDO="Sim",IN_APORTE*$D212,IN_APORTE))+IF(AND($D$35=1,PGBL_REINVESTE="Sim",$A212&gt;=13,$A212&lt;=IN_PRAZO,MONTH($B212)=5),PGBL_BENEFICIO,0))</f>
        <v>0</v>
      </c>
      <c r="AL212" s="180" t="n">
        <f aca="false">AK212*$D$24</f>
        <v>0</v>
      </c>
      <c r="AM212" s="180" t="n">
        <f aca="false">AJ212*$D$19</f>
        <v>3825.63676681618</v>
      </c>
      <c r="AN212" s="180" t="n">
        <f aca="false">AJ212*$D$22</f>
        <v>354.671052038012</v>
      </c>
      <c r="AO212" s="180" t="n">
        <f aca="false">$D$23*MAX(0,AM212-AJ212*$D$18)</f>
        <v>0</v>
      </c>
      <c r="AP212" s="180" t="n">
        <f aca="false">IF(AND($D$27=1,OR(MONTH($B212)=5,MONTH($B212)=11)),MAX(0,$D$28*MAX(0,(AJ212+AM212-AN212-AO212+AK212-AL212)+AS211-AR212)-AS211),0)</f>
        <v>0</v>
      </c>
      <c r="AQ212" s="181" t="n">
        <f aca="false">AJ212+AM212-AN212-AO212+AK212-AL212-AP212</f>
        <v>429076.228160393</v>
      </c>
      <c r="AR212" s="180" t="n">
        <f aca="false">AR211+AK212-AL212</f>
        <v>150000</v>
      </c>
      <c r="AS212" s="180" t="n">
        <f aca="false">AS211+AP212</f>
        <v>46828.2223433029</v>
      </c>
      <c r="AT212" s="180" t="n">
        <f aca="false">AQ212+AS212-AR212</f>
        <v>325904.450503696</v>
      </c>
      <c r="AU212" s="180" t="n">
        <f aca="false">MAX(0,IFERROR(INDEX(TAB_IR,MATCH($C212,TAB_IR_DIAS,1),MATCH($D$8,TAB_IR_REGIMES,0)),0)*IF($D$26=2,AQ212,MAX(0,AT212))-AS212)</f>
        <v>2057.44523225151</v>
      </c>
      <c r="AV212" s="181" t="n">
        <f aca="false">MAX(0,AQ212-AU212-AQ212*$D$25)</f>
        <v>427018.782928142</v>
      </c>
      <c r="AW212" s="180" t="n">
        <f aca="false">AV212/$D212</f>
        <v>260681.848681421</v>
      </c>
      <c r="AY212" s="180" t="n">
        <f aca="false">BF211</f>
        <v>537006.266443088</v>
      </c>
      <c r="AZ212" s="180" t="n">
        <f aca="false">IF($E$9=0,0,IF($A212&gt;IN_PRAZO,0,IF(APORTE_CORRIGIDO="Sim",IN_APORTE*$D212,IN_APORTE))+IF(AND($E$35=1,PGBL_REINVESTE="Sim",$A212&gt;=13,$A212&lt;=IN_PRAZO,MONTH($B212)=5),PGBL_BENEFICIO,0))</f>
        <v>0</v>
      </c>
      <c r="BA212" s="180" t="n">
        <f aca="false">AZ212*$E$24</f>
        <v>0</v>
      </c>
      <c r="BB212" s="180" t="n">
        <f aca="false">AY212*$E$19</f>
        <v>5256.61759368885</v>
      </c>
      <c r="BC212" s="180" t="n">
        <f aca="false">AY212*$E$22</f>
        <v>671.25783305386</v>
      </c>
      <c r="BD212" s="180" t="n">
        <f aca="false">$E$23*MAX(0,BB212-AY212*$E$18)</f>
        <v>0</v>
      </c>
      <c r="BE212" s="180" t="n">
        <f aca="false">IF(AND($E$27=1,OR(MONTH($B212)=5,MONTH($B212)=11)),MAX(0,$E$28*MAX(0,(AY212+BB212-BC212-BD212+AZ212-BA212)+BH211-BG212)-BH211),0)</f>
        <v>0</v>
      </c>
      <c r="BF212" s="181" t="n">
        <f aca="false">AY212+BB212-BC212-BD212+AZ212-BA212-BE212</f>
        <v>541591.626203723</v>
      </c>
      <c r="BG212" s="180" t="n">
        <f aca="false">BG211+AZ212-BA212</f>
        <v>150000</v>
      </c>
      <c r="BH212" s="180" t="n">
        <f aca="false">BH211+BE212</f>
        <v>0</v>
      </c>
      <c r="BI212" s="180" t="n">
        <f aca="false">BF212+BH212-BG212</f>
        <v>391591.626203723</v>
      </c>
      <c r="BJ212" s="180" t="n">
        <f aca="false">MAX(0,IFERROR(INDEX(TAB_IR,MATCH($C212,TAB_IR_DIAS,1),MATCH($E$8,TAB_IR_REGIMES,0)),0)*IF($E$26=2,BF212,MAX(0,BI212))-BH212)</f>
        <v>39159.1626203723</v>
      </c>
      <c r="BK212" s="181" t="n">
        <f aca="false">MAX(0,BF212-BJ212-BF212*$E$25)</f>
        <v>502432.46358335</v>
      </c>
      <c r="BL212" s="180" t="n">
        <f aca="false">BK212/$D212</f>
        <v>306719.583963849</v>
      </c>
      <c r="BN212" s="180" t="n">
        <f aca="false">BU211</f>
        <v>537006.266443088</v>
      </c>
      <c r="BO212" s="180" t="n">
        <f aca="false">IF($F$9=0,0,IF($A212&gt;IN_PRAZO,0,IF(APORTE_CORRIGIDO="Sim",IN_APORTE*$D212,IN_APORTE))+IF(AND($F$35=1,PGBL_REINVESTE="Sim",$A212&gt;=13,$A212&lt;=IN_PRAZO,MONTH($B212)=5),PGBL_BENEFICIO,0))</f>
        <v>0</v>
      </c>
      <c r="BP212" s="180" t="n">
        <f aca="false">BO212*$F$24</f>
        <v>0</v>
      </c>
      <c r="BQ212" s="180" t="n">
        <f aca="false">BN212*$F$19</f>
        <v>5256.61759368885</v>
      </c>
      <c r="BR212" s="180" t="n">
        <f aca="false">BN212*$F$22</f>
        <v>671.25783305386</v>
      </c>
      <c r="BS212" s="180" t="n">
        <f aca="false">$F$23*MAX(0,BQ212-BN212*$F$18)</f>
        <v>0</v>
      </c>
      <c r="BT212" s="180" t="n">
        <f aca="false">IF(AND($F$27=1,OR(MONTH($B212)=5,MONTH($B212)=11)),MAX(0,$F$28*MAX(0,(BN212+BQ212-BR212-BS212+BO212-BP212)+BW211-BV212)-BW211),0)</f>
        <v>0</v>
      </c>
      <c r="BU212" s="181" t="n">
        <f aca="false">BN212+BQ212-BR212-BS212+BO212-BP212-BT212</f>
        <v>541591.626203723</v>
      </c>
      <c r="BV212" s="180" t="n">
        <f aca="false">BV211+BO212-BP212</f>
        <v>150000</v>
      </c>
      <c r="BW212" s="180" t="n">
        <f aca="false">BW211+BT212</f>
        <v>0</v>
      </c>
      <c r="BX212" s="180" t="n">
        <f aca="false">BU212+BW212-BV212</f>
        <v>391591.626203723</v>
      </c>
      <c r="BY212" s="180" t="n">
        <f aca="false">MAX(0,IFERROR(INDEX(TAB_IR,MATCH($C212,TAB_IR_DIAS,1),MATCH($F$8,TAB_IR_REGIMES,0)),0)*IF($F$26=2,BU212,MAX(0,BX212))-BW212)</f>
        <v>54159.1626203723</v>
      </c>
      <c r="BZ212" s="181" t="n">
        <f aca="false">MAX(0,BU212-BY212-BU212*$F$25)</f>
        <v>487432.46358335</v>
      </c>
      <c r="CA212" s="180" t="n">
        <f aca="false">BZ212/$D212</f>
        <v>297562.544773656</v>
      </c>
      <c r="CC212" s="180" t="n">
        <f aca="false">CJ211</f>
        <v>382697.890680309</v>
      </c>
      <c r="CD212" s="180" t="n">
        <f aca="false">IF($G$9=0,0,IF($A212&gt;IN_PRAZO,0,IF(APORTE_CORRIGIDO="Sim",IN_APORTE*$D212,IN_APORTE))+IF(AND($G$35=1,PGBL_REINVESTE="Sim",$A212&gt;=13,$A212&lt;=IN_PRAZO,MONTH($B212)=5),PGBL_BENEFICIO,0))</f>
        <v>0</v>
      </c>
      <c r="CE212" s="180" t="n">
        <f aca="false">CD212*$G$24</f>
        <v>0</v>
      </c>
      <c r="CF212" s="180" t="n">
        <f aca="false">CC212*$G$19</f>
        <v>3121.75297025412</v>
      </c>
      <c r="CG212" s="180" t="n">
        <f aca="false">CC212*$G$22</f>
        <v>318.914908900258</v>
      </c>
      <c r="CH212" s="180" t="n">
        <f aca="false">$G$23*MAX(0,CF212-CC212*$G$18)</f>
        <v>0</v>
      </c>
      <c r="CI212" s="180" t="n">
        <f aca="false">IF(AND($G$27=1,OR(MONTH($B212)=5,MONTH($B212)=11)),MAX(0,$G$28*MAX(0,(CC212+CF212-CG212-CH212+CD212-CE212)+CL211-CK212)-CL211),0)</f>
        <v>0</v>
      </c>
      <c r="CJ212" s="181" t="n">
        <f aca="false">CC212+CF212-CG212-CH212+CD212-CE212-CI212</f>
        <v>385500.728741663</v>
      </c>
      <c r="CK212" s="180" t="n">
        <f aca="false">CK211+CD212-CE212</f>
        <v>150000</v>
      </c>
      <c r="CL212" s="180" t="n">
        <f aca="false">CL211+CI212</f>
        <v>39601.9509742721</v>
      </c>
      <c r="CM212" s="180" t="n">
        <f aca="false">CJ212+CL212-CK212</f>
        <v>275102.679715935</v>
      </c>
      <c r="CN212" s="180" t="n">
        <f aca="false">MAX(0,IFERROR(INDEX(TAB_IR,MATCH($C212,TAB_IR_DIAS,1),MATCH($G$8,TAB_IR_REGIMES,0)),0)*IF($G$26=2,CJ212,MAX(0,CM212))-CL212)</f>
        <v>1663.45098311813</v>
      </c>
      <c r="CO212" s="181" t="n">
        <f aca="false">MAX(0,CJ212-CN212-CJ212*$G$25)</f>
        <v>383837.277758545</v>
      </c>
      <c r="CP212" s="180" t="n">
        <f aca="false">CO212/$D212</f>
        <v>234320.866339454</v>
      </c>
    </row>
    <row r="213" customFormat="false" ht="12" hidden="false" customHeight="true" outlineLevel="0" collapsed="false">
      <c r="A213" s="177" t="n">
        <v>152</v>
      </c>
      <c r="B213" s="178" t="n">
        <f aca="false">EDATE(DATA_INICIO,$A213)</f>
        <v>50883</v>
      </c>
      <c r="C213" s="177" t="n">
        <f aca="false">$A213*30</f>
        <v>4560</v>
      </c>
      <c r="D213" s="179" t="n">
        <f aca="false">(1+IPCA_CENARIO)^($A213/12)</f>
        <v>1.64344672815761</v>
      </c>
      <c r="F213" s="180" t="n">
        <f aca="false">M212</f>
        <v>608961.927490605</v>
      </c>
      <c r="G213" s="180" t="n">
        <f aca="false">IF($B$9=0,0,IF($A213&gt;IN_PRAZO,0,IF(APORTE_CORRIGIDO="Sim",IN_APORTE*$D213,IN_APORTE))+IF(AND($B$35=1,PGBL_REINVESTE="Sim",$A213&gt;=13,$A213&lt;=IN_PRAZO,MONTH($B213)=5),PGBL_BENEFICIO,0))</f>
        <v>0</v>
      </c>
      <c r="H213" s="180" t="n">
        <f aca="false">G213*$B$24</f>
        <v>0</v>
      </c>
      <c r="I213" s="180" t="n">
        <f aca="false">F213*$B$19</f>
        <v>5778.31363500292</v>
      </c>
      <c r="J213" s="180" t="n">
        <f aca="false">F213*$B$22</f>
        <v>101.493654581767</v>
      </c>
      <c r="K213" s="180" t="n">
        <f aca="false">$B$23*MAX(0,I213-F213*$B$18)</f>
        <v>0</v>
      </c>
      <c r="L213" s="180" t="n">
        <f aca="false">IF(AND($B$27=1,OR(MONTH($B213)=5,MONTH($B213)=11)),MAX(0,$B$28*MAX(0,(F213+I213-J213-K213+G213-H213)+O212-N213)-O212),0)</f>
        <v>0</v>
      </c>
      <c r="M213" s="181" t="n">
        <f aca="false">F213+I213-J213-K213+G213-H213-L213</f>
        <v>614638.747471026</v>
      </c>
      <c r="N213" s="180" t="n">
        <f aca="false">N212+G213-H213</f>
        <v>150000</v>
      </c>
      <c r="O213" s="180" t="n">
        <f aca="false">O212+L213</f>
        <v>0</v>
      </c>
      <c r="P213" s="180" t="n">
        <f aca="false">M213+O213-N213</f>
        <v>464638.747471026</v>
      </c>
      <c r="Q213" s="180" t="n">
        <f aca="false">MAX(0,IFERROR(INDEX(TAB_IR,MATCH($C213,TAB_IR_DIAS,1),MATCH($B$8,TAB_IR_REGIMES,0)),0)*IF($B$26=2,M213,MAX(0,P213))-O213)</f>
        <v>69695.8121206539</v>
      </c>
      <c r="R213" s="181" t="n">
        <f aca="false">MAX(0,M213-Q213-M213*$B$25)</f>
        <v>544942.935350372</v>
      </c>
      <c r="S213" s="180" t="n">
        <f aca="false">R213/$D213</f>
        <v>331585.396723677</v>
      </c>
      <c r="U213" s="180" t="n">
        <f aca="false">AB212</f>
        <v>498904.449764269</v>
      </c>
      <c r="V213" s="180" t="n">
        <f aca="false">IF($C$9=0,0,IF($A213&gt;IN_PRAZO,0,IF(APORTE_CORRIGIDO="Sim",IN_APORTE*$D213,IN_APORTE))+IF(AND($C$35=1,PGBL_REINVESTE="Sim",$A213&gt;=13,$A213&lt;=IN_PRAZO,MONTH($B213)=5),PGBL_BENEFICIO,0))</f>
        <v>0</v>
      </c>
      <c r="W213" s="180" t="n">
        <f aca="false">V213*$C$24</f>
        <v>0</v>
      </c>
      <c r="X213" s="180" t="n">
        <f aca="false">U213*$C$19</f>
        <v>4069.67607047942</v>
      </c>
      <c r="Y213" s="180" t="n">
        <f aca="false">U213*$C$22</f>
        <v>83.1507416273782</v>
      </c>
      <c r="Z213" s="180" t="n">
        <f aca="false">$C$23*MAX(0,X213-U213*$C$18)</f>
        <v>0</v>
      </c>
      <c r="AA213" s="180" t="n">
        <f aca="false">IF(AND($C$27=1,OR(MONTH($B213)=5,MONTH($B213)=11)),MAX(0,$C$28*MAX(0,(U213+X213-Y213-Z213+V213-W213)+AD212-AC213)-AD212),0)</f>
        <v>0</v>
      </c>
      <c r="AB213" s="181" t="n">
        <f aca="false">U213+X213-Y213-Z213+V213-W213-AA213</f>
        <v>502890.975093121</v>
      </c>
      <c r="AC213" s="180" t="n">
        <f aca="false">AC212+V213-W213</f>
        <v>150000</v>
      </c>
      <c r="AD213" s="180" t="n">
        <f aca="false">AD212+AA213</f>
        <v>0</v>
      </c>
      <c r="AE213" s="180" t="n">
        <f aca="false">AB213+AD213-AC213</f>
        <v>352890.975093121</v>
      </c>
      <c r="AF213" s="180" t="n">
        <f aca="false">MAX(0,IFERROR(INDEX(TAB_IR,MATCH($C213,TAB_IR_DIAS,1),MATCH($C$8,TAB_IR_REGIMES,0)),0)*IF($C$26=2,AB213,MAX(0,AE213))-AD213)</f>
        <v>52933.6462639682</v>
      </c>
      <c r="AG213" s="181" t="n">
        <f aca="false">MAX(0,AB213-AF213-AB213*$C$25)</f>
        <v>449957.328829153</v>
      </c>
      <c r="AH213" s="180" t="n">
        <f aca="false">AG213/$D213</f>
        <v>273788.812938024</v>
      </c>
      <c r="AJ213" s="180" t="n">
        <f aca="false">AQ212</f>
        <v>429076.228160393</v>
      </c>
      <c r="AK213" s="180" t="n">
        <f aca="false">IF($D$9=0,0,IF($A213&gt;IN_PRAZO,0,IF(APORTE_CORRIGIDO="Sim",IN_APORTE*$D213,IN_APORTE))+IF(AND($D$35=1,PGBL_REINVESTE="Sim",$A213&gt;=13,$A213&lt;=IN_PRAZO,MONTH($B213)=5),PGBL_BENEFICIO,0))</f>
        <v>0</v>
      </c>
      <c r="AL213" s="180" t="n">
        <f aca="false">AK213*$D$24</f>
        <v>0</v>
      </c>
      <c r="AM213" s="180" t="n">
        <f aca="false">AJ213*$D$19</f>
        <v>3856.83622609569</v>
      </c>
      <c r="AN213" s="180" t="n">
        <f aca="false">AJ213*$D$22</f>
        <v>357.563523466994</v>
      </c>
      <c r="AO213" s="180" t="n">
        <f aca="false">$D$23*MAX(0,AM213-AJ213*$D$18)</f>
        <v>0</v>
      </c>
      <c r="AP213" s="180" t="n">
        <f aca="false">IF(AND($D$27=1,OR(MONTH($B213)=5,MONTH($B213)=11)),MAX(0,$D$28*MAX(0,(AJ213+AM213-AN213-AO213+AK213-AL213)+AS212-AR213)-AS212),0)</f>
        <v>0</v>
      </c>
      <c r="AQ213" s="181" t="n">
        <f aca="false">AJ213+AM213-AN213-AO213+AK213-AL213-AP213</f>
        <v>432575.500863022</v>
      </c>
      <c r="AR213" s="180" t="n">
        <f aca="false">AR212+AK213-AL213</f>
        <v>150000</v>
      </c>
      <c r="AS213" s="180" t="n">
        <f aca="false">AS212+AP213</f>
        <v>46828.2223433029</v>
      </c>
      <c r="AT213" s="180" t="n">
        <f aca="false">AQ213+AS213-AR213</f>
        <v>329403.723206325</v>
      </c>
      <c r="AU213" s="180" t="n">
        <f aca="false">MAX(0,IFERROR(INDEX(TAB_IR,MATCH($C213,TAB_IR_DIAS,1),MATCH($D$8,TAB_IR_REGIMES,0)),0)*IF($D$26=2,AQ213,MAX(0,AT213))-AS213)</f>
        <v>2582.33613764581</v>
      </c>
      <c r="AV213" s="181" t="n">
        <f aca="false">MAX(0,AQ213-AU213-AQ213*$D$25)</f>
        <v>429993.164725376</v>
      </c>
      <c r="AW213" s="180" t="n">
        <f aca="false">AV213/$D213</f>
        <v>261641.072605633</v>
      </c>
      <c r="AY213" s="180" t="n">
        <f aca="false">BF212</f>
        <v>541591.626203723</v>
      </c>
      <c r="AZ213" s="180" t="n">
        <f aca="false">IF($E$9=0,0,IF($A213&gt;IN_PRAZO,0,IF(APORTE_CORRIGIDO="Sim",IN_APORTE*$D213,IN_APORTE))+IF(AND($E$35=1,PGBL_REINVESTE="Sim",$A213&gt;=13,$A213&lt;=IN_PRAZO,MONTH($B213)=5),PGBL_BENEFICIO,0))</f>
        <v>0</v>
      </c>
      <c r="BA213" s="180" t="n">
        <f aca="false">AZ213*$E$24</f>
        <v>0</v>
      </c>
      <c r="BB213" s="180" t="n">
        <f aca="false">AY213*$E$19</f>
        <v>5301.50251272489</v>
      </c>
      <c r="BC213" s="180" t="n">
        <f aca="false">AY213*$E$22</f>
        <v>676.989532754653</v>
      </c>
      <c r="BD213" s="180" t="n">
        <f aca="false">$E$23*MAX(0,BB213-AY213*$E$18)</f>
        <v>0</v>
      </c>
      <c r="BE213" s="180" t="n">
        <f aca="false">IF(AND($E$27=1,OR(MONTH($B213)=5,MONTH($B213)=11)),MAX(0,$E$28*MAX(0,(AY213+BB213-BC213-BD213+AZ213-BA213)+BH212-BG213)-BH212),0)</f>
        <v>0</v>
      </c>
      <c r="BF213" s="181" t="n">
        <f aca="false">AY213+BB213-BC213-BD213+AZ213-BA213-BE213</f>
        <v>546216.139183693</v>
      </c>
      <c r="BG213" s="180" t="n">
        <f aca="false">BG212+AZ213-BA213</f>
        <v>150000</v>
      </c>
      <c r="BH213" s="180" t="n">
        <f aca="false">BH212+BE213</f>
        <v>0</v>
      </c>
      <c r="BI213" s="180" t="n">
        <f aca="false">BF213+BH213-BG213</f>
        <v>396216.139183693</v>
      </c>
      <c r="BJ213" s="180" t="n">
        <f aca="false">MAX(0,IFERROR(INDEX(TAB_IR,MATCH($C213,TAB_IR_DIAS,1),MATCH($E$8,TAB_IR_REGIMES,0)),0)*IF($E$26=2,BF213,MAX(0,BI213))-BH213)</f>
        <v>39621.6139183693</v>
      </c>
      <c r="BK213" s="181" t="n">
        <f aca="false">MAX(0,BF213-BJ213-BF213*$E$25)</f>
        <v>506594.525265324</v>
      </c>
      <c r="BL213" s="180" t="n">
        <f aca="false">BK213/$D213</f>
        <v>308251.260345531</v>
      </c>
      <c r="BN213" s="180" t="n">
        <f aca="false">BU212</f>
        <v>541591.626203723</v>
      </c>
      <c r="BO213" s="180" t="n">
        <f aca="false">IF($F$9=0,0,IF($A213&gt;IN_PRAZO,0,IF(APORTE_CORRIGIDO="Sim",IN_APORTE*$D213,IN_APORTE))+IF(AND($F$35=1,PGBL_REINVESTE="Sim",$A213&gt;=13,$A213&lt;=IN_PRAZO,MONTH($B213)=5),PGBL_BENEFICIO,0))</f>
        <v>0</v>
      </c>
      <c r="BP213" s="180" t="n">
        <f aca="false">BO213*$F$24</f>
        <v>0</v>
      </c>
      <c r="BQ213" s="180" t="n">
        <f aca="false">BN213*$F$19</f>
        <v>5301.50251272489</v>
      </c>
      <c r="BR213" s="180" t="n">
        <f aca="false">BN213*$F$22</f>
        <v>676.989532754653</v>
      </c>
      <c r="BS213" s="180" t="n">
        <f aca="false">$F$23*MAX(0,BQ213-BN213*$F$18)</f>
        <v>0</v>
      </c>
      <c r="BT213" s="180" t="n">
        <f aca="false">IF(AND($F$27=1,OR(MONTH($B213)=5,MONTH($B213)=11)),MAX(0,$F$28*MAX(0,(BN213+BQ213-BR213-BS213+BO213-BP213)+BW212-BV213)-BW212),0)</f>
        <v>0</v>
      </c>
      <c r="BU213" s="181" t="n">
        <f aca="false">BN213+BQ213-BR213-BS213+BO213-BP213-BT213</f>
        <v>546216.139183693</v>
      </c>
      <c r="BV213" s="180" t="n">
        <f aca="false">BV212+BO213-BP213</f>
        <v>150000</v>
      </c>
      <c r="BW213" s="180" t="n">
        <f aca="false">BW212+BT213</f>
        <v>0</v>
      </c>
      <c r="BX213" s="180" t="n">
        <f aca="false">BU213+BW213-BV213</f>
        <v>396216.139183693</v>
      </c>
      <c r="BY213" s="180" t="n">
        <f aca="false">MAX(0,IFERROR(INDEX(TAB_IR,MATCH($C213,TAB_IR_DIAS,1),MATCH($F$8,TAB_IR_REGIMES,0)),0)*IF($F$26=2,BU213,MAX(0,BX213))-BW213)</f>
        <v>54621.6139183693</v>
      </c>
      <c r="BZ213" s="181" t="n">
        <f aca="false">MAX(0,BU213-BY213-BU213*$F$25)</f>
        <v>491594.525265324</v>
      </c>
      <c r="CA213" s="180" t="n">
        <f aca="false">BZ213/$D213</f>
        <v>299124.10109966</v>
      </c>
      <c r="CC213" s="180" t="n">
        <f aca="false">CJ212</f>
        <v>385500.728741663</v>
      </c>
      <c r="CD213" s="180" t="n">
        <f aca="false">IF($G$9=0,0,IF($A213&gt;IN_PRAZO,0,IF(APORTE_CORRIGIDO="Sim",IN_APORTE*$D213,IN_APORTE))+IF(AND($G$35=1,PGBL_REINVESTE="Sim",$A213&gt;=13,$A213&lt;=IN_PRAZO,MONTH($B213)=5),PGBL_BENEFICIO,0))</f>
        <v>0</v>
      </c>
      <c r="CE213" s="180" t="n">
        <f aca="false">CD213*$G$24</f>
        <v>0</v>
      </c>
      <c r="CF213" s="180" t="n">
        <f aca="false">CC213*$G$19</f>
        <v>3144.61635219651</v>
      </c>
      <c r="CG213" s="180" t="n">
        <f aca="false">CC213*$G$22</f>
        <v>321.250607284719</v>
      </c>
      <c r="CH213" s="180" t="n">
        <f aca="false">$G$23*MAX(0,CF213-CC213*$G$18)</f>
        <v>0</v>
      </c>
      <c r="CI213" s="180" t="n">
        <f aca="false">IF(AND($G$27=1,OR(MONTH($B213)=5,MONTH($B213)=11)),MAX(0,$G$28*MAX(0,(CC213+CF213-CG213-CH213+CD213-CE213)+CL212-CK213)-CL212),0)</f>
        <v>0</v>
      </c>
      <c r="CJ213" s="181" t="n">
        <f aca="false">CC213+CF213-CG213-CH213+CD213-CE213-CI213</f>
        <v>388324.094486575</v>
      </c>
      <c r="CK213" s="180" t="n">
        <f aca="false">CK212+CD213-CE213</f>
        <v>150000</v>
      </c>
      <c r="CL213" s="180" t="n">
        <f aca="false">CL212+CI213</f>
        <v>39601.9509742721</v>
      </c>
      <c r="CM213" s="180" t="n">
        <f aca="false">CJ213+CL213-CK213</f>
        <v>277926.045460847</v>
      </c>
      <c r="CN213" s="180" t="n">
        <f aca="false">MAX(0,IFERROR(INDEX(TAB_IR,MATCH($C213,TAB_IR_DIAS,1),MATCH($G$8,TAB_IR_REGIMES,0)),0)*IF($G$26=2,CJ213,MAX(0,CM213))-CL213)</f>
        <v>2086.95584485489</v>
      </c>
      <c r="CO213" s="181" t="n">
        <f aca="false">MAX(0,CJ213-CN213-CJ213*$G$25)</f>
        <v>386237.13864172</v>
      </c>
      <c r="CP213" s="180" t="n">
        <f aca="false">CO213/$D213</f>
        <v>235016.524736832</v>
      </c>
    </row>
    <row r="214" customFormat="false" ht="12" hidden="false" customHeight="true" outlineLevel="0" collapsed="false">
      <c r="A214" s="177" t="n">
        <v>153</v>
      </c>
      <c r="B214" s="178" t="n">
        <f aca="false">EDATE(DATA_INICIO,$A214)</f>
        <v>50913</v>
      </c>
      <c r="C214" s="177" t="n">
        <f aca="false">$A214*30</f>
        <v>4590</v>
      </c>
      <c r="D214" s="179" t="n">
        <f aca="false">(1+IPCA_CENARIO)^($A214/12)</f>
        <v>1.64882694509151</v>
      </c>
      <c r="F214" s="180" t="n">
        <f aca="false">M213</f>
        <v>614638.747471026</v>
      </c>
      <c r="G214" s="180" t="n">
        <f aca="false">IF($B$9=0,0,IF($A214&gt;IN_PRAZO,0,IF(APORTE_CORRIGIDO="Sim",IN_APORTE*$D214,IN_APORTE))+IF(AND($B$35=1,PGBL_REINVESTE="Sim",$A214&gt;=13,$A214&lt;=IN_PRAZO,MONTH($B214)=5),PGBL_BENEFICIO,0))</f>
        <v>0</v>
      </c>
      <c r="H214" s="180" t="n">
        <f aca="false">G214*$B$24</f>
        <v>0</v>
      </c>
      <c r="I214" s="180" t="n">
        <f aca="false">F214*$B$19</f>
        <v>5832.17980432404</v>
      </c>
      <c r="J214" s="180" t="n">
        <f aca="false">F214*$B$22</f>
        <v>102.439791245171</v>
      </c>
      <c r="K214" s="180" t="n">
        <f aca="false">$B$23*MAX(0,I214-F214*$B$18)</f>
        <v>0</v>
      </c>
      <c r="L214" s="180" t="n">
        <f aca="false">IF(AND($B$27=1,OR(MONTH($B214)=5,MONTH($B214)=11)),MAX(0,$B$28*MAX(0,(F214+I214-J214-K214+G214-H214)+O213-N214)-O213),0)</f>
        <v>0</v>
      </c>
      <c r="M214" s="181" t="n">
        <f aca="false">F214+I214-J214-K214+G214-H214-L214</f>
        <v>620368.487484105</v>
      </c>
      <c r="N214" s="180" t="n">
        <f aca="false">N213+G214-H214</f>
        <v>150000</v>
      </c>
      <c r="O214" s="180" t="n">
        <f aca="false">O213+L214</f>
        <v>0</v>
      </c>
      <c r="P214" s="180" t="n">
        <f aca="false">M214+O214-N214</f>
        <v>470368.487484105</v>
      </c>
      <c r="Q214" s="180" t="n">
        <f aca="false">MAX(0,IFERROR(INDEX(TAB_IR,MATCH($C214,TAB_IR_DIAS,1),MATCH($B$8,TAB_IR_REGIMES,0)),0)*IF($B$26=2,M214,MAX(0,P214))-O214)</f>
        <v>70555.2731226157</v>
      </c>
      <c r="R214" s="181" t="n">
        <f aca="false">MAX(0,M214-Q214-M214*$B$25)</f>
        <v>549813.214361489</v>
      </c>
      <c r="S214" s="180" t="n">
        <f aca="false">R214/$D214</f>
        <v>333457.198766833</v>
      </c>
      <c r="U214" s="180" t="n">
        <f aca="false">AB213</f>
        <v>502890.975093121</v>
      </c>
      <c r="V214" s="180" t="n">
        <f aca="false">IF($C$9=0,0,IF($A214&gt;IN_PRAZO,0,IF(APORTE_CORRIGIDO="Sim",IN_APORTE*$D214,IN_APORTE))+IF(AND($C$35=1,PGBL_REINVESTE="Sim",$A214&gt;=13,$A214&lt;=IN_PRAZO,MONTH($B214)=5),PGBL_BENEFICIO,0))</f>
        <v>0</v>
      </c>
      <c r="W214" s="180" t="n">
        <f aca="false">V214*$C$24</f>
        <v>0</v>
      </c>
      <c r="X214" s="180" t="n">
        <f aca="false">U214*$C$19</f>
        <v>4102.19505631499</v>
      </c>
      <c r="Y214" s="180" t="n">
        <f aca="false">U214*$C$22</f>
        <v>83.8151625155202</v>
      </c>
      <c r="Z214" s="180" t="n">
        <f aca="false">$C$23*MAX(0,X214-U214*$C$18)</f>
        <v>0</v>
      </c>
      <c r="AA214" s="180" t="n">
        <f aca="false">IF(AND($C$27=1,OR(MONTH($B214)=5,MONTH($B214)=11)),MAX(0,$C$28*MAX(0,(U214+X214-Y214-Z214+V214-W214)+AD213-AC214)-AD213),0)</f>
        <v>0</v>
      </c>
      <c r="AB214" s="181" t="n">
        <f aca="false">U214+X214-Y214-Z214+V214-W214-AA214</f>
        <v>506909.354986921</v>
      </c>
      <c r="AC214" s="180" t="n">
        <f aca="false">AC213+V214-W214</f>
        <v>150000</v>
      </c>
      <c r="AD214" s="180" t="n">
        <f aca="false">AD213+AA214</f>
        <v>0</v>
      </c>
      <c r="AE214" s="180" t="n">
        <f aca="false">AB214+AD214-AC214</f>
        <v>356909.354986921</v>
      </c>
      <c r="AF214" s="180" t="n">
        <f aca="false">MAX(0,IFERROR(INDEX(TAB_IR,MATCH($C214,TAB_IR_DIAS,1),MATCH($C$8,TAB_IR_REGIMES,0)),0)*IF($C$26=2,AB214,MAX(0,AE214))-AD214)</f>
        <v>53536.4032480381</v>
      </c>
      <c r="AG214" s="181" t="n">
        <f aca="false">MAX(0,AB214-AF214-AB214*$C$25)</f>
        <v>453372.951738883</v>
      </c>
      <c r="AH214" s="180" t="n">
        <f aca="false">AG214/$D214</f>
        <v>274966.97157246</v>
      </c>
      <c r="AJ214" s="180" t="n">
        <f aca="false">AQ213</f>
        <v>432575.500863022</v>
      </c>
      <c r="AK214" s="180" t="n">
        <f aca="false">IF($D$9=0,0,IF($A214&gt;IN_PRAZO,0,IF(APORTE_CORRIGIDO="Sim",IN_APORTE*$D214,IN_APORTE))+IF(AND($D$35=1,PGBL_REINVESTE="Sim",$A214&gt;=13,$A214&lt;=IN_PRAZO,MONTH($B214)=5),PGBL_BENEFICIO,0))</f>
        <v>0</v>
      </c>
      <c r="AL214" s="180" t="n">
        <f aca="false">AK214*$D$24</f>
        <v>0</v>
      </c>
      <c r="AM214" s="180" t="n">
        <f aca="false">AJ214*$D$19</f>
        <v>3888.29012831336</v>
      </c>
      <c r="AN214" s="180" t="n">
        <f aca="false">AJ214*$D$22</f>
        <v>360.479584052518</v>
      </c>
      <c r="AO214" s="180" t="n">
        <f aca="false">$D$23*MAX(0,AM214-AJ214*$D$18)</f>
        <v>0</v>
      </c>
      <c r="AP214" s="180" t="n">
        <f aca="false">IF(AND($D$27=1,OR(MONTH($B214)=5,MONTH($B214)=11)),MAX(0,$D$28*MAX(0,(AJ214+AM214-AN214-AO214+AK214-AL214)+AS213-AR214)-AS213),0)</f>
        <v>3111.50771928494</v>
      </c>
      <c r="AQ214" s="181" t="n">
        <f aca="false">AJ214+AM214-AN214-AO214+AK214-AL214-AP214</f>
        <v>432991.803687998</v>
      </c>
      <c r="AR214" s="180" t="n">
        <f aca="false">AR213+AK214-AL214</f>
        <v>150000</v>
      </c>
      <c r="AS214" s="180" t="n">
        <f aca="false">AS213+AP214</f>
        <v>49939.7300625878</v>
      </c>
      <c r="AT214" s="180" t="n">
        <f aca="false">AQ214+AS214-AR214</f>
        <v>332931.533750585</v>
      </c>
      <c r="AU214" s="180" t="n">
        <f aca="false">MAX(0,IFERROR(INDEX(TAB_IR,MATCH($C214,TAB_IR_DIAS,1),MATCH($D$8,TAB_IR_REGIMES,0)),0)*IF($D$26=2,AQ214,MAX(0,AT214))-AS214)</f>
        <v>0</v>
      </c>
      <c r="AV214" s="181" t="n">
        <f aca="false">MAX(0,AQ214-AU214-AQ214*$D$25)</f>
        <v>432991.803687998</v>
      </c>
      <c r="AW214" s="180" t="n">
        <f aca="false">AV214/$D214</f>
        <v>262605.972674693</v>
      </c>
      <c r="AY214" s="180" t="n">
        <f aca="false">BF213</f>
        <v>546216.139183693</v>
      </c>
      <c r="AZ214" s="180" t="n">
        <f aca="false">IF($E$9=0,0,IF($A214&gt;IN_PRAZO,0,IF(APORTE_CORRIGIDO="Sim",IN_APORTE*$D214,IN_APORTE))+IF(AND($E$35=1,PGBL_REINVESTE="Sim",$A214&gt;=13,$A214&lt;=IN_PRAZO,MONTH($B214)=5),PGBL_BENEFICIO,0))</f>
        <v>0</v>
      </c>
      <c r="BA214" s="180" t="n">
        <f aca="false">AZ214*$E$24</f>
        <v>0</v>
      </c>
      <c r="BB214" s="180" t="n">
        <f aca="false">AY214*$E$19</f>
        <v>5346.77069265465</v>
      </c>
      <c r="BC214" s="180" t="n">
        <f aca="false">AY214*$E$22</f>
        <v>682.770173979616</v>
      </c>
      <c r="BD214" s="180" t="n">
        <f aca="false">$E$23*MAX(0,BB214-AY214*$E$18)</f>
        <v>0</v>
      </c>
      <c r="BE214" s="180" t="n">
        <f aca="false">IF(AND($E$27=1,OR(MONTH($B214)=5,MONTH($B214)=11)),MAX(0,$E$28*MAX(0,(AY214+BB214-BC214-BD214+AZ214-BA214)+BH213-BG214)-BH213),0)</f>
        <v>0</v>
      </c>
      <c r="BF214" s="181" t="n">
        <f aca="false">AY214+BB214-BC214-BD214+AZ214-BA214-BE214</f>
        <v>550880.139702368</v>
      </c>
      <c r="BG214" s="180" t="n">
        <f aca="false">BG213+AZ214-BA214</f>
        <v>150000</v>
      </c>
      <c r="BH214" s="180" t="n">
        <f aca="false">BH213+BE214</f>
        <v>0</v>
      </c>
      <c r="BI214" s="180" t="n">
        <f aca="false">BF214+BH214-BG214</f>
        <v>400880.139702368</v>
      </c>
      <c r="BJ214" s="180" t="n">
        <f aca="false">MAX(0,IFERROR(INDEX(TAB_IR,MATCH($C214,TAB_IR_DIAS,1),MATCH($E$8,TAB_IR_REGIMES,0)),0)*IF($E$26=2,BF214,MAX(0,BI214))-BH214)</f>
        <v>40088.0139702368</v>
      </c>
      <c r="BK214" s="181" t="n">
        <f aca="false">MAX(0,BF214-BJ214-BF214*$E$25)</f>
        <v>510792.125732131</v>
      </c>
      <c r="BL214" s="180" t="n">
        <f aca="false">BK214/$D214</f>
        <v>309791.229002376</v>
      </c>
      <c r="BN214" s="180" t="n">
        <f aca="false">BU213</f>
        <v>546216.139183693</v>
      </c>
      <c r="BO214" s="180" t="n">
        <f aca="false">IF($F$9=0,0,IF($A214&gt;IN_PRAZO,0,IF(APORTE_CORRIGIDO="Sim",IN_APORTE*$D214,IN_APORTE))+IF(AND($F$35=1,PGBL_REINVESTE="Sim",$A214&gt;=13,$A214&lt;=IN_PRAZO,MONTH($B214)=5),PGBL_BENEFICIO,0))</f>
        <v>0</v>
      </c>
      <c r="BP214" s="180" t="n">
        <f aca="false">BO214*$F$24</f>
        <v>0</v>
      </c>
      <c r="BQ214" s="180" t="n">
        <f aca="false">BN214*$F$19</f>
        <v>5346.77069265465</v>
      </c>
      <c r="BR214" s="180" t="n">
        <f aca="false">BN214*$F$22</f>
        <v>682.770173979616</v>
      </c>
      <c r="BS214" s="180" t="n">
        <f aca="false">$F$23*MAX(0,BQ214-BN214*$F$18)</f>
        <v>0</v>
      </c>
      <c r="BT214" s="180" t="n">
        <f aca="false">IF(AND($F$27=1,OR(MONTH($B214)=5,MONTH($B214)=11)),MAX(0,$F$28*MAX(0,(BN214+BQ214-BR214-BS214+BO214-BP214)+BW213-BV214)-BW213),0)</f>
        <v>0</v>
      </c>
      <c r="BU214" s="181" t="n">
        <f aca="false">BN214+BQ214-BR214-BS214+BO214-BP214-BT214</f>
        <v>550880.139702368</v>
      </c>
      <c r="BV214" s="180" t="n">
        <f aca="false">BV213+BO214-BP214</f>
        <v>150000</v>
      </c>
      <c r="BW214" s="180" t="n">
        <f aca="false">BW213+BT214</f>
        <v>0</v>
      </c>
      <c r="BX214" s="180" t="n">
        <f aca="false">BU214+BW214-BV214</f>
        <v>400880.139702368</v>
      </c>
      <c r="BY214" s="180" t="n">
        <f aca="false">MAX(0,IFERROR(INDEX(TAB_IR,MATCH($C214,TAB_IR_DIAS,1),MATCH($F$8,TAB_IR_REGIMES,0)),0)*IF($F$26=2,BU214,MAX(0,BX214))-BW214)</f>
        <v>55088.0139702368</v>
      </c>
      <c r="BZ214" s="181" t="n">
        <f aca="false">MAX(0,BU214-BY214-BU214*$F$25)</f>
        <v>495792.125732131</v>
      </c>
      <c r="CA214" s="180" t="n">
        <f aca="false">BZ214/$D214</f>
        <v>300693.852200854</v>
      </c>
      <c r="CC214" s="180" t="n">
        <f aca="false">CJ213</f>
        <v>388324.094486575</v>
      </c>
      <c r="CD214" s="180" t="n">
        <f aca="false">IF($G$9=0,0,IF($A214&gt;IN_PRAZO,0,IF(APORTE_CORRIGIDO="Sim",IN_APORTE*$D214,IN_APORTE))+IF(AND($G$35=1,PGBL_REINVESTE="Sim",$A214&gt;=13,$A214&lt;=IN_PRAZO,MONTH($B214)=5),PGBL_BENEFICIO,0))</f>
        <v>0</v>
      </c>
      <c r="CE214" s="180" t="n">
        <f aca="false">CD214*$G$24</f>
        <v>0</v>
      </c>
      <c r="CF214" s="180" t="n">
        <f aca="false">CC214*$G$19</f>
        <v>3167.64718308148</v>
      </c>
      <c r="CG214" s="180" t="n">
        <f aca="false">CC214*$G$22</f>
        <v>323.603412072146</v>
      </c>
      <c r="CH214" s="180" t="n">
        <f aca="false">$G$23*MAX(0,CF214-CC214*$G$18)</f>
        <v>0</v>
      </c>
      <c r="CI214" s="180" t="n">
        <f aca="false">IF(AND($G$27=1,OR(MONTH($B214)=5,MONTH($B214)=11)),MAX(0,$G$28*MAX(0,(CC214+CF214-CG214-CH214+CD214-CE214)+CL213-CK214)-CL213),0)</f>
        <v>2513.56241050628</v>
      </c>
      <c r="CJ214" s="181" t="n">
        <f aca="false">CC214+CF214-CG214-CH214+CD214-CE214-CI214</f>
        <v>388654.575847078</v>
      </c>
      <c r="CK214" s="180" t="n">
        <f aca="false">CK213+CD214-CE214</f>
        <v>150000</v>
      </c>
      <c r="CL214" s="180" t="n">
        <f aca="false">CL213+CI214</f>
        <v>42115.5133847784</v>
      </c>
      <c r="CM214" s="180" t="n">
        <f aca="false">CJ214+CL214-CK214</f>
        <v>280770.089231856</v>
      </c>
      <c r="CN214" s="180" t="n">
        <f aca="false">MAX(0,IFERROR(INDEX(TAB_IR,MATCH($C214,TAB_IR_DIAS,1),MATCH($G$8,TAB_IR_REGIMES,0)),0)*IF($G$26=2,CJ214,MAX(0,CM214))-CL214)</f>
        <v>0</v>
      </c>
      <c r="CO214" s="181" t="n">
        <f aca="false">MAX(0,CJ214-CN214-CJ214*$G$25)</f>
        <v>388654.575847078</v>
      </c>
      <c r="CP214" s="180" t="n">
        <f aca="false">CO214/$D214</f>
        <v>235715.808141107</v>
      </c>
    </row>
    <row r="215" customFormat="false" ht="12" hidden="false" customHeight="true" outlineLevel="0" collapsed="false">
      <c r="A215" s="177" t="n">
        <v>154</v>
      </c>
      <c r="B215" s="178" t="n">
        <f aca="false">EDATE(DATA_INICIO,$A215)</f>
        <v>50944</v>
      </c>
      <c r="C215" s="177" t="n">
        <f aca="false">$A215*30</f>
        <v>4620</v>
      </c>
      <c r="D215" s="179" t="n">
        <f aca="false">(1+IPCA_CENARIO)^($A215/12)</f>
        <v>1.65422477545562</v>
      </c>
      <c r="F215" s="180" t="n">
        <f aca="false">M214</f>
        <v>620368.487484105</v>
      </c>
      <c r="G215" s="180" t="n">
        <f aca="false">IF($B$9=0,0,IF($A215&gt;IN_PRAZO,0,IF(APORTE_CORRIGIDO="Sim",IN_APORTE*$D215,IN_APORTE))+IF(AND($B$35=1,PGBL_REINVESTE="Sim",$A215&gt;=13,$A215&lt;=IN_PRAZO,MONTH($B215)=5),PGBL_BENEFICIO,0))</f>
        <v>0</v>
      </c>
      <c r="H215" s="180" t="n">
        <f aca="false">G215*$B$24</f>
        <v>0</v>
      </c>
      <c r="I215" s="180" t="n">
        <f aca="false">F215*$B$19</f>
        <v>5886.54812087714</v>
      </c>
      <c r="J215" s="180" t="n">
        <f aca="false">F215*$B$22</f>
        <v>103.394747914017</v>
      </c>
      <c r="K215" s="180" t="n">
        <f aca="false">$B$23*MAX(0,I215-F215*$B$18)</f>
        <v>0</v>
      </c>
      <c r="L215" s="180" t="n">
        <f aca="false">IF(AND($B$27=1,OR(MONTH($B215)=5,MONTH($B215)=11)),MAX(0,$B$28*MAX(0,(F215+I215-J215-K215+G215-H215)+O214-N215)-O214),0)</f>
        <v>0</v>
      </c>
      <c r="M215" s="181" t="n">
        <f aca="false">F215+I215-J215-K215+G215-H215-L215</f>
        <v>626151.640857068</v>
      </c>
      <c r="N215" s="180" t="n">
        <f aca="false">N214+G215-H215</f>
        <v>150000</v>
      </c>
      <c r="O215" s="180" t="n">
        <f aca="false">O214+L215</f>
        <v>0</v>
      </c>
      <c r="P215" s="180" t="n">
        <f aca="false">M215+O215-N215</f>
        <v>476151.640857068</v>
      </c>
      <c r="Q215" s="180" t="n">
        <f aca="false">MAX(0,IFERROR(INDEX(TAB_IR,MATCH($C215,TAB_IR_DIAS,1),MATCH($B$8,TAB_IR_REGIMES,0)),0)*IF($B$26=2,M215,MAX(0,P215))-O215)</f>
        <v>71422.7461285602</v>
      </c>
      <c r="R215" s="181" t="n">
        <f aca="false">MAX(0,M215-Q215-M215*$B$25)</f>
        <v>554728.894728508</v>
      </c>
      <c r="S215" s="180" t="n">
        <f aca="false">R215/$D215</f>
        <v>335340.700344499</v>
      </c>
      <c r="U215" s="180" t="n">
        <f aca="false">AB214</f>
        <v>506909.354986921</v>
      </c>
      <c r="V215" s="180" t="n">
        <f aca="false">IF($C$9=0,0,IF($A215&gt;IN_PRAZO,0,IF(APORTE_CORRIGIDO="Sim",IN_APORTE*$D215,IN_APORTE))+IF(AND($C$35=1,PGBL_REINVESTE="Sim",$A215&gt;=13,$A215&lt;=IN_PRAZO,MONTH($B215)=5),PGBL_BENEFICIO,0))</f>
        <v>0</v>
      </c>
      <c r="W215" s="180" t="n">
        <f aca="false">V215*$C$24</f>
        <v>0</v>
      </c>
      <c r="X215" s="180" t="n">
        <f aca="false">U215*$C$19</f>
        <v>4134.97388701818</v>
      </c>
      <c r="Y215" s="180" t="n">
        <f aca="false">U215*$C$22</f>
        <v>84.4848924978201</v>
      </c>
      <c r="Z215" s="180" t="n">
        <f aca="false">$C$23*MAX(0,X215-U215*$C$18)</f>
        <v>0</v>
      </c>
      <c r="AA215" s="180" t="n">
        <f aca="false">IF(AND($C$27=1,OR(MONTH($B215)=5,MONTH($B215)=11)),MAX(0,$C$28*MAX(0,(U215+X215-Y215-Z215+V215-W215)+AD214-AC215)-AD214),0)</f>
        <v>0</v>
      </c>
      <c r="AB215" s="181" t="n">
        <f aca="false">U215+X215-Y215-Z215+V215-W215-AA215</f>
        <v>510959.843981441</v>
      </c>
      <c r="AC215" s="180" t="n">
        <f aca="false">AC214+V215-W215</f>
        <v>150000</v>
      </c>
      <c r="AD215" s="180" t="n">
        <f aca="false">AD214+AA215</f>
        <v>0</v>
      </c>
      <c r="AE215" s="180" t="n">
        <f aca="false">AB215+AD215-AC215</f>
        <v>360959.843981441</v>
      </c>
      <c r="AF215" s="180" t="n">
        <f aca="false">MAX(0,IFERROR(INDEX(TAB_IR,MATCH($C215,TAB_IR_DIAS,1),MATCH($C$8,TAB_IR_REGIMES,0)),0)*IF($C$26=2,AB215,MAX(0,AE215))-AD215)</f>
        <v>54143.9765972161</v>
      </c>
      <c r="AG215" s="181" t="n">
        <f aca="false">MAX(0,AB215-AF215-AB215*$C$25)</f>
        <v>456815.867384225</v>
      </c>
      <c r="AH215" s="180" t="n">
        <f aca="false">AG215/$D215</f>
        <v>276151.025037336</v>
      </c>
      <c r="AJ215" s="180" t="n">
        <f aca="false">AQ214</f>
        <v>432991.803687998</v>
      </c>
      <c r="AK215" s="180" t="n">
        <f aca="false">IF($D$9=0,0,IF($A215&gt;IN_PRAZO,0,IF(APORTE_CORRIGIDO="Sim",IN_APORTE*$D215,IN_APORTE))+IF(AND($D$35=1,PGBL_REINVESTE="Sim",$A215&gt;=13,$A215&lt;=IN_PRAZO,MONTH($B215)=5),PGBL_BENEFICIO,0))</f>
        <v>0</v>
      </c>
      <c r="AL215" s="180" t="n">
        <f aca="false">AK215*$D$24</f>
        <v>0</v>
      </c>
      <c r="AM215" s="180" t="n">
        <f aca="false">AJ215*$D$19</f>
        <v>3892.03214828794</v>
      </c>
      <c r="AN215" s="180" t="n">
        <f aca="false">AJ215*$D$22</f>
        <v>360.826503073331</v>
      </c>
      <c r="AO215" s="180" t="n">
        <f aca="false">$D$23*MAX(0,AM215-AJ215*$D$18)</f>
        <v>0</v>
      </c>
      <c r="AP215" s="180" t="n">
        <f aca="false">IF(AND($D$27=1,OR(MONTH($B215)=5,MONTH($B215)=11)),MAX(0,$D$28*MAX(0,(AJ215+AM215-AN215-AO215+AK215-AL215)+AS214-AR215)-AS214),0)</f>
        <v>0</v>
      </c>
      <c r="AQ215" s="181" t="n">
        <f aca="false">AJ215+AM215-AN215-AO215+AK215-AL215-AP215</f>
        <v>436523.009333212</v>
      </c>
      <c r="AR215" s="180" t="n">
        <f aca="false">AR214+AK215-AL215</f>
        <v>150000</v>
      </c>
      <c r="AS215" s="180" t="n">
        <f aca="false">AS214+AP215</f>
        <v>49939.7300625878</v>
      </c>
      <c r="AT215" s="180" t="n">
        <f aca="false">AQ215+AS215-AR215</f>
        <v>336462.7393958</v>
      </c>
      <c r="AU215" s="180" t="n">
        <f aca="false">MAX(0,IFERROR(INDEX(TAB_IR,MATCH($C215,TAB_IR_DIAS,1),MATCH($D$8,TAB_IR_REGIMES,0)),0)*IF($D$26=2,AQ215,MAX(0,AT215))-AS215)</f>
        <v>529.680846782198</v>
      </c>
      <c r="AV215" s="181" t="n">
        <f aca="false">MAX(0,AQ215-AU215-AQ215*$D$25)</f>
        <v>435993.32848643</v>
      </c>
      <c r="AW215" s="180" t="n">
        <f aca="false">AV215/$D215</f>
        <v>263563.53438507</v>
      </c>
      <c r="AY215" s="180" t="n">
        <f aca="false">BF214</f>
        <v>550880.139702368</v>
      </c>
      <c r="AZ215" s="180" t="n">
        <f aca="false">IF($E$9=0,0,IF($A215&gt;IN_PRAZO,0,IF(APORTE_CORRIGIDO="Sim",IN_APORTE*$D215,IN_APORTE))+IF(AND($E$35=1,PGBL_REINVESTE="Sim",$A215&gt;=13,$A215&lt;=IN_PRAZO,MONTH($B215)=5),PGBL_BENEFICIO,0))</f>
        <v>0</v>
      </c>
      <c r="BA215" s="180" t="n">
        <f aca="false">AZ215*$E$24</f>
        <v>0</v>
      </c>
      <c r="BB215" s="180" t="n">
        <f aca="false">AY215*$E$19</f>
        <v>5392.4254060453</v>
      </c>
      <c r="BC215" s="180" t="n">
        <f aca="false">AY215*$E$22</f>
        <v>688.60017462796</v>
      </c>
      <c r="BD215" s="180" t="n">
        <f aca="false">$E$23*MAX(0,BB215-AY215*$E$18)</f>
        <v>0</v>
      </c>
      <c r="BE215" s="180" t="n">
        <f aca="false">IF(AND($E$27=1,OR(MONTH($B215)=5,MONTH($B215)=11)),MAX(0,$E$28*MAX(0,(AY215+BB215-BC215-BD215+AZ215-BA215)+BH214-BG215)-BH214),0)</f>
        <v>0</v>
      </c>
      <c r="BF215" s="181" t="n">
        <f aca="false">AY215+BB215-BC215-BD215+AZ215-BA215-BE215</f>
        <v>555583.964933785</v>
      </c>
      <c r="BG215" s="180" t="n">
        <f aca="false">BG214+AZ215-BA215</f>
        <v>150000</v>
      </c>
      <c r="BH215" s="180" t="n">
        <f aca="false">BH214+BE215</f>
        <v>0</v>
      </c>
      <c r="BI215" s="180" t="n">
        <f aca="false">BF215+BH215-BG215</f>
        <v>405583.964933785</v>
      </c>
      <c r="BJ215" s="180" t="n">
        <f aca="false">MAX(0,IFERROR(INDEX(TAB_IR,MATCH($C215,TAB_IR_DIAS,1),MATCH($E$8,TAB_IR_REGIMES,0)),0)*IF($E$26=2,BF215,MAX(0,BI215))-BH215)</f>
        <v>40558.3964933785</v>
      </c>
      <c r="BK215" s="181" t="n">
        <f aca="false">MAX(0,BF215-BJ215-BF215*$E$25)</f>
        <v>515025.568440407</v>
      </c>
      <c r="BL215" s="180" t="n">
        <f aca="false">BK215/$D215</f>
        <v>311339.532620986</v>
      </c>
      <c r="BN215" s="180" t="n">
        <f aca="false">BU214</f>
        <v>550880.139702368</v>
      </c>
      <c r="BO215" s="180" t="n">
        <f aca="false">IF($F$9=0,0,IF($A215&gt;IN_PRAZO,0,IF(APORTE_CORRIGIDO="Sim",IN_APORTE*$D215,IN_APORTE))+IF(AND($F$35=1,PGBL_REINVESTE="Sim",$A215&gt;=13,$A215&lt;=IN_PRAZO,MONTH($B215)=5),PGBL_BENEFICIO,0))</f>
        <v>0</v>
      </c>
      <c r="BP215" s="180" t="n">
        <f aca="false">BO215*$F$24</f>
        <v>0</v>
      </c>
      <c r="BQ215" s="180" t="n">
        <f aca="false">BN215*$F$19</f>
        <v>5392.4254060453</v>
      </c>
      <c r="BR215" s="180" t="n">
        <f aca="false">BN215*$F$22</f>
        <v>688.60017462796</v>
      </c>
      <c r="BS215" s="180" t="n">
        <f aca="false">$F$23*MAX(0,BQ215-BN215*$F$18)</f>
        <v>0</v>
      </c>
      <c r="BT215" s="180" t="n">
        <f aca="false">IF(AND($F$27=1,OR(MONTH($B215)=5,MONTH($B215)=11)),MAX(0,$F$28*MAX(0,(BN215+BQ215-BR215-BS215+BO215-BP215)+BW214-BV215)-BW214),0)</f>
        <v>0</v>
      </c>
      <c r="BU215" s="181" t="n">
        <f aca="false">BN215+BQ215-BR215-BS215+BO215-BP215-BT215</f>
        <v>555583.964933785</v>
      </c>
      <c r="BV215" s="180" t="n">
        <f aca="false">BV214+BO215-BP215</f>
        <v>150000</v>
      </c>
      <c r="BW215" s="180" t="n">
        <f aca="false">BW214+BT215</f>
        <v>0</v>
      </c>
      <c r="BX215" s="180" t="n">
        <f aca="false">BU215+BW215-BV215</f>
        <v>405583.964933785</v>
      </c>
      <c r="BY215" s="180" t="n">
        <f aca="false">MAX(0,IFERROR(INDEX(TAB_IR,MATCH($C215,TAB_IR_DIAS,1),MATCH($F$8,TAB_IR_REGIMES,0)),0)*IF($F$26=2,BU215,MAX(0,BX215))-BW215)</f>
        <v>55558.3964933785</v>
      </c>
      <c r="BZ215" s="181" t="n">
        <f aca="false">MAX(0,BU215-BY215-BU215*$F$25)</f>
        <v>500025.568440407</v>
      </c>
      <c r="CA215" s="180" t="n">
        <f aca="false">BZ215/$D215</f>
        <v>302271.841081988</v>
      </c>
      <c r="CC215" s="180" t="n">
        <f aca="false">CJ214</f>
        <v>388654.575847078</v>
      </c>
      <c r="CD215" s="180" t="n">
        <f aca="false">IF($G$9=0,0,IF($A215&gt;IN_PRAZO,0,IF(APORTE_CORRIGIDO="Sim",IN_APORTE*$D215,IN_APORTE))+IF(AND($G$35=1,PGBL_REINVESTE="Sim",$A215&gt;=13,$A215&lt;=IN_PRAZO,MONTH($B215)=5),PGBL_BENEFICIO,0))</f>
        <v>0</v>
      </c>
      <c r="CE215" s="180" t="n">
        <f aca="false">CD215*$G$24</f>
        <v>0</v>
      </c>
      <c r="CF215" s="180" t="n">
        <f aca="false">CC215*$G$19</f>
        <v>3170.3429940433</v>
      </c>
      <c r="CG215" s="180" t="n">
        <f aca="false">CC215*$G$22</f>
        <v>323.878813205898</v>
      </c>
      <c r="CH215" s="180" t="n">
        <f aca="false">$G$23*MAX(0,CF215-CC215*$G$18)</f>
        <v>0</v>
      </c>
      <c r="CI215" s="180" t="n">
        <f aca="false">IF(AND($G$27=1,OR(MONTH($B215)=5,MONTH($B215)=11)),MAX(0,$G$28*MAX(0,(CC215+CF215-CG215-CH215+CD215-CE215)+CL214-CK215)-CL214),0)</f>
        <v>0</v>
      </c>
      <c r="CJ215" s="181" t="n">
        <f aca="false">CC215+CF215-CG215-CH215+CD215-CE215-CI215</f>
        <v>391501.040027915</v>
      </c>
      <c r="CK215" s="180" t="n">
        <f aca="false">CK214+CD215-CE215</f>
        <v>150000</v>
      </c>
      <c r="CL215" s="180" t="n">
        <f aca="false">CL214+CI215</f>
        <v>42115.5133847784</v>
      </c>
      <c r="CM215" s="180" t="n">
        <f aca="false">CJ215+CL215-CK215</f>
        <v>283616.553412693</v>
      </c>
      <c r="CN215" s="180" t="n">
        <f aca="false">MAX(0,IFERROR(INDEX(TAB_IR,MATCH($C215,TAB_IR_DIAS,1),MATCH($G$8,TAB_IR_REGIMES,0)),0)*IF($G$26=2,CJ215,MAX(0,CM215))-CL215)</f>
        <v>426.969627125603</v>
      </c>
      <c r="CO215" s="181" t="n">
        <f aca="false">MAX(0,CJ215-CN215-CJ215*$G$25)</f>
        <v>391074.070400789</v>
      </c>
      <c r="CP215" s="180" t="n">
        <f aca="false">CO215/$D215</f>
        <v>236409.26928632</v>
      </c>
    </row>
    <row r="216" customFormat="false" ht="12" hidden="false" customHeight="true" outlineLevel="0" collapsed="false">
      <c r="A216" s="177" t="n">
        <v>155</v>
      </c>
      <c r="B216" s="178" t="n">
        <f aca="false">EDATE(DATA_INICIO,$A216)</f>
        <v>50974</v>
      </c>
      <c r="C216" s="177" t="n">
        <f aca="false">$A216*30</f>
        <v>4650</v>
      </c>
      <c r="D216" s="179" t="n">
        <f aca="false">(1+IPCA_CENARIO)^($A216/12)</f>
        <v>1.65964027691172</v>
      </c>
      <c r="F216" s="180" t="n">
        <f aca="false">M215</f>
        <v>626151.640857068</v>
      </c>
      <c r="G216" s="180" t="n">
        <f aca="false">IF($B$9=0,0,IF($A216&gt;IN_PRAZO,0,IF(APORTE_CORRIGIDO="Sim",IN_APORTE*$D216,IN_APORTE))+IF(AND($B$35=1,PGBL_REINVESTE="Sim",$A216&gt;=13,$A216&lt;=IN_PRAZO,MONTH($B216)=5),PGBL_BENEFICIO,0))</f>
        <v>0</v>
      </c>
      <c r="H216" s="180" t="n">
        <f aca="false">G216*$B$24</f>
        <v>0</v>
      </c>
      <c r="I216" s="180" t="n">
        <f aca="false">F216*$B$19</f>
        <v>5941.42326574212</v>
      </c>
      <c r="J216" s="180" t="n">
        <f aca="false">F216*$B$22</f>
        <v>104.358606809511</v>
      </c>
      <c r="K216" s="180" t="n">
        <f aca="false">$B$23*MAX(0,I216-F216*$B$18)</f>
        <v>0</v>
      </c>
      <c r="L216" s="180" t="n">
        <f aca="false">IF(AND($B$27=1,OR(MONTH($B216)=5,MONTH($B216)=11)),MAX(0,$B$28*MAX(0,(F216+I216-J216-K216+G216-H216)+O215-N216)-O215),0)</f>
        <v>0</v>
      </c>
      <c r="M216" s="181" t="n">
        <f aca="false">F216+I216-J216-K216+G216-H216-L216</f>
        <v>631988.705516</v>
      </c>
      <c r="N216" s="180" t="n">
        <f aca="false">N215+G216-H216</f>
        <v>150000</v>
      </c>
      <c r="O216" s="180" t="n">
        <f aca="false">O215+L216</f>
        <v>0</v>
      </c>
      <c r="P216" s="180" t="n">
        <f aca="false">M216+O216-N216</f>
        <v>481988.705516</v>
      </c>
      <c r="Q216" s="180" t="n">
        <f aca="false">MAX(0,IFERROR(INDEX(TAB_IR,MATCH($C216,TAB_IR_DIAS,1),MATCH($B$8,TAB_IR_REGIMES,0)),0)*IF($B$26=2,M216,MAX(0,P216))-O216)</f>
        <v>72298.3058274</v>
      </c>
      <c r="R216" s="181" t="n">
        <f aca="false">MAX(0,M216-Q216-M216*$B$25)</f>
        <v>559690.3996886</v>
      </c>
      <c r="S216" s="180" t="n">
        <f aca="false">R216/$D216</f>
        <v>337235.970634599</v>
      </c>
      <c r="U216" s="180" t="n">
        <f aca="false">AB215</f>
        <v>510959.843981441</v>
      </c>
      <c r="V216" s="180" t="n">
        <f aca="false">IF($C$9=0,0,IF($A216&gt;IN_PRAZO,0,IF(APORTE_CORRIGIDO="Sim",IN_APORTE*$D216,IN_APORTE))+IF(AND($C$35=1,PGBL_REINVESTE="Sim",$A216&gt;=13,$A216&lt;=IN_PRAZO,MONTH($B216)=5),PGBL_BENEFICIO,0))</f>
        <v>0</v>
      </c>
      <c r="W216" s="180" t="n">
        <f aca="false">V216*$C$24</f>
        <v>0</v>
      </c>
      <c r="X216" s="180" t="n">
        <f aca="false">U216*$C$19</f>
        <v>4168.01463889468</v>
      </c>
      <c r="Y216" s="180" t="n">
        <f aca="false">U216*$C$22</f>
        <v>85.1599739969068</v>
      </c>
      <c r="Z216" s="180" t="n">
        <f aca="false">$C$23*MAX(0,X216-U216*$C$18)</f>
        <v>0</v>
      </c>
      <c r="AA216" s="180" t="n">
        <f aca="false">IF(AND($C$27=1,OR(MONTH($B216)=5,MONTH($B216)=11)),MAX(0,$C$28*MAX(0,(U216+X216-Y216-Z216+V216-W216)+AD215-AC216)-AD215),0)</f>
        <v>0</v>
      </c>
      <c r="AB216" s="181" t="n">
        <f aca="false">U216+X216-Y216-Z216+V216-W216-AA216</f>
        <v>515042.698646339</v>
      </c>
      <c r="AC216" s="180" t="n">
        <f aca="false">AC215+V216-W216</f>
        <v>150000</v>
      </c>
      <c r="AD216" s="180" t="n">
        <f aca="false">AD215+AA216</f>
        <v>0</v>
      </c>
      <c r="AE216" s="180" t="n">
        <f aca="false">AB216+AD216-AC216</f>
        <v>365042.698646339</v>
      </c>
      <c r="AF216" s="180" t="n">
        <f aca="false">MAX(0,IFERROR(INDEX(TAB_IR,MATCH($C216,TAB_IR_DIAS,1),MATCH($C$8,TAB_IR_REGIMES,0)),0)*IF($C$26=2,AB216,MAX(0,AE216))-AD216)</f>
        <v>54756.4047969508</v>
      </c>
      <c r="AG216" s="181" t="n">
        <f aca="false">MAX(0,AB216-AF216-AB216*$C$25)</f>
        <v>460286.293849388</v>
      </c>
      <c r="AH216" s="180" t="n">
        <f aca="false">AG216/$D216</f>
        <v>277340.999885767</v>
      </c>
      <c r="AJ216" s="180" t="n">
        <f aca="false">AQ215</f>
        <v>436523.009333212</v>
      </c>
      <c r="AK216" s="180" t="n">
        <f aca="false">IF($D$9=0,0,IF($A216&gt;IN_PRAZO,0,IF(APORTE_CORRIGIDO="Sim",IN_APORTE*$D216,IN_APORTE))+IF(AND($D$35=1,PGBL_REINVESTE="Sim",$A216&gt;=13,$A216&lt;=IN_PRAZO,MONTH($B216)=5),PGBL_BENEFICIO,0))</f>
        <v>0</v>
      </c>
      <c r="AL216" s="180" t="n">
        <f aca="false">AK216*$D$24</f>
        <v>0</v>
      </c>
      <c r="AM216" s="180" t="n">
        <f aca="false">AJ216*$D$19</f>
        <v>3923.77308605242</v>
      </c>
      <c r="AN216" s="180" t="n">
        <f aca="false">AJ216*$D$22</f>
        <v>363.769174444344</v>
      </c>
      <c r="AO216" s="180" t="n">
        <f aca="false">$D$23*MAX(0,AM216-AJ216*$D$18)</f>
        <v>0</v>
      </c>
      <c r="AP216" s="180" t="n">
        <f aca="false">IF(AND($D$27=1,OR(MONTH($B216)=5,MONTH($B216)=11)),MAX(0,$D$28*MAX(0,(AJ216+AM216-AN216-AO216+AK216-AL216)+AS215-AR216)-AS215),0)</f>
        <v>0</v>
      </c>
      <c r="AQ216" s="181" t="n">
        <f aca="false">AJ216+AM216-AN216-AO216+AK216-AL216-AP216</f>
        <v>440083.01324482</v>
      </c>
      <c r="AR216" s="180" t="n">
        <f aca="false">AR215+AK216-AL216</f>
        <v>150000</v>
      </c>
      <c r="AS216" s="180" t="n">
        <f aca="false">AS215+AP216</f>
        <v>49939.7300625878</v>
      </c>
      <c r="AT216" s="180" t="n">
        <f aca="false">AQ216+AS216-AR216</f>
        <v>340022.743307408</v>
      </c>
      <c r="AU216" s="180" t="n">
        <f aca="false">MAX(0,IFERROR(INDEX(TAB_IR,MATCH($C216,TAB_IR_DIAS,1),MATCH($D$8,TAB_IR_REGIMES,0)),0)*IF($D$26=2,AQ216,MAX(0,AT216))-AS216)</f>
        <v>1063.68143352342</v>
      </c>
      <c r="AV216" s="181" t="n">
        <f aca="false">MAX(0,AQ216-AU216-AQ216*$D$25)</f>
        <v>439019.331811297</v>
      </c>
      <c r="AW216" s="180" t="n">
        <f aca="false">AV216/$D216</f>
        <v>264526.800125765</v>
      </c>
      <c r="AY216" s="180" t="n">
        <f aca="false">BF215</f>
        <v>555583.964933785</v>
      </c>
      <c r="AZ216" s="180" t="n">
        <f aca="false">IF($E$9=0,0,IF($A216&gt;IN_PRAZO,0,IF(APORTE_CORRIGIDO="Sim",IN_APORTE*$D216,IN_APORTE))+IF(AND($E$35=1,PGBL_REINVESTE="Sim",$A216&gt;=13,$A216&lt;=IN_PRAZO,MONTH($B216)=5),PGBL_BENEFICIO,0))</f>
        <v>0</v>
      </c>
      <c r="BA216" s="180" t="n">
        <f aca="false">AZ216*$E$24</f>
        <v>0</v>
      </c>
      <c r="BB216" s="180" t="n">
        <f aca="false">AY216*$E$19</f>
        <v>5438.46995340763</v>
      </c>
      <c r="BC216" s="180" t="n">
        <f aca="false">AY216*$E$22</f>
        <v>694.479956167232</v>
      </c>
      <c r="BD216" s="180" t="n">
        <f aca="false">$E$23*MAX(0,BB216-AY216*$E$18)</f>
        <v>0</v>
      </c>
      <c r="BE216" s="180" t="n">
        <f aca="false">IF(AND($E$27=1,OR(MONTH($B216)=5,MONTH($B216)=11)),MAX(0,$E$28*MAX(0,(AY216+BB216-BC216-BD216+AZ216-BA216)+BH215-BG216)-BH215),0)</f>
        <v>0</v>
      </c>
      <c r="BF216" s="181" t="n">
        <f aca="false">AY216+BB216-BC216-BD216+AZ216-BA216-BE216</f>
        <v>560327.954931026</v>
      </c>
      <c r="BG216" s="180" t="n">
        <f aca="false">BG215+AZ216-BA216</f>
        <v>150000</v>
      </c>
      <c r="BH216" s="180" t="n">
        <f aca="false">BH215+BE216</f>
        <v>0</v>
      </c>
      <c r="BI216" s="180" t="n">
        <f aca="false">BF216+BH216-BG216</f>
        <v>410327.954931026</v>
      </c>
      <c r="BJ216" s="180" t="n">
        <f aca="false">MAX(0,IFERROR(INDEX(TAB_IR,MATCH($C216,TAB_IR_DIAS,1),MATCH($E$8,TAB_IR_REGIMES,0)),0)*IF($E$26=2,BF216,MAX(0,BI216))-BH216)</f>
        <v>41032.7954931026</v>
      </c>
      <c r="BK216" s="181" t="n">
        <f aca="false">MAX(0,BF216-BJ216-BF216*$E$25)</f>
        <v>519295.159437923</v>
      </c>
      <c r="BL216" s="180" t="n">
        <f aca="false">BK216/$D216</f>
        <v>312896.214114683</v>
      </c>
      <c r="BN216" s="180" t="n">
        <f aca="false">BU215</f>
        <v>555583.964933785</v>
      </c>
      <c r="BO216" s="180" t="n">
        <f aca="false">IF($F$9=0,0,IF($A216&gt;IN_PRAZO,0,IF(APORTE_CORRIGIDO="Sim",IN_APORTE*$D216,IN_APORTE))+IF(AND($F$35=1,PGBL_REINVESTE="Sim",$A216&gt;=13,$A216&lt;=IN_PRAZO,MONTH($B216)=5),PGBL_BENEFICIO,0))</f>
        <v>0</v>
      </c>
      <c r="BP216" s="180" t="n">
        <f aca="false">BO216*$F$24</f>
        <v>0</v>
      </c>
      <c r="BQ216" s="180" t="n">
        <f aca="false">BN216*$F$19</f>
        <v>5438.46995340763</v>
      </c>
      <c r="BR216" s="180" t="n">
        <f aca="false">BN216*$F$22</f>
        <v>694.479956167232</v>
      </c>
      <c r="BS216" s="180" t="n">
        <f aca="false">$F$23*MAX(0,BQ216-BN216*$F$18)</f>
        <v>0</v>
      </c>
      <c r="BT216" s="180" t="n">
        <f aca="false">IF(AND($F$27=1,OR(MONTH($B216)=5,MONTH($B216)=11)),MAX(0,$F$28*MAX(0,(BN216+BQ216-BR216-BS216+BO216-BP216)+BW215-BV216)-BW215),0)</f>
        <v>0</v>
      </c>
      <c r="BU216" s="181" t="n">
        <f aca="false">BN216+BQ216-BR216-BS216+BO216-BP216-BT216</f>
        <v>560327.954931026</v>
      </c>
      <c r="BV216" s="180" t="n">
        <f aca="false">BV215+BO216-BP216</f>
        <v>150000</v>
      </c>
      <c r="BW216" s="180" t="n">
        <f aca="false">BW215+BT216</f>
        <v>0</v>
      </c>
      <c r="BX216" s="180" t="n">
        <f aca="false">BU216+BW216-BV216</f>
        <v>410327.954931026</v>
      </c>
      <c r="BY216" s="180" t="n">
        <f aca="false">MAX(0,IFERROR(INDEX(TAB_IR,MATCH($C216,TAB_IR_DIAS,1),MATCH($F$8,TAB_IR_REGIMES,0)),0)*IF($F$26=2,BU216,MAX(0,BX216))-BW216)</f>
        <v>56032.7954931026</v>
      </c>
      <c r="BZ216" s="181" t="n">
        <f aca="false">MAX(0,BU216-BY216-BU216*$F$25)</f>
        <v>504295.159437923</v>
      </c>
      <c r="CA216" s="180" t="n">
        <f aca="false">BZ216/$D216</f>
        <v>303858.110973494</v>
      </c>
      <c r="CC216" s="180" t="n">
        <f aca="false">CJ215</f>
        <v>391501.040027915</v>
      </c>
      <c r="CD216" s="180" t="n">
        <f aca="false">IF($G$9=0,0,IF($A216&gt;IN_PRAZO,0,IF(APORTE_CORRIGIDO="Sim",IN_APORTE*$D216,IN_APORTE))+IF(AND($G$35=1,PGBL_REINVESTE="Sim",$A216&gt;=13,$A216&lt;=IN_PRAZO,MONTH($B216)=5),PGBL_BENEFICIO,0))</f>
        <v>0</v>
      </c>
      <c r="CE216" s="180" t="n">
        <f aca="false">CD216*$G$24</f>
        <v>0</v>
      </c>
      <c r="CF216" s="180" t="n">
        <f aca="false">CC216*$G$19</f>
        <v>3193.56224407746</v>
      </c>
      <c r="CG216" s="180" t="n">
        <f aca="false">CC216*$G$22</f>
        <v>326.250866689929</v>
      </c>
      <c r="CH216" s="180" t="n">
        <f aca="false">$G$23*MAX(0,CF216-CC216*$G$18)</f>
        <v>0</v>
      </c>
      <c r="CI216" s="180" t="n">
        <f aca="false">IF(AND($G$27=1,OR(MONTH($B216)=5,MONTH($B216)=11)),MAX(0,$G$28*MAX(0,(CC216+CF216-CG216-CH216+CD216-CE216)+CL215-CK216)-CL215),0)</f>
        <v>0</v>
      </c>
      <c r="CJ216" s="181" t="n">
        <f aca="false">CC216+CF216-CG216-CH216+CD216-CE216-CI216</f>
        <v>394368.351405303</v>
      </c>
      <c r="CK216" s="180" t="n">
        <f aca="false">CK215+CD216-CE216</f>
        <v>150000</v>
      </c>
      <c r="CL216" s="180" t="n">
        <f aca="false">CL215+CI216</f>
        <v>42115.5133847784</v>
      </c>
      <c r="CM216" s="180" t="n">
        <f aca="false">CJ216+CL216-CK216</f>
        <v>286483.864790081</v>
      </c>
      <c r="CN216" s="180" t="n">
        <f aca="false">MAX(0,IFERROR(INDEX(TAB_IR,MATCH($C216,TAB_IR_DIAS,1),MATCH($G$8,TAB_IR_REGIMES,0)),0)*IF($G$26=2,CJ216,MAX(0,CM216))-CL216)</f>
        <v>857.066333733732</v>
      </c>
      <c r="CO216" s="181" t="n">
        <f aca="false">MAX(0,CJ216-CN216-CJ216*$G$25)</f>
        <v>393511.285071569</v>
      </c>
      <c r="CP216" s="180" t="n">
        <f aca="false">CO216/$D216</f>
        <v>237106.37211325</v>
      </c>
    </row>
    <row r="217" customFormat="false" ht="12" hidden="false" customHeight="true" outlineLevel="0" collapsed="false">
      <c r="A217" s="177" t="n">
        <v>156</v>
      </c>
      <c r="B217" s="178" t="n">
        <f aca="false">EDATE(DATA_INICIO,$A217)</f>
        <v>51005</v>
      </c>
      <c r="C217" s="177" t="n">
        <f aca="false">$A217*30</f>
        <v>4680</v>
      </c>
      <c r="D217" s="179" t="n">
        <f aca="false">(1+IPCA_CENARIO)^($A217/12)</f>
        <v>1.66507350731039</v>
      </c>
      <c r="F217" s="180" t="n">
        <f aca="false">M216</f>
        <v>631988.705516</v>
      </c>
      <c r="G217" s="180" t="n">
        <f aca="false">IF($B$9=0,0,IF($A217&gt;IN_PRAZO,0,IF(APORTE_CORRIGIDO="Sim",IN_APORTE*$D217,IN_APORTE))+IF(AND($B$35=1,PGBL_REINVESTE="Sim",$A217&gt;=13,$A217&lt;=IN_PRAZO,MONTH($B217)=5),PGBL_BENEFICIO,0))</f>
        <v>0</v>
      </c>
      <c r="H217" s="180" t="n">
        <f aca="false">G217*$B$24</f>
        <v>0</v>
      </c>
      <c r="I217" s="180" t="n">
        <f aca="false">F217*$B$19</f>
        <v>5996.80996363651</v>
      </c>
      <c r="J217" s="180" t="n">
        <f aca="false">F217*$B$22</f>
        <v>105.331450919333</v>
      </c>
      <c r="K217" s="180" t="n">
        <f aca="false">$B$23*MAX(0,I217-F217*$B$18)</f>
        <v>0</v>
      </c>
      <c r="L217" s="180" t="n">
        <f aca="false">IF(AND($B$27=1,OR(MONTH($B217)=5,MONTH($B217)=11)),MAX(0,$B$28*MAX(0,(F217+I217-J217-K217+G217-H217)+O216-N217)-O216),0)</f>
        <v>0</v>
      </c>
      <c r="M217" s="181" t="n">
        <f aca="false">F217+I217-J217-K217+G217-H217-L217</f>
        <v>637880.184028718</v>
      </c>
      <c r="N217" s="180" t="n">
        <f aca="false">N216+G217-H217</f>
        <v>150000</v>
      </c>
      <c r="O217" s="180" t="n">
        <f aca="false">O216+L217</f>
        <v>0</v>
      </c>
      <c r="P217" s="180" t="n">
        <f aca="false">M217+O217-N217</f>
        <v>487880.184028717</v>
      </c>
      <c r="Q217" s="180" t="n">
        <f aca="false">MAX(0,IFERROR(INDEX(TAB_IR,MATCH($C217,TAB_IR_DIAS,1),MATCH($B$8,TAB_IR_REGIMES,0)),0)*IF($B$26=2,M217,MAX(0,P217))-O217)</f>
        <v>73182.0276043076</v>
      </c>
      <c r="R217" s="181" t="n">
        <f aca="false">MAX(0,M217-Q217-M217*$B$25)</f>
        <v>564698.15642441</v>
      </c>
      <c r="S217" s="180" t="n">
        <f aca="false">R217/$D217</f>
        <v>339143.079236527</v>
      </c>
      <c r="U217" s="180" t="n">
        <f aca="false">AB216</f>
        <v>515042.698646339</v>
      </c>
      <c r="V217" s="180" t="n">
        <f aca="false">IF($C$9=0,0,IF($A217&gt;IN_PRAZO,0,IF(APORTE_CORRIGIDO="Sim",IN_APORTE*$D217,IN_APORTE))+IF(AND($C$35=1,PGBL_REINVESTE="Sim",$A217&gt;=13,$A217&lt;=IN_PRAZO,MONTH($B217)=5),PGBL_BENEFICIO,0))</f>
        <v>0</v>
      </c>
      <c r="W217" s="180" t="n">
        <f aca="false">V217*$C$24</f>
        <v>0</v>
      </c>
      <c r="X217" s="180" t="n">
        <f aca="false">U217*$C$19</f>
        <v>4201.319404841</v>
      </c>
      <c r="Y217" s="180" t="n">
        <f aca="false">U217*$C$22</f>
        <v>85.8404497743898</v>
      </c>
      <c r="Z217" s="180" t="n">
        <f aca="false">$C$23*MAX(0,X217-U217*$C$18)</f>
        <v>0</v>
      </c>
      <c r="AA217" s="180" t="n">
        <f aca="false">IF(AND($C$27=1,OR(MONTH($B217)=5,MONTH($B217)=11)),MAX(0,$C$28*MAX(0,(U217+X217-Y217-Z217+V217-W217)+AD216-AC217)-AD216),0)</f>
        <v>0</v>
      </c>
      <c r="AB217" s="181" t="n">
        <f aca="false">U217+X217-Y217-Z217+V217-W217-AA217</f>
        <v>519158.177601405</v>
      </c>
      <c r="AC217" s="180" t="n">
        <f aca="false">AC216+V217-W217</f>
        <v>150000</v>
      </c>
      <c r="AD217" s="180" t="n">
        <f aca="false">AD216+AA217</f>
        <v>0</v>
      </c>
      <c r="AE217" s="180" t="n">
        <f aca="false">AB217+AD217-AC217</f>
        <v>369158.177601405</v>
      </c>
      <c r="AF217" s="180" t="n">
        <f aca="false">MAX(0,IFERROR(INDEX(TAB_IR,MATCH($C217,TAB_IR_DIAS,1),MATCH($C$8,TAB_IR_REGIMES,0)),0)*IF($C$26=2,AB217,MAX(0,AE217))-AD217)</f>
        <v>55373.7266402108</v>
      </c>
      <c r="AG217" s="181" t="n">
        <f aca="false">MAX(0,AB217-AF217-AB217*$C$25)</f>
        <v>463784.450961195</v>
      </c>
      <c r="AH217" s="180" t="n">
        <f aca="false">AG217/$D217</f>
        <v>278536.922799493</v>
      </c>
      <c r="AJ217" s="180" t="n">
        <f aca="false">AQ216</f>
        <v>440083.01324482</v>
      </c>
      <c r="AK217" s="180" t="n">
        <f aca="false">IF($D$9=0,0,IF($A217&gt;IN_PRAZO,0,IF(APORTE_CORRIGIDO="Sim",IN_APORTE*$D217,IN_APORTE))+IF(AND($D$35=1,PGBL_REINVESTE="Sim",$A217&gt;=13,$A217&lt;=IN_PRAZO,MONTH($B217)=5),PGBL_BENEFICIO,0))</f>
        <v>0</v>
      </c>
      <c r="AL217" s="180" t="n">
        <f aca="false">AK217*$D$24</f>
        <v>0</v>
      </c>
      <c r="AM217" s="180" t="n">
        <f aca="false">AJ217*$D$19</f>
        <v>3955.77288270907</v>
      </c>
      <c r="AN217" s="180" t="n">
        <f aca="false">AJ217*$D$22</f>
        <v>366.735844370684</v>
      </c>
      <c r="AO217" s="180" t="n">
        <f aca="false">$D$23*MAX(0,AM217-AJ217*$D$18)</f>
        <v>0</v>
      </c>
      <c r="AP217" s="180" t="n">
        <f aca="false">IF(AND($D$27=1,OR(MONTH($B217)=5,MONTH($B217)=11)),MAX(0,$D$28*MAX(0,(AJ217+AM217-AN217-AO217+AK217-AL217)+AS216-AR217)-AS216),0)</f>
        <v>0</v>
      </c>
      <c r="AQ217" s="181" t="n">
        <f aca="false">AJ217+AM217-AN217-AO217+AK217-AL217-AP217</f>
        <v>443672.050283159</v>
      </c>
      <c r="AR217" s="180" t="n">
        <f aca="false">AR216+AK217-AL217</f>
        <v>150000</v>
      </c>
      <c r="AS217" s="180" t="n">
        <f aca="false">AS216+AP217</f>
        <v>49939.7300625878</v>
      </c>
      <c r="AT217" s="180" t="n">
        <f aca="false">AQ217+AS217-AR217</f>
        <v>343611.780345747</v>
      </c>
      <c r="AU217" s="180" t="n">
        <f aca="false">MAX(0,IFERROR(INDEX(TAB_IR,MATCH($C217,TAB_IR_DIAS,1),MATCH($D$8,TAB_IR_REGIMES,0)),0)*IF($D$26=2,AQ217,MAX(0,AT217))-AS217)</f>
        <v>1602.03698927417</v>
      </c>
      <c r="AV217" s="181" t="n">
        <f aca="false">MAX(0,AQ217-AU217-AQ217*$D$25)</f>
        <v>442070.013293885</v>
      </c>
      <c r="AW217" s="180" t="n">
        <f aca="false">AV217/$D217</f>
        <v>265495.79424152</v>
      </c>
      <c r="AY217" s="180" t="n">
        <f aca="false">BF216</f>
        <v>560327.954931026</v>
      </c>
      <c r="AZ217" s="180" t="n">
        <f aca="false">IF($E$9=0,0,IF($A217&gt;IN_PRAZO,0,IF(APORTE_CORRIGIDO="Sim",IN_APORTE*$D217,IN_APORTE))+IF(AND($E$35=1,PGBL_REINVESTE="Sim",$A217&gt;=13,$A217&lt;=IN_PRAZO,MONTH($B217)=5),PGBL_BENEFICIO,0))</f>
        <v>0</v>
      </c>
      <c r="BA217" s="180" t="n">
        <f aca="false">AZ217*$E$24</f>
        <v>0</v>
      </c>
      <c r="BB217" s="180" t="n">
        <f aca="false">AY217*$E$19</f>
        <v>5484.90766343465</v>
      </c>
      <c r="BC217" s="180" t="n">
        <f aca="false">AY217*$E$22</f>
        <v>700.409943663782</v>
      </c>
      <c r="BD217" s="180" t="n">
        <f aca="false">$E$23*MAX(0,BB217-AY217*$E$18)</f>
        <v>0</v>
      </c>
      <c r="BE217" s="180" t="n">
        <f aca="false">IF(AND($E$27=1,OR(MONTH($B217)=5,MONTH($B217)=11)),MAX(0,$E$28*MAX(0,(AY217+BB217-BC217-BD217+AZ217-BA217)+BH216-BG217)-BH216),0)</f>
        <v>0</v>
      </c>
      <c r="BF217" s="181" t="n">
        <f aca="false">AY217+BB217-BC217-BD217+AZ217-BA217-BE217</f>
        <v>565112.452650797</v>
      </c>
      <c r="BG217" s="180" t="n">
        <f aca="false">BG216+AZ217-BA217</f>
        <v>150000</v>
      </c>
      <c r="BH217" s="180" t="n">
        <f aca="false">BH216+BE217</f>
        <v>0</v>
      </c>
      <c r="BI217" s="180" t="n">
        <f aca="false">BF217+BH217-BG217</f>
        <v>415112.452650797</v>
      </c>
      <c r="BJ217" s="180" t="n">
        <f aca="false">MAX(0,IFERROR(INDEX(TAB_IR,MATCH($C217,TAB_IR_DIAS,1),MATCH($E$8,TAB_IR_REGIMES,0)),0)*IF($E$26=2,BF217,MAX(0,BI217))-BH217)</f>
        <v>41511.2452650797</v>
      </c>
      <c r="BK217" s="181" t="n">
        <f aca="false">MAX(0,BF217-BJ217-BF217*$E$25)</f>
        <v>523601.207385717</v>
      </c>
      <c r="BL217" s="180" t="n">
        <f aca="false">BK217/$D217</f>
        <v>314461.316624691</v>
      </c>
      <c r="BN217" s="180" t="n">
        <f aca="false">BU216</f>
        <v>560327.954931026</v>
      </c>
      <c r="BO217" s="180" t="n">
        <f aca="false">IF($F$9=0,0,IF($A217&gt;IN_PRAZO,0,IF(APORTE_CORRIGIDO="Sim",IN_APORTE*$D217,IN_APORTE))+IF(AND($F$35=1,PGBL_REINVESTE="Sim",$A217&gt;=13,$A217&lt;=IN_PRAZO,MONTH($B217)=5),PGBL_BENEFICIO,0))</f>
        <v>0</v>
      </c>
      <c r="BP217" s="180" t="n">
        <f aca="false">BO217*$F$24</f>
        <v>0</v>
      </c>
      <c r="BQ217" s="180" t="n">
        <f aca="false">BN217*$F$19</f>
        <v>5484.90766343465</v>
      </c>
      <c r="BR217" s="180" t="n">
        <f aca="false">BN217*$F$22</f>
        <v>700.409943663782</v>
      </c>
      <c r="BS217" s="180" t="n">
        <f aca="false">$F$23*MAX(0,BQ217-BN217*$F$18)</f>
        <v>0</v>
      </c>
      <c r="BT217" s="180" t="n">
        <f aca="false">IF(AND($F$27=1,OR(MONTH($B217)=5,MONTH($B217)=11)),MAX(0,$F$28*MAX(0,(BN217+BQ217-BR217-BS217+BO217-BP217)+BW216-BV217)-BW216),0)</f>
        <v>0</v>
      </c>
      <c r="BU217" s="181" t="n">
        <f aca="false">BN217+BQ217-BR217-BS217+BO217-BP217-BT217</f>
        <v>565112.452650797</v>
      </c>
      <c r="BV217" s="180" t="n">
        <f aca="false">BV216+BO217-BP217</f>
        <v>150000</v>
      </c>
      <c r="BW217" s="180" t="n">
        <f aca="false">BW216+BT217</f>
        <v>0</v>
      </c>
      <c r="BX217" s="180" t="n">
        <f aca="false">BU217+BW217-BV217</f>
        <v>415112.452650797</v>
      </c>
      <c r="BY217" s="180" t="n">
        <f aca="false">MAX(0,IFERROR(INDEX(TAB_IR,MATCH($C217,TAB_IR_DIAS,1),MATCH($F$8,TAB_IR_REGIMES,0)),0)*IF($F$26=2,BU217,MAX(0,BX217))-BW217)</f>
        <v>56511.2452650797</v>
      </c>
      <c r="BZ217" s="181" t="n">
        <f aca="false">MAX(0,BU217-BY217-BU217*$F$25)</f>
        <v>508601.207385717</v>
      </c>
      <c r="CA217" s="180" t="n">
        <f aca="false">BZ217/$D217</f>
        <v>305452.705332671</v>
      </c>
      <c r="CC217" s="180" t="n">
        <f aca="false">CJ216</f>
        <v>394368.351405303</v>
      </c>
      <c r="CD217" s="180" t="n">
        <f aca="false">IF($G$9=0,0,IF($A217&gt;IN_PRAZO,0,IF(APORTE_CORRIGIDO="Sim",IN_APORTE*$D217,IN_APORTE))+IF(AND($G$35=1,PGBL_REINVESTE="Sim",$A217&gt;=13,$A217&lt;=IN_PRAZO,MONTH($B217)=5),PGBL_BENEFICIO,0))</f>
        <v>0</v>
      </c>
      <c r="CE217" s="180" t="n">
        <f aca="false">CD217*$G$24</f>
        <v>0</v>
      </c>
      <c r="CF217" s="180" t="n">
        <f aca="false">CC217*$G$19</f>
        <v>3216.9515493937</v>
      </c>
      <c r="CG217" s="180" t="n">
        <f aca="false">CC217*$G$22</f>
        <v>328.640292837752</v>
      </c>
      <c r="CH217" s="180" t="n">
        <f aca="false">$G$23*MAX(0,CF217-CC217*$G$18)</f>
        <v>0</v>
      </c>
      <c r="CI217" s="180" t="n">
        <f aca="false">IF(AND($G$27=1,OR(MONTH($B217)=5,MONTH($B217)=11)),MAX(0,$G$28*MAX(0,(CC217+CF217-CG217-CH217+CD217-CE217)+CL216-CK217)-CL216),0)</f>
        <v>0</v>
      </c>
      <c r="CJ217" s="181" t="n">
        <f aca="false">CC217+CF217-CG217-CH217+CD217-CE217-CI217</f>
        <v>397256.662661859</v>
      </c>
      <c r="CK217" s="180" t="n">
        <f aca="false">CK216+CD217-CE217</f>
        <v>150000</v>
      </c>
      <c r="CL217" s="180" t="n">
        <f aca="false">CL216+CI217</f>
        <v>42115.5133847784</v>
      </c>
      <c r="CM217" s="180" t="n">
        <f aca="false">CJ217+CL217-CK217</f>
        <v>289372.176046637</v>
      </c>
      <c r="CN217" s="180" t="n">
        <f aca="false">MAX(0,IFERROR(INDEX(TAB_IR,MATCH($C217,TAB_IR_DIAS,1),MATCH($G$8,TAB_IR_REGIMES,0)),0)*IF($G$26=2,CJ217,MAX(0,CM217))-CL217)</f>
        <v>1290.31302221712</v>
      </c>
      <c r="CO217" s="181" t="n">
        <f aca="false">MAX(0,CJ217-CN217-CJ217*$G$25)</f>
        <v>395966.349639641</v>
      </c>
      <c r="CP217" s="180" t="n">
        <f aca="false">CO217/$D217</f>
        <v>237807.128574912</v>
      </c>
    </row>
    <row r="218" customFormat="false" ht="12" hidden="false" customHeight="true" outlineLevel="0" collapsed="false">
      <c r="A218" s="177" t="n">
        <v>157</v>
      </c>
      <c r="B218" s="178" t="n">
        <f aca="false">EDATE(DATA_INICIO,$A218)</f>
        <v>51036</v>
      </c>
      <c r="C218" s="177" t="n">
        <f aca="false">$A218*30</f>
        <v>4710</v>
      </c>
      <c r="D218" s="179" t="n">
        <f aca="false">(1+IPCA_CENARIO)^($A218/12)</f>
        <v>1.67052452469156</v>
      </c>
      <c r="F218" s="180" t="n">
        <f aca="false">M217</f>
        <v>637880.184028718</v>
      </c>
      <c r="G218" s="180" t="n">
        <f aca="false">IF($B$9=0,0,IF($A218&gt;IN_PRAZO,0,IF(APORTE_CORRIGIDO="Sim",IN_APORTE*$D218,IN_APORTE))+IF(AND($B$35=1,PGBL_REINVESTE="Sim",$A218&gt;=13,$A218&lt;=IN_PRAZO,MONTH($B218)=5),PGBL_BENEFICIO,0))</f>
        <v>0</v>
      </c>
      <c r="H218" s="180" t="n">
        <f aca="false">G218*$B$24</f>
        <v>0</v>
      </c>
      <c r="I218" s="180" t="n">
        <f aca="false">F218*$B$19</f>
        <v>6052.71298332223</v>
      </c>
      <c r="J218" s="180" t="n">
        <f aca="false">F218*$B$22</f>
        <v>106.313364004786</v>
      </c>
      <c r="K218" s="180" t="n">
        <f aca="false">$B$23*MAX(0,I218-F218*$B$18)</f>
        <v>0</v>
      </c>
      <c r="L218" s="180" t="n">
        <f aca="false">IF(AND($B$27=1,OR(MONTH($B218)=5,MONTH($B218)=11)),MAX(0,$B$28*MAX(0,(F218+I218-J218-K218+G218-H218)+O217-N218)-O217),0)</f>
        <v>0</v>
      </c>
      <c r="M218" s="181" t="n">
        <f aca="false">F218+I218-J218-K218+G218-H218-L218</f>
        <v>643826.583648035</v>
      </c>
      <c r="N218" s="180" t="n">
        <f aca="false">N217+G218-H218</f>
        <v>150000</v>
      </c>
      <c r="O218" s="180" t="n">
        <f aca="false">O217+L218</f>
        <v>0</v>
      </c>
      <c r="P218" s="180" t="n">
        <f aca="false">M218+O218-N218</f>
        <v>493826.583648035</v>
      </c>
      <c r="Q218" s="180" t="n">
        <f aca="false">MAX(0,IFERROR(INDEX(TAB_IR,MATCH($C218,TAB_IR_DIAS,1),MATCH($B$8,TAB_IR_REGIMES,0)),0)*IF($B$26=2,M218,MAX(0,P218))-O218)</f>
        <v>74073.9875472052</v>
      </c>
      <c r="R218" s="181" t="n">
        <f aca="false">MAX(0,M218-Q218-M218*$B$25)</f>
        <v>569752.59610083</v>
      </c>
      <c r="S218" s="180" t="n">
        <f aca="false">R218/$D218</f>
        <v>341062.096173672</v>
      </c>
      <c r="U218" s="180" t="n">
        <f aca="false">AB217</f>
        <v>519158.177601405</v>
      </c>
      <c r="V218" s="180" t="n">
        <f aca="false">IF($C$9=0,0,IF($A218&gt;IN_PRAZO,0,IF(APORTE_CORRIGIDO="Sim",IN_APORTE*$D218,IN_APORTE))+IF(AND($C$35=1,PGBL_REINVESTE="Sim",$A218&gt;=13,$A218&lt;=IN_PRAZO,MONTH($B218)=5),PGBL_BENEFICIO,0))</f>
        <v>0</v>
      </c>
      <c r="W218" s="180" t="n">
        <f aca="false">V218*$C$24</f>
        <v>0</v>
      </c>
      <c r="X218" s="180" t="n">
        <f aca="false">U218*$C$19</f>
        <v>4234.89029447711</v>
      </c>
      <c r="Y218" s="180" t="n">
        <f aca="false">U218*$C$22</f>
        <v>86.5263629335676</v>
      </c>
      <c r="Z218" s="180" t="n">
        <f aca="false">$C$23*MAX(0,X218-U218*$C$18)</f>
        <v>0</v>
      </c>
      <c r="AA218" s="180" t="n">
        <f aca="false">IF(AND($C$27=1,OR(MONTH($B218)=5,MONTH($B218)=11)),MAX(0,$C$28*MAX(0,(U218+X218-Y218-Z218+V218-W218)+AD217-AC218)-AD217),0)</f>
        <v>0</v>
      </c>
      <c r="AB218" s="181" t="n">
        <f aca="false">U218+X218-Y218-Z218+V218-W218-AA218</f>
        <v>523306.541532949</v>
      </c>
      <c r="AC218" s="180" t="n">
        <f aca="false">AC217+V218-W218</f>
        <v>150000</v>
      </c>
      <c r="AD218" s="180" t="n">
        <f aca="false">AD217+AA218</f>
        <v>0</v>
      </c>
      <c r="AE218" s="180" t="n">
        <f aca="false">AB218+AD218-AC218</f>
        <v>373306.541532949</v>
      </c>
      <c r="AF218" s="180" t="n">
        <f aca="false">MAX(0,IFERROR(INDEX(TAB_IR,MATCH($C218,TAB_IR_DIAS,1),MATCH($C$8,TAB_IR_REGIMES,0)),0)*IF($C$26=2,AB218,MAX(0,AE218))-AD218)</f>
        <v>55995.9812299423</v>
      </c>
      <c r="AG218" s="181" t="n">
        <f aca="false">MAX(0,AB218-AF218-AB218*$C$25)</f>
        <v>467310.560303007</v>
      </c>
      <c r="AH218" s="180" t="n">
        <f aca="false">AG218/$D218</f>
        <v>279738.820589473</v>
      </c>
      <c r="AJ218" s="180" t="n">
        <f aca="false">AQ217</f>
        <v>443672.050283159</v>
      </c>
      <c r="AK218" s="180" t="n">
        <f aca="false">IF($D$9=0,0,IF($A218&gt;IN_PRAZO,0,IF(APORTE_CORRIGIDO="Sim",IN_APORTE*$D218,IN_APORTE))+IF(AND($D$35=1,PGBL_REINVESTE="Sim",$A218&gt;=13,$A218&lt;=IN_PRAZO,MONTH($B218)=5),PGBL_BENEFICIO,0))</f>
        <v>0</v>
      </c>
      <c r="AL218" s="180" t="n">
        <f aca="false">AK218*$D$24</f>
        <v>0</v>
      </c>
      <c r="AM218" s="180" t="n">
        <f aca="false">AJ218*$D$19</f>
        <v>3988.03364934629</v>
      </c>
      <c r="AN218" s="180" t="n">
        <f aca="false">AJ218*$D$22</f>
        <v>369.726708569299</v>
      </c>
      <c r="AO218" s="180" t="n">
        <f aca="false">$D$23*MAX(0,AM218-AJ218*$D$18)</f>
        <v>0</v>
      </c>
      <c r="AP218" s="180" t="n">
        <f aca="false">IF(AND($D$27=1,OR(MONTH($B218)=5,MONTH($B218)=11)),MAX(0,$D$28*MAX(0,(AJ218+AM218-AN218-AO218+AK218-AL218)+AS217-AR218)-AS217),0)</f>
        <v>0</v>
      </c>
      <c r="AQ218" s="181" t="n">
        <f aca="false">AJ218+AM218-AN218-AO218+AK218-AL218-AP218</f>
        <v>447290.357223936</v>
      </c>
      <c r="AR218" s="180" t="n">
        <f aca="false">AR217+AK218-AL218</f>
        <v>150000</v>
      </c>
      <c r="AS218" s="180" t="n">
        <f aca="false">AS217+AP218</f>
        <v>49939.7300625878</v>
      </c>
      <c r="AT218" s="180" t="n">
        <f aca="false">AQ218+AS218-AR218</f>
        <v>347230.087286524</v>
      </c>
      <c r="AU218" s="180" t="n">
        <f aca="false">MAX(0,IFERROR(INDEX(TAB_IR,MATCH($C218,TAB_IR_DIAS,1),MATCH($D$8,TAB_IR_REGIMES,0)),0)*IF($D$26=2,AQ218,MAX(0,AT218))-AS218)</f>
        <v>2144.78303039073</v>
      </c>
      <c r="AV218" s="181" t="n">
        <f aca="false">MAX(0,AQ218-AU218-AQ218*$D$25)</f>
        <v>445145.574193545</v>
      </c>
      <c r="AW218" s="180" t="n">
        <f aca="false">AV218/$D218</f>
        <v>266470.541206653</v>
      </c>
      <c r="AY218" s="180" t="n">
        <f aca="false">BF217</f>
        <v>565112.452650797</v>
      </c>
      <c r="AZ218" s="180" t="n">
        <f aca="false">IF($E$9=0,0,IF($A218&gt;IN_PRAZO,0,IF(APORTE_CORRIGIDO="Sim",IN_APORTE*$D218,IN_APORTE))+IF(AND($E$35=1,PGBL_REINVESTE="Sim",$A218&gt;=13,$A218&lt;=IN_PRAZO,MONTH($B218)=5),PGBL_BENEFICIO,0))</f>
        <v>0</v>
      </c>
      <c r="BA218" s="180" t="n">
        <f aca="false">AZ218*$E$24</f>
        <v>0</v>
      </c>
      <c r="BB218" s="180" t="n">
        <f aca="false">AY218*$E$19</f>
        <v>5531.74189324224</v>
      </c>
      <c r="BC218" s="180" t="n">
        <f aca="false">AY218*$E$22</f>
        <v>706.390565813496</v>
      </c>
      <c r="BD218" s="180" t="n">
        <f aca="false">$E$23*MAX(0,BB218-AY218*$E$18)</f>
        <v>0</v>
      </c>
      <c r="BE218" s="180" t="n">
        <f aca="false">IF(AND($E$27=1,OR(MONTH($B218)=5,MONTH($B218)=11)),MAX(0,$E$28*MAX(0,(AY218+BB218-BC218-BD218+AZ218-BA218)+BH217-BG218)-BH217),0)</f>
        <v>0</v>
      </c>
      <c r="BF218" s="181" t="n">
        <f aca="false">AY218+BB218-BC218-BD218+AZ218-BA218-BE218</f>
        <v>569937.803978225</v>
      </c>
      <c r="BG218" s="180" t="n">
        <f aca="false">BG217+AZ218-BA218</f>
        <v>150000</v>
      </c>
      <c r="BH218" s="180" t="n">
        <f aca="false">BH217+BE218</f>
        <v>0</v>
      </c>
      <c r="BI218" s="180" t="n">
        <f aca="false">BF218+BH218-BG218</f>
        <v>419937.803978225</v>
      </c>
      <c r="BJ218" s="180" t="n">
        <f aca="false">MAX(0,IFERROR(INDEX(TAB_IR,MATCH($C218,TAB_IR_DIAS,1),MATCH($E$8,TAB_IR_REGIMES,0)),0)*IF($E$26=2,BF218,MAX(0,BI218))-BH218)</f>
        <v>41993.7803978225</v>
      </c>
      <c r="BK218" s="181" t="n">
        <f aca="false">MAX(0,BF218-BJ218-BF218*$E$25)</f>
        <v>527944.023580403</v>
      </c>
      <c r="BL218" s="180" t="n">
        <f aca="false">BK218/$D218</f>
        <v>316034.883521319</v>
      </c>
      <c r="BN218" s="180" t="n">
        <f aca="false">BU217</f>
        <v>565112.452650797</v>
      </c>
      <c r="BO218" s="180" t="n">
        <f aca="false">IF($F$9=0,0,IF($A218&gt;IN_PRAZO,0,IF(APORTE_CORRIGIDO="Sim",IN_APORTE*$D218,IN_APORTE))+IF(AND($F$35=1,PGBL_REINVESTE="Sim",$A218&gt;=13,$A218&lt;=IN_PRAZO,MONTH($B218)=5),PGBL_BENEFICIO,0))</f>
        <v>0</v>
      </c>
      <c r="BP218" s="180" t="n">
        <f aca="false">BO218*$F$24</f>
        <v>0</v>
      </c>
      <c r="BQ218" s="180" t="n">
        <f aca="false">BN218*$F$19</f>
        <v>5531.74189324224</v>
      </c>
      <c r="BR218" s="180" t="n">
        <f aca="false">BN218*$F$22</f>
        <v>706.390565813496</v>
      </c>
      <c r="BS218" s="180" t="n">
        <f aca="false">$F$23*MAX(0,BQ218-BN218*$F$18)</f>
        <v>0</v>
      </c>
      <c r="BT218" s="180" t="n">
        <f aca="false">IF(AND($F$27=1,OR(MONTH($B218)=5,MONTH($B218)=11)),MAX(0,$F$28*MAX(0,(BN218+BQ218-BR218-BS218+BO218-BP218)+BW217-BV218)-BW217),0)</f>
        <v>0</v>
      </c>
      <c r="BU218" s="181" t="n">
        <f aca="false">BN218+BQ218-BR218-BS218+BO218-BP218-BT218</f>
        <v>569937.803978225</v>
      </c>
      <c r="BV218" s="180" t="n">
        <f aca="false">BV217+BO218-BP218</f>
        <v>150000</v>
      </c>
      <c r="BW218" s="180" t="n">
        <f aca="false">BW217+BT218</f>
        <v>0</v>
      </c>
      <c r="BX218" s="180" t="n">
        <f aca="false">BU218+BW218-BV218</f>
        <v>419937.803978225</v>
      </c>
      <c r="BY218" s="180" t="n">
        <f aca="false">MAX(0,IFERROR(INDEX(TAB_IR,MATCH($C218,TAB_IR_DIAS,1),MATCH($F$8,TAB_IR_REGIMES,0)),0)*IF($F$26=2,BU218,MAX(0,BX218))-BW218)</f>
        <v>56993.7803978225</v>
      </c>
      <c r="BZ218" s="181" t="n">
        <f aca="false">MAX(0,BU218-BY218-BU218*$F$25)</f>
        <v>512944.023580403</v>
      </c>
      <c r="CA218" s="180" t="n">
        <f aca="false">BZ218/$D218</f>
        <v>307055.667844872</v>
      </c>
      <c r="CC218" s="180" t="n">
        <f aca="false">CJ217</f>
        <v>397256.662661859</v>
      </c>
      <c r="CD218" s="180" t="n">
        <f aca="false">IF($G$9=0,0,IF($A218&gt;IN_PRAZO,0,IF(APORTE_CORRIGIDO="Sim",IN_APORTE*$D218,IN_APORTE))+IF(AND($G$35=1,PGBL_REINVESTE="Sim",$A218&gt;=13,$A218&lt;=IN_PRAZO,MONTH($B218)=5),PGBL_BENEFICIO,0))</f>
        <v>0</v>
      </c>
      <c r="CE218" s="180" t="n">
        <f aca="false">CD218*$G$24</f>
        <v>0</v>
      </c>
      <c r="CF218" s="180" t="n">
        <f aca="false">CC218*$G$19</f>
        <v>3240.51215545856</v>
      </c>
      <c r="CG218" s="180" t="n">
        <f aca="false">CC218*$G$22</f>
        <v>331.047218884882</v>
      </c>
      <c r="CH218" s="180" t="n">
        <f aca="false">$G$23*MAX(0,CF218-CC218*$G$18)</f>
        <v>0</v>
      </c>
      <c r="CI218" s="180" t="n">
        <f aca="false">IF(AND($G$27=1,OR(MONTH($B218)=5,MONTH($B218)=11)),MAX(0,$G$28*MAX(0,(CC218+CF218-CG218-CH218+CD218-CE218)+CL217-CK218)-CL217),0)</f>
        <v>0</v>
      </c>
      <c r="CJ218" s="181" t="n">
        <f aca="false">CC218+CF218-CG218-CH218+CD218-CE218-CI218</f>
        <v>400166.127598432</v>
      </c>
      <c r="CK218" s="180" t="n">
        <f aca="false">CK217+CD218-CE218</f>
        <v>150000</v>
      </c>
      <c r="CL218" s="180" t="n">
        <f aca="false">CL217+CI218</f>
        <v>42115.5133847784</v>
      </c>
      <c r="CM218" s="180" t="n">
        <f aca="false">CJ218+CL218-CK218</f>
        <v>292281.640983211</v>
      </c>
      <c r="CN218" s="180" t="n">
        <f aca="false">MAX(0,IFERROR(INDEX(TAB_IR,MATCH($C218,TAB_IR_DIAS,1),MATCH($G$8,TAB_IR_REGIMES,0)),0)*IF($G$26=2,CJ218,MAX(0,CM218))-CL218)</f>
        <v>1726.73276270318</v>
      </c>
      <c r="CO218" s="181" t="n">
        <f aca="false">MAX(0,CJ218-CN218-CJ218*$G$25)</f>
        <v>398439.394835729</v>
      </c>
      <c r="CP218" s="180" t="n">
        <f aca="false">CO218/$D218</f>
        <v>238511.550681542</v>
      </c>
    </row>
    <row r="219" customFormat="false" ht="12" hidden="false" customHeight="true" outlineLevel="0" collapsed="false">
      <c r="A219" s="177" t="n">
        <v>158</v>
      </c>
      <c r="B219" s="178" t="n">
        <f aca="false">EDATE(DATA_INICIO,$A219)</f>
        <v>51066</v>
      </c>
      <c r="C219" s="177" t="n">
        <f aca="false">$A219*30</f>
        <v>4740</v>
      </c>
      <c r="D219" s="179" t="n">
        <f aca="false">(1+IPCA_CENARIO)^($A219/12)</f>
        <v>1.67599338728518</v>
      </c>
      <c r="F219" s="180" t="n">
        <f aca="false">M218</f>
        <v>643826.583648035</v>
      </c>
      <c r="G219" s="180" t="n">
        <f aca="false">IF($B$9=0,0,IF($A219&gt;IN_PRAZO,0,IF(APORTE_CORRIGIDO="Sim",IN_APORTE*$D219,IN_APORTE))+IF(AND($B$35=1,PGBL_REINVESTE="Sim",$A219&gt;=13,$A219&lt;=IN_PRAZO,MONTH($B219)=5),PGBL_BENEFICIO,0))</f>
        <v>0</v>
      </c>
      <c r="H219" s="180" t="n">
        <f aca="false">G219*$B$24</f>
        <v>0</v>
      </c>
      <c r="I219" s="180" t="n">
        <f aca="false">F219*$B$19</f>
        <v>6109.13713801621</v>
      </c>
      <c r="J219" s="180" t="n">
        <f aca="false">F219*$B$22</f>
        <v>107.304430608006</v>
      </c>
      <c r="K219" s="180" t="n">
        <f aca="false">$B$23*MAX(0,I219-F219*$B$18)</f>
        <v>0</v>
      </c>
      <c r="L219" s="180" t="n">
        <f aca="false">IF(AND($B$27=1,OR(MONTH($B219)=5,MONTH($B219)=11)),MAX(0,$B$28*MAX(0,(F219+I219-J219-K219+G219-H219)+O218-N219)-O218),0)</f>
        <v>0</v>
      </c>
      <c r="M219" s="181" t="n">
        <f aca="false">F219+I219-J219-K219+G219-H219-L219</f>
        <v>649828.416355443</v>
      </c>
      <c r="N219" s="180" t="n">
        <f aca="false">N218+G219-H219</f>
        <v>150000</v>
      </c>
      <c r="O219" s="180" t="n">
        <f aca="false">O218+L219</f>
        <v>0</v>
      </c>
      <c r="P219" s="180" t="n">
        <f aca="false">M219+O219-N219</f>
        <v>499828.416355443</v>
      </c>
      <c r="Q219" s="180" t="n">
        <f aca="false">MAX(0,IFERROR(INDEX(TAB_IR,MATCH($C219,TAB_IR_DIAS,1),MATCH($B$8,TAB_IR_REGIMES,0)),0)*IF($B$26=2,M219,MAX(0,P219))-O219)</f>
        <v>74974.2624533164</v>
      </c>
      <c r="R219" s="181" t="n">
        <f aca="false">MAX(0,M219-Q219-M219*$B$25)</f>
        <v>574854.153902127</v>
      </c>
      <c r="S219" s="180" t="n">
        <f aca="false">R219/$D219</f>
        <v>342993.09189596</v>
      </c>
      <c r="U219" s="180" t="n">
        <f aca="false">AB218</f>
        <v>523306.541532949</v>
      </c>
      <c r="V219" s="180" t="n">
        <f aca="false">IF($C$9=0,0,IF($A219&gt;IN_PRAZO,0,IF(APORTE_CORRIGIDO="Sim",IN_APORTE*$D219,IN_APORTE))+IF(AND($C$35=1,PGBL_REINVESTE="Sim",$A219&gt;=13,$A219&lt;=IN_PRAZO,MONTH($B219)=5),PGBL_BENEFICIO,0))</f>
        <v>0</v>
      </c>
      <c r="W219" s="180" t="n">
        <f aca="false">V219*$C$24</f>
        <v>0</v>
      </c>
      <c r="X219" s="180" t="n">
        <f aca="false">U219*$C$19</f>
        <v>4268.72943427997</v>
      </c>
      <c r="Y219" s="180" t="n">
        <f aca="false">U219*$C$22</f>
        <v>87.2177569221582</v>
      </c>
      <c r="Z219" s="180" t="n">
        <f aca="false">$C$23*MAX(0,X219-U219*$C$18)</f>
        <v>0</v>
      </c>
      <c r="AA219" s="180" t="n">
        <f aca="false">IF(AND($C$27=1,OR(MONTH($B219)=5,MONTH($B219)=11)),MAX(0,$C$28*MAX(0,(U219+X219-Y219-Z219+V219-W219)+AD218-AC219)-AD218),0)</f>
        <v>0</v>
      </c>
      <c r="AB219" s="181" t="n">
        <f aca="false">U219+X219-Y219-Z219+V219-W219-AA219</f>
        <v>527488.053210307</v>
      </c>
      <c r="AC219" s="180" t="n">
        <f aca="false">AC218+V219-W219</f>
        <v>150000</v>
      </c>
      <c r="AD219" s="180" t="n">
        <f aca="false">AD218+AA219</f>
        <v>0</v>
      </c>
      <c r="AE219" s="180" t="n">
        <f aca="false">AB219+AD219-AC219</f>
        <v>377488.053210307</v>
      </c>
      <c r="AF219" s="180" t="n">
        <f aca="false">MAX(0,IFERROR(INDEX(TAB_IR,MATCH($C219,TAB_IR_DIAS,1),MATCH($C$8,TAB_IR_REGIMES,0)),0)*IF($C$26=2,AB219,MAX(0,AE219))-AD219)</f>
        <v>56623.207981546</v>
      </c>
      <c r="AG219" s="181" t="n">
        <f aca="false">MAX(0,AB219-AF219-AB219*$C$25)</f>
        <v>470864.845228761</v>
      </c>
      <c r="AH219" s="180" t="n">
        <f aca="false">AG219/$D219</f>
        <v>280946.720196481</v>
      </c>
      <c r="AJ219" s="180" t="n">
        <f aca="false">AQ218</f>
        <v>447290.357223936</v>
      </c>
      <c r="AK219" s="180" t="n">
        <f aca="false">IF($D$9=0,0,IF($A219&gt;IN_PRAZO,0,IF(APORTE_CORRIGIDO="Sim",IN_APORTE*$D219,IN_APORTE))+IF(AND($D$35=1,PGBL_REINVESTE="Sim",$A219&gt;=13,$A219&lt;=IN_PRAZO,MONTH($B219)=5),PGBL_BENEFICIO,0))</f>
        <v>0</v>
      </c>
      <c r="AL219" s="180" t="n">
        <f aca="false">AK219*$D$24</f>
        <v>0</v>
      </c>
      <c r="AM219" s="180" t="n">
        <f aca="false">AJ219*$D$19</f>
        <v>4020.5575142692</v>
      </c>
      <c r="AN219" s="180" t="n">
        <f aca="false">AJ219*$D$22</f>
        <v>372.74196435328</v>
      </c>
      <c r="AO219" s="180" t="n">
        <f aca="false">$D$23*MAX(0,AM219-AJ219*$D$18)</f>
        <v>0</v>
      </c>
      <c r="AP219" s="180" t="n">
        <f aca="false">IF(AND($D$27=1,OR(MONTH($B219)=5,MONTH($B219)=11)),MAX(0,$D$28*MAX(0,(AJ219+AM219-AN219-AO219+AK219-AL219)+AS218-AR219)-AS218),0)</f>
        <v>0</v>
      </c>
      <c r="AQ219" s="181" t="n">
        <f aca="false">AJ219+AM219-AN219-AO219+AK219-AL219-AP219</f>
        <v>450938.172773852</v>
      </c>
      <c r="AR219" s="180" t="n">
        <f aca="false">AR218+AK219-AL219</f>
        <v>150000</v>
      </c>
      <c r="AS219" s="180" t="n">
        <f aca="false">AS218+AP219</f>
        <v>49939.7300625878</v>
      </c>
      <c r="AT219" s="180" t="n">
        <f aca="false">AQ219+AS219-AR219</f>
        <v>350877.902836439</v>
      </c>
      <c r="AU219" s="180" t="n">
        <f aca="false">MAX(0,IFERROR(INDEX(TAB_IR,MATCH($C219,TAB_IR_DIAS,1),MATCH($D$8,TAB_IR_REGIMES,0)),0)*IF($D$26=2,AQ219,MAX(0,AT219))-AS219)</f>
        <v>2691.95536287811</v>
      </c>
      <c r="AV219" s="181" t="n">
        <f aca="false">MAX(0,AQ219-AU219-AQ219*$D$25)</f>
        <v>448246.217410974</v>
      </c>
      <c r="AW219" s="180" t="n">
        <f aca="false">AV219/$D219</f>
        <v>267451.065625656</v>
      </c>
      <c r="AY219" s="180" t="n">
        <f aca="false">BF218</f>
        <v>569937.803978225</v>
      </c>
      <c r="AZ219" s="180" t="n">
        <f aca="false">IF($E$9=0,0,IF($A219&gt;IN_PRAZO,0,IF(APORTE_CORRIGIDO="Sim",IN_APORTE*$D219,IN_APORTE))+IF(AND($E$35=1,PGBL_REINVESTE="Sim",$A219&gt;=13,$A219&lt;=IN_PRAZO,MONTH($B219)=5),PGBL_BENEFICIO,0))</f>
        <v>0</v>
      </c>
      <c r="BA219" s="180" t="n">
        <f aca="false">AZ219*$E$24</f>
        <v>0</v>
      </c>
      <c r="BB219" s="180" t="n">
        <f aca="false">AY219*$E$19</f>
        <v>5578.97602861183</v>
      </c>
      <c r="BC219" s="180" t="n">
        <f aca="false">AY219*$E$22</f>
        <v>712.422254972782</v>
      </c>
      <c r="BD219" s="180" t="n">
        <f aca="false">$E$23*MAX(0,BB219-AY219*$E$18)</f>
        <v>0</v>
      </c>
      <c r="BE219" s="180" t="n">
        <f aca="false">IF(AND($E$27=1,OR(MONTH($B219)=5,MONTH($B219)=11)),MAX(0,$E$28*MAX(0,(AY219+BB219-BC219-BD219+AZ219-BA219)+BH218-BG219)-BH218),0)</f>
        <v>0</v>
      </c>
      <c r="BF219" s="181" t="n">
        <f aca="false">AY219+BB219-BC219-BD219+AZ219-BA219-BE219</f>
        <v>574804.357751864</v>
      </c>
      <c r="BG219" s="180" t="n">
        <f aca="false">BG218+AZ219-BA219</f>
        <v>150000</v>
      </c>
      <c r="BH219" s="180" t="n">
        <f aca="false">BH218+BE219</f>
        <v>0</v>
      </c>
      <c r="BI219" s="180" t="n">
        <f aca="false">BF219+BH219-BG219</f>
        <v>424804.357751864</v>
      </c>
      <c r="BJ219" s="180" t="n">
        <f aca="false">MAX(0,IFERROR(INDEX(TAB_IR,MATCH($C219,TAB_IR_DIAS,1),MATCH($E$8,TAB_IR_REGIMES,0)),0)*IF($E$26=2,BF219,MAX(0,BI219))-BH219)</f>
        <v>42480.4357751864</v>
      </c>
      <c r="BK219" s="181" t="n">
        <f aca="false">MAX(0,BF219-BJ219-BF219*$E$25)</f>
        <v>532323.921976678</v>
      </c>
      <c r="BL219" s="180" t="n">
        <f aca="false">BK219/$D219</f>
        <v>317616.958405159</v>
      </c>
      <c r="BN219" s="180" t="n">
        <f aca="false">BU218</f>
        <v>569937.803978225</v>
      </c>
      <c r="BO219" s="180" t="n">
        <f aca="false">IF($F$9=0,0,IF($A219&gt;IN_PRAZO,0,IF(APORTE_CORRIGIDO="Sim",IN_APORTE*$D219,IN_APORTE))+IF(AND($F$35=1,PGBL_REINVESTE="Sim",$A219&gt;=13,$A219&lt;=IN_PRAZO,MONTH($B219)=5),PGBL_BENEFICIO,0))</f>
        <v>0</v>
      </c>
      <c r="BP219" s="180" t="n">
        <f aca="false">BO219*$F$24</f>
        <v>0</v>
      </c>
      <c r="BQ219" s="180" t="n">
        <f aca="false">BN219*$F$19</f>
        <v>5578.97602861183</v>
      </c>
      <c r="BR219" s="180" t="n">
        <f aca="false">BN219*$F$22</f>
        <v>712.422254972782</v>
      </c>
      <c r="BS219" s="180" t="n">
        <f aca="false">$F$23*MAX(0,BQ219-BN219*$F$18)</f>
        <v>0</v>
      </c>
      <c r="BT219" s="180" t="n">
        <f aca="false">IF(AND($F$27=1,OR(MONTH($B219)=5,MONTH($B219)=11)),MAX(0,$F$28*MAX(0,(BN219+BQ219-BR219-BS219+BO219-BP219)+BW218-BV219)-BW218),0)</f>
        <v>0</v>
      </c>
      <c r="BU219" s="181" t="n">
        <f aca="false">BN219+BQ219-BR219-BS219+BO219-BP219-BT219</f>
        <v>574804.357751864</v>
      </c>
      <c r="BV219" s="180" t="n">
        <f aca="false">BV218+BO219-BP219</f>
        <v>150000</v>
      </c>
      <c r="BW219" s="180" t="n">
        <f aca="false">BW218+BT219</f>
        <v>0</v>
      </c>
      <c r="BX219" s="180" t="n">
        <f aca="false">BU219+BW219-BV219</f>
        <v>424804.357751864</v>
      </c>
      <c r="BY219" s="180" t="n">
        <f aca="false">MAX(0,IFERROR(INDEX(TAB_IR,MATCH($C219,TAB_IR_DIAS,1),MATCH($F$8,TAB_IR_REGIMES,0)),0)*IF($F$26=2,BU219,MAX(0,BX219))-BW219)</f>
        <v>57480.4357751864</v>
      </c>
      <c r="BZ219" s="181" t="n">
        <f aca="false">MAX(0,BU219-BY219-BU219*$F$25)</f>
        <v>517323.921976678</v>
      </c>
      <c r="CA219" s="180" t="n">
        <f aca="false">BZ219/$D219</f>
        <v>308667.042424704</v>
      </c>
      <c r="CC219" s="180" t="n">
        <f aca="false">CJ218</f>
        <v>400166.127598432</v>
      </c>
      <c r="CD219" s="180" t="n">
        <f aca="false">IF($G$9=0,0,IF($A219&gt;IN_PRAZO,0,IF(APORTE_CORRIGIDO="Sim",IN_APORTE*$D219,IN_APORTE))+IF(AND($G$35=1,PGBL_REINVESTE="Sim",$A219&gt;=13,$A219&lt;=IN_PRAZO,MONTH($B219)=5),PGBL_BENEFICIO,0))</f>
        <v>0</v>
      </c>
      <c r="CE219" s="180" t="n">
        <f aca="false">CD219*$G$24</f>
        <v>0</v>
      </c>
      <c r="CF219" s="180" t="n">
        <f aca="false">CC219*$G$19</f>
        <v>3264.24531686025</v>
      </c>
      <c r="CG219" s="180" t="n">
        <f aca="false">CC219*$G$22</f>
        <v>333.471772998694</v>
      </c>
      <c r="CH219" s="180" t="n">
        <f aca="false">$G$23*MAX(0,CF219-CC219*$G$18)</f>
        <v>0</v>
      </c>
      <c r="CI219" s="180" t="n">
        <f aca="false">IF(AND($G$27=1,OR(MONTH($B219)=5,MONTH($B219)=11)),MAX(0,$G$28*MAX(0,(CC219+CF219-CG219-CH219+CD219-CE219)+CL218-CK219)-CL218),0)</f>
        <v>0</v>
      </c>
      <c r="CJ219" s="181" t="n">
        <f aca="false">CC219+CF219-CG219-CH219+CD219-CE219-CI219</f>
        <v>403096.901142294</v>
      </c>
      <c r="CK219" s="180" t="n">
        <f aca="false">CK218+CD219-CE219</f>
        <v>150000</v>
      </c>
      <c r="CL219" s="180" t="n">
        <f aca="false">CL218+CI219</f>
        <v>42115.5133847784</v>
      </c>
      <c r="CM219" s="180" t="n">
        <f aca="false">CJ219+CL219-CK219</f>
        <v>295212.414527072</v>
      </c>
      <c r="CN219" s="180" t="n">
        <f aca="false">MAX(0,IFERROR(INDEX(TAB_IR,MATCH($C219,TAB_IR_DIAS,1),MATCH($G$8,TAB_IR_REGIMES,0)),0)*IF($G$26=2,CJ219,MAX(0,CM219))-CL219)</f>
        <v>2166.34879428241</v>
      </c>
      <c r="CO219" s="181" t="n">
        <f aca="false">MAX(0,CJ219-CN219-CJ219*$G$25)</f>
        <v>400930.552348011</v>
      </c>
      <c r="CP219" s="180" t="n">
        <f aca="false">CO219/$D219</f>
        <v>239219.6505008</v>
      </c>
    </row>
    <row r="220" customFormat="false" ht="12" hidden="false" customHeight="true" outlineLevel="0" collapsed="false">
      <c r="A220" s="177" t="n">
        <v>159</v>
      </c>
      <c r="B220" s="178" t="n">
        <f aca="false">EDATE(DATA_INICIO,$A220)</f>
        <v>51097</v>
      </c>
      <c r="C220" s="177" t="n">
        <f aca="false">$A220*30</f>
        <v>4770</v>
      </c>
      <c r="D220" s="179" t="n">
        <f aca="false">(1+IPCA_CENARIO)^($A220/12)</f>
        <v>1.68148015351184</v>
      </c>
      <c r="F220" s="180" t="n">
        <f aca="false">M219</f>
        <v>649828.416355443</v>
      </c>
      <c r="G220" s="180" t="n">
        <f aca="false">IF($B$9=0,0,IF($A220&gt;IN_PRAZO,0,IF(APORTE_CORRIGIDO="Sim",IN_APORTE*$D220,IN_APORTE))+IF(AND($B$35=1,PGBL_REINVESTE="Sim",$A220&gt;=13,$A220&lt;=IN_PRAZO,MONTH($B220)=5),PGBL_BENEFICIO,0))</f>
        <v>0</v>
      </c>
      <c r="H220" s="180" t="n">
        <f aca="false">G220*$B$24</f>
        <v>0</v>
      </c>
      <c r="I220" s="180" t="n">
        <f aca="false">F220*$B$19</f>
        <v>6166.08728580482</v>
      </c>
      <c r="J220" s="180" t="n">
        <f aca="false">F220*$B$22</f>
        <v>108.30473605924</v>
      </c>
      <c r="K220" s="180" t="n">
        <f aca="false">$B$23*MAX(0,I220-F220*$B$18)</f>
        <v>0</v>
      </c>
      <c r="L220" s="180" t="n">
        <f aca="false">IF(AND($B$27=1,OR(MONTH($B220)=5,MONTH($B220)=11)),MAX(0,$B$28*MAX(0,(F220+I220-J220-K220+G220-H220)+O219-N220)-O219),0)</f>
        <v>0</v>
      </c>
      <c r="M220" s="181" t="n">
        <f aca="false">F220+I220-J220-K220+G220-H220-L220</f>
        <v>655886.198905189</v>
      </c>
      <c r="N220" s="180" t="n">
        <f aca="false">N219+G220-H220</f>
        <v>150000</v>
      </c>
      <c r="O220" s="180" t="n">
        <f aca="false">O219+L220</f>
        <v>0</v>
      </c>
      <c r="P220" s="180" t="n">
        <f aca="false">M220+O220-N220</f>
        <v>505886.198905189</v>
      </c>
      <c r="Q220" s="180" t="n">
        <f aca="false">MAX(0,IFERROR(INDEX(TAB_IR,MATCH($C220,TAB_IR_DIAS,1),MATCH($B$8,TAB_IR_REGIMES,0)),0)*IF($B$26=2,M220,MAX(0,P220))-O220)</f>
        <v>75882.9298357783</v>
      </c>
      <c r="R220" s="181" t="n">
        <f aca="false">MAX(0,M220-Q220-M220*$B$25)</f>
        <v>580003.26906941</v>
      </c>
      <c r="S220" s="180" t="n">
        <f aca="false">R220/$D220</f>
        <v>344936.137282412</v>
      </c>
      <c r="U220" s="180" t="n">
        <f aca="false">AB219</f>
        <v>527488.053210307</v>
      </c>
      <c r="V220" s="180" t="n">
        <f aca="false">IF($C$9=0,0,IF($A220&gt;IN_PRAZO,0,IF(APORTE_CORRIGIDO="Sim",IN_APORTE*$D220,IN_APORTE))+IF(AND($C$35=1,PGBL_REINVESTE="Sim",$A220&gt;=13,$A220&lt;=IN_PRAZO,MONTH($B220)=5),PGBL_BENEFICIO,0))</f>
        <v>0</v>
      </c>
      <c r="W220" s="180" t="n">
        <f aca="false">V220*$C$24</f>
        <v>0</v>
      </c>
      <c r="X220" s="180" t="n">
        <f aca="false">U220*$C$19</f>
        <v>4302.83896771831</v>
      </c>
      <c r="Y220" s="180" t="n">
        <f aca="false">U220*$C$22</f>
        <v>87.9146755350511</v>
      </c>
      <c r="Z220" s="180" t="n">
        <f aca="false">$C$23*MAX(0,X220-U220*$C$18)</f>
        <v>0</v>
      </c>
      <c r="AA220" s="180" t="n">
        <f aca="false">IF(AND($C$27=1,OR(MONTH($B220)=5,MONTH($B220)=11)),MAX(0,$C$28*MAX(0,(U220+X220-Y220-Z220+V220-W220)+AD219-AC220)-AD219),0)</f>
        <v>0</v>
      </c>
      <c r="AB220" s="181" t="n">
        <f aca="false">U220+X220-Y220-Z220+V220-W220-AA220</f>
        <v>531702.97750249</v>
      </c>
      <c r="AC220" s="180" t="n">
        <f aca="false">AC219+V220-W220</f>
        <v>150000</v>
      </c>
      <c r="AD220" s="180" t="n">
        <f aca="false">AD219+AA220</f>
        <v>0</v>
      </c>
      <c r="AE220" s="180" t="n">
        <f aca="false">AB220+AD220-AC220</f>
        <v>381702.97750249</v>
      </c>
      <c r="AF220" s="180" t="n">
        <f aca="false">MAX(0,IFERROR(INDEX(TAB_IR,MATCH($C220,TAB_IR_DIAS,1),MATCH($C$8,TAB_IR_REGIMES,0)),0)*IF($C$26=2,AB220,MAX(0,AE220))-AD220)</f>
        <v>57255.4466253735</v>
      </c>
      <c r="AG220" s="181" t="n">
        <f aca="false">MAX(0,AB220-AF220-AB220*$C$25)</f>
        <v>474447.530877116</v>
      </c>
      <c r="AH220" s="180" t="n">
        <f aca="false">AG220/$D220</f>
        <v>282160.648691699</v>
      </c>
      <c r="AJ220" s="180" t="n">
        <f aca="false">AQ219</f>
        <v>450938.172773852</v>
      </c>
      <c r="AK220" s="180" t="n">
        <f aca="false">IF($D$9=0,0,IF($A220&gt;IN_PRAZO,0,IF(APORTE_CORRIGIDO="Sim",IN_APORTE*$D220,IN_APORTE))+IF(AND($D$35=1,PGBL_REINVESTE="Sim",$A220&gt;=13,$A220&lt;=IN_PRAZO,MONTH($B220)=5),PGBL_BENEFICIO,0))</f>
        <v>0</v>
      </c>
      <c r="AL220" s="180" t="n">
        <f aca="false">AK220*$D$24</f>
        <v>0</v>
      </c>
      <c r="AM220" s="180" t="n">
        <f aca="false">AJ220*$D$19</f>
        <v>4053.34662314002</v>
      </c>
      <c r="AN220" s="180" t="n">
        <f aca="false">AJ220*$D$22</f>
        <v>375.781810644876</v>
      </c>
      <c r="AO220" s="180" t="n">
        <f aca="false">$D$23*MAX(0,AM220-AJ220*$D$18)</f>
        <v>0</v>
      </c>
      <c r="AP220" s="180" t="n">
        <f aca="false">IF(AND($D$27=1,OR(MONTH($B220)=5,MONTH($B220)=11)),MAX(0,$D$28*MAX(0,(AJ220+AM220-AN220-AO220+AK220-AL220)+AS219-AR220)-AS219),0)</f>
        <v>3243.59008475238</v>
      </c>
      <c r="AQ220" s="181" t="n">
        <f aca="false">AJ220+AM220-AN220-AO220+AK220-AL220-AP220</f>
        <v>451372.147501594</v>
      </c>
      <c r="AR220" s="180" t="n">
        <f aca="false">AR219+AK220-AL220</f>
        <v>150000</v>
      </c>
      <c r="AS220" s="180" t="n">
        <f aca="false">AS219+AP220</f>
        <v>53183.3201473402</v>
      </c>
      <c r="AT220" s="180" t="n">
        <f aca="false">AQ220+AS220-AR220</f>
        <v>354555.467648935</v>
      </c>
      <c r="AU220" s="180" t="n">
        <f aca="false">MAX(0,IFERROR(INDEX(TAB_IR,MATCH($C220,TAB_IR_DIAS,1),MATCH($D$8,TAB_IR_REGIMES,0)),0)*IF($D$26=2,AQ220,MAX(0,AT220))-AS220)</f>
        <v>0</v>
      </c>
      <c r="AV220" s="181" t="n">
        <f aca="false">MAX(0,AQ220-AU220-AQ220*$D$25)</f>
        <v>451372.147501594</v>
      </c>
      <c r="AW220" s="180" t="n">
        <f aca="false">AV220/$D220</f>
        <v>268437.392233793</v>
      </c>
      <c r="AY220" s="180" t="n">
        <f aca="false">BF219</f>
        <v>574804.357751864</v>
      </c>
      <c r="AZ220" s="180" t="n">
        <f aca="false">IF($E$9=0,0,IF($A220&gt;IN_PRAZO,0,IF(APORTE_CORRIGIDO="Sim",IN_APORTE*$D220,IN_APORTE))+IF(AND($E$35=1,PGBL_REINVESTE="Sim",$A220&gt;=13,$A220&lt;=IN_PRAZO,MONTH($B220)=5),PGBL_BENEFICIO,0))</f>
        <v>0</v>
      </c>
      <c r="BA220" s="180" t="n">
        <f aca="false">AZ220*$E$24</f>
        <v>0</v>
      </c>
      <c r="BB220" s="180" t="n">
        <f aca="false">AY220*$E$19</f>
        <v>5626.61348423518</v>
      </c>
      <c r="BC220" s="180" t="n">
        <f aca="false">AY220*$E$22</f>
        <v>718.50544718983</v>
      </c>
      <c r="BD220" s="180" t="n">
        <f aca="false">$E$23*MAX(0,BB220-AY220*$E$18)</f>
        <v>0</v>
      </c>
      <c r="BE220" s="180" t="n">
        <f aca="false">IF(AND($E$27=1,OR(MONTH($B220)=5,MONTH($B220)=11)),MAX(0,$E$28*MAX(0,(AY220+BB220-BC220-BD220+AZ220-BA220)+BH219-BG220)-BH219),0)</f>
        <v>0</v>
      </c>
      <c r="BF220" s="181" t="n">
        <f aca="false">AY220+BB220-BC220-BD220+AZ220-BA220-BE220</f>
        <v>579712.46578891</v>
      </c>
      <c r="BG220" s="180" t="n">
        <f aca="false">BG219+AZ220-BA220</f>
        <v>150000</v>
      </c>
      <c r="BH220" s="180" t="n">
        <f aca="false">BH219+BE220</f>
        <v>0</v>
      </c>
      <c r="BI220" s="180" t="n">
        <f aca="false">BF220+BH220-BG220</f>
        <v>429712.46578891</v>
      </c>
      <c r="BJ220" s="180" t="n">
        <f aca="false">MAX(0,IFERROR(INDEX(TAB_IR,MATCH($C220,TAB_IR_DIAS,1),MATCH($E$8,TAB_IR_REGIMES,0)),0)*IF($E$26=2,BF220,MAX(0,BI220))-BH220)</f>
        <v>42971.246578891</v>
      </c>
      <c r="BK220" s="181" t="n">
        <f aca="false">MAX(0,BF220-BJ220-BF220*$E$25)</f>
        <v>536741.219210019</v>
      </c>
      <c r="BL220" s="180" t="n">
        <f aca="false">BK220/$D220</f>
        <v>319207.585108283</v>
      </c>
      <c r="BN220" s="180" t="n">
        <f aca="false">BU219</f>
        <v>574804.357751864</v>
      </c>
      <c r="BO220" s="180" t="n">
        <f aca="false">IF($F$9=0,0,IF($A220&gt;IN_PRAZO,0,IF(APORTE_CORRIGIDO="Sim",IN_APORTE*$D220,IN_APORTE))+IF(AND($F$35=1,PGBL_REINVESTE="Sim",$A220&gt;=13,$A220&lt;=IN_PRAZO,MONTH($B220)=5),PGBL_BENEFICIO,0))</f>
        <v>0</v>
      </c>
      <c r="BP220" s="180" t="n">
        <f aca="false">BO220*$F$24</f>
        <v>0</v>
      </c>
      <c r="BQ220" s="180" t="n">
        <f aca="false">BN220*$F$19</f>
        <v>5626.61348423518</v>
      </c>
      <c r="BR220" s="180" t="n">
        <f aca="false">BN220*$F$22</f>
        <v>718.50544718983</v>
      </c>
      <c r="BS220" s="180" t="n">
        <f aca="false">$F$23*MAX(0,BQ220-BN220*$F$18)</f>
        <v>0</v>
      </c>
      <c r="BT220" s="180" t="n">
        <f aca="false">IF(AND($F$27=1,OR(MONTH($B220)=5,MONTH($B220)=11)),MAX(0,$F$28*MAX(0,(BN220+BQ220-BR220-BS220+BO220-BP220)+BW219-BV220)-BW219),0)</f>
        <v>0</v>
      </c>
      <c r="BU220" s="181" t="n">
        <f aca="false">BN220+BQ220-BR220-BS220+BO220-BP220-BT220</f>
        <v>579712.46578891</v>
      </c>
      <c r="BV220" s="180" t="n">
        <f aca="false">BV219+BO220-BP220</f>
        <v>150000</v>
      </c>
      <c r="BW220" s="180" t="n">
        <f aca="false">BW219+BT220</f>
        <v>0</v>
      </c>
      <c r="BX220" s="180" t="n">
        <f aca="false">BU220+BW220-BV220</f>
        <v>429712.46578891</v>
      </c>
      <c r="BY220" s="180" t="n">
        <f aca="false">MAX(0,IFERROR(INDEX(TAB_IR,MATCH($C220,TAB_IR_DIAS,1),MATCH($F$8,TAB_IR_REGIMES,0)),0)*IF($F$26=2,BU220,MAX(0,BX220))-BW220)</f>
        <v>57971.246578891</v>
      </c>
      <c r="BZ220" s="181" t="n">
        <f aca="false">MAX(0,BU220-BY220-BU220*$F$25)</f>
        <v>521741.219210019</v>
      </c>
      <c r="CA220" s="180" t="n">
        <f aca="false">BZ220/$D220</f>
        <v>310286.873217232</v>
      </c>
      <c r="CC220" s="180" t="n">
        <f aca="false">CJ219</f>
        <v>403096.901142294</v>
      </c>
      <c r="CD220" s="180" t="n">
        <f aca="false">IF($G$9=0,0,IF($A220&gt;IN_PRAZO,0,IF(APORTE_CORRIGIDO="Sim",IN_APORTE*$D220,IN_APORTE))+IF(AND($G$35=1,PGBL_REINVESTE="Sim",$A220&gt;=13,$A220&lt;=IN_PRAZO,MONTH($B220)=5),PGBL_BENEFICIO,0))</f>
        <v>0</v>
      </c>
      <c r="CE220" s="180" t="n">
        <f aca="false">CD220*$G$24</f>
        <v>0</v>
      </c>
      <c r="CF220" s="180" t="n">
        <f aca="false">CC220*$G$19</f>
        <v>3288.15229737542</v>
      </c>
      <c r="CG220" s="180" t="n">
        <f aca="false">CC220*$G$22</f>
        <v>335.914084285245</v>
      </c>
      <c r="CH220" s="180" t="n">
        <f aca="false">$G$23*MAX(0,CF220-CC220*$G$18)</f>
        <v>0</v>
      </c>
      <c r="CI220" s="180" t="n">
        <f aca="false">IF(AND($G$27=1,OR(MONTH($B220)=5,MONTH($B220)=11)),MAX(0,$G$28*MAX(0,(CC220+CF220-CG220-CH220+CD220-CE220)+CL219-CK220)-CL219),0)</f>
        <v>2609.18452624594</v>
      </c>
      <c r="CJ220" s="181" t="n">
        <f aca="false">CC220+CF220-CG220-CH220+CD220-CE220-CI220</f>
        <v>403439.954829138</v>
      </c>
      <c r="CK220" s="180" t="n">
        <f aca="false">CK219+CD220-CE220</f>
        <v>150000</v>
      </c>
      <c r="CL220" s="180" t="n">
        <f aca="false">CL219+CI220</f>
        <v>44724.6979110244</v>
      </c>
      <c r="CM220" s="180" t="n">
        <f aca="false">CJ220+CL220-CK220</f>
        <v>298164.652740162</v>
      </c>
      <c r="CN220" s="180" t="n">
        <f aca="false">MAX(0,IFERROR(INDEX(TAB_IR,MATCH($C220,TAB_IR_DIAS,1),MATCH($G$8,TAB_IR_REGIMES,0)),0)*IF($G$26=2,CJ220,MAX(0,CM220))-CL220)</f>
        <v>0</v>
      </c>
      <c r="CO220" s="181" t="n">
        <f aca="false">MAX(0,CJ220-CN220-CJ220*$G$25)</f>
        <v>403439.954829138</v>
      </c>
      <c r="CP220" s="180" t="n">
        <f aca="false">CO220/$D220</f>
        <v>239931.440157969</v>
      </c>
    </row>
    <row r="221" customFormat="false" ht="12" hidden="false" customHeight="true" outlineLevel="0" collapsed="false">
      <c r="A221" s="177" t="n">
        <v>160</v>
      </c>
      <c r="B221" s="178" t="n">
        <f aca="false">EDATE(DATA_INICIO,$A221)</f>
        <v>51127</v>
      </c>
      <c r="C221" s="177" t="n">
        <f aca="false">$A221*30</f>
        <v>4800</v>
      </c>
      <c r="D221" s="179" t="n">
        <f aca="false">(1+IPCA_CENARIO)^($A221/12)</f>
        <v>1.68698488198337</v>
      </c>
      <c r="F221" s="180" t="n">
        <f aca="false">M220</f>
        <v>655886.198905189</v>
      </c>
      <c r="G221" s="180" t="n">
        <f aca="false">IF($B$9=0,0,IF($A221&gt;IN_PRAZO,0,IF(APORTE_CORRIGIDO="Sim",IN_APORTE*$D221,IN_APORTE))+IF(AND($B$35=1,PGBL_REINVESTE="Sim",$A221&gt;=13,$A221&lt;=IN_PRAZO,MONTH($B221)=5),PGBL_BENEFICIO,0))</f>
        <v>0</v>
      </c>
      <c r="H221" s="180" t="n">
        <f aca="false">G221*$B$24</f>
        <v>0</v>
      </c>
      <c r="I221" s="180" t="n">
        <f aca="false">F221*$B$19</f>
        <v>6223.56833006208</v>
      </c>
      <c r="J221" s="180" t="n">
        <f aca="false">F221*$B$22</f>
        <v>109.314366484198</v>
      </c>
      <c r="K221" s="180" t="n">
        <f aca="false">$B$23*MAX(0,I221-F221*$B$18)</f>
        <v>0</v>
      </c>
      <c r="L221" s="180" t="n">
        <f aca="false">IF(AND($B$27=1,OR(MONTH($B221)=5,MONTH($B221)=11)),MAX(0,$B$28*MAX(0,(F221+I221-J221-K221+G221-H221)+O220-N221)-O220),0)</f>
        <v>0</v>
      </c>
      <c r="M221" s="181" t="n">
        <f aca="false">F221+I221-J221-K221+G221-H221-L221</f>
        <v>662000.452868766</v>
      </c>
      <c r="N221" s="180" t="n">
        <f aca="false">N220+G221-H221</f>
        <v>150000</v>
      </c>
      <c r="O221" s="180" t="n">
        <f aca="false">O220+L221</f>
        <v>0</v>
      </c>
      <c r="P221" s="180" t="n">
        <f aca="false">M221+O221-N221</f>
        <v>512000.452868766</v>
      </c>
      <c r="Q221" s="180" t="n">
        <f aca="false">MAX(0,IFERROR(INDEX(TAB_IR,MATCH($C221,TAB_IR_DIAS,1),MATCH($B$8,TAB_IR_REGIMES,0)),0)*IF($B$26=2,M221,MAX(0,P221))-O221)</f>
        <v>76800.067930315</v>
      </c>
      <c r="R221" s="181" t="n">
        <f aca="false">MAX(0,M221-Q221-M221*$B$25)</f>
        <v>585200.384938452</v>
      </c>
      <c r="S221" s="180" t="n">
        <f aca="false">R221/$D221</f>
        <v>346891.303643717</v>
      </c>
      <c r="U221" s="180" t="n">
        <f aca="false">AB220</f>
        <v>531702.97750249</v>
      </c>
      <c r="V221" s="180" t="n">
        <f aca="false">IF($C$9=0,0,IF($A221&gt;IN_PRAZO,0,IF(APORTE_CORRIGIDO="Sim",IN_APORTE*$D221,IN_APORTE))+IF(AND($C$35=1,PGBL_REINVESTE="Sim",$A221&gt;=13,$A221&lt;=IN_PRAZO,MONTH($B221)=5),PGBL_BENEFICIO,0))</f>
        <v>0</v>
      </c>
      <c r="W221" s="180" t="n">
        <f aca="false">V221*$C$24</f>
        <v>0</v>
      </c>
      <c r="X221" s="180" t="n">
        <f aca="false">U221*$C$19</f>
        <v>4337.22105538838</v>
      </c>
      <c r="Y221" s="180" t="n">
        <f aca="false">U221*$C$22</f>
        <v>88.6171629170817</v>
      </c>
      <c r="Z221" s="180" t="n">
        <f aca="false">$C$23*MAX(0,X221-U221*$C$18)</f>
        <v>0</v>
      </c>
      <c r="AA221" s="180" t="n">
        <f aca="false">IF(AND($C$27=1,OR(MONTH($B221)=5,MONTH($B221)=11)),MAX(0,$C$28*MAX(0,(U221+X221-Y221-Z221+V221-W221)+AD220-AC221)-AD220),0)</f>
        <v>0</v>
      </c>
      <c r="AB221" s="181" t="n">
        <f aca="false">U221+X221-Y221-Z221+V221-W221-AA221</f>
        <v>535951.581394961</v>
      </c>
      <c r="AC221" s="180" t="n">
        <f aca="false">AC220+V221-W221</f>
        <v>150000</v>
      </c>
      <c r="AD221" s="180" t="n">
        <f aca="false">AD220+AA221</f>
        <v>0</v>
      </c>
      <c r="AE221" s="180" t="n">
        <f aca="false">AB221+AD221-AC221</f>
        <v>385951.581394961</v>
      </c>
      <c r="AF221" s="180" t="n">
        <f aca="false">MAX(0,IFERROR(INDEX(TAB_IR,MATCH($C221,TAB_IR_DIAS,1),MATCH($C$8,TAB_IR_REGIMES,0)),0)*IF($C$26=2,AB221,MAX(0,AE221))-AD221)</f>
        <v>57892.7372092442</v>
      </c>
      <c r="AG221" s="181" t="n">
        <f aca="false">MAX(0,AB221-AF221-AB221*$C$25)</f>
        <v>478058.844185717</v>
      </c>
      <c r="AH221" s="180" t="n">
        <f aca="false">AG221/$D221</f>
        <v>283380.633277324</v>
      </c>
      <c r="AJ221" s="180" t="n">
        <f aca="false">AQ220</f>
        <v>451372.147501594</v>
      </c>
      <c r="AK221" s="180" t="n">
        <f aca="false">IF($D$9=0,0,IF($A221&gt;IN_PRAZO,0,IF(APORTE_CORRIGIDO="Sim",IN_APORTE*$D221,IN_APORTE))+IF(AND($D$35=1,PGBL_REINVESTE="Sim",$A221&gt;=13,$A221&lt;=IN_PRAZO,MONTH($B221)=5),PGBL_BENEFICIO,0))</f>
        <v>0</v>
      </c>
      <c r="AL221" s="180" t="n">
        <f aca="false">AK221*$D$24</f>
        <v>0</v>
      </c>
      <c r="AM221" s="180" t="n">
        <f aca="false">AJ221*$D$19</f>
        <v>4057.24749049486</v>
      </c>
      <c r="AN221" s="180" t="n">
        <f aca="false">AJ221*$D$22</f>
        <v>376.143456251329</v>
      </c>
      <c r="AO221" s="180" t="n">
        <f aca="false">$D$23*MAX(0,AM221-AJ221*$D$18)</f>
        <v>0</v>
      </c>
      <c r="AP221" s="180" t="n">
        <f aca="false">IF(AND($D$27=1,OR(MONTH($B221)=5,MONTH($B221)=11)),MAX(0,$D$28*MAX(0,(AJ221+AM221-AN221-AO221+AK221-AL221)+AS220-AR221)-AS220),0)</f>
        <v>0</v>
      </c>
      <c r="AQ221" s="181" t="n">
        <f aca="false">AJ221+AM221-AN221-AO221+AK221-AL221-AP221</f>
        <v>455053.251535838</v>
      </c>
      <c r="AR221" s="180" t="n">
        <f aca="false">AR220+AK221-AL221</f>
        <v>150000</v>
      </c>
      <c r="AS221" s="180" t="n">
        <f aca="false">AS220+AP221</f>
        <v>53183.3201473402</v>
      </c>
      <c r="AT221" s="180" t="n">
        <f aca="false">AQ221+AS221-AR221</f>
        <v>358236.571683178</v>
      </c>
      <c r="AU221" s="180" t="n">
        <f aca="false">MAX(0,IFERROR(INDEX(TAB_IR,MATCH($C221,TAB_IR_DIAS,1),MATCH($D$8,TAB_IR_REGIMES,0)),0)*IF($D$26=2,AQ221,MAX(0,AT221))-AS221)</f>
        <v>552.165605136535</v>
      </c>
      <c r="AV221" s="181" t="n">
        <f aca="false">MAX(0,AQ221-AU221-AQ221*$D$25)</f>
        <v>454501.085930701</v>
      </c>
      <c r="AW221" s="180" t="n">
        <f aca="false">AV221/$D221</f>
        <v>269416.217527896</v>
      </c>
      <c r="AY221" s="180" t="n">
        <f aca="false">BF220</f>
        <v>579712.46578891</v>
      </c>
      <c r="AZ221" s="180" t="n">
        <f aca="false">IF($E$9=0,0,IF($A221&gt;IN_PRAZO,0,IF(APORTE_CORRIGIDO="Sim",IN_APORTE*$D221,IN_APORTE))+IF(AND($E$35=1,PGBL_REINVESTE="Sim",$A221&gt;=13,$A221&lt;=IN_PRAZO,MONTH($B221)=5),PGBL_BENEFICIO,0))</f>
        <v>0</v>
      </c>
      <c r="BA221" s="180" t="n">
        <f aca="false">AZ221*$E$24</f>
        <v>0</v>
      </c>
      <c r="BB221" s="180" t="n">
        <f aca="false">AY221*$E$19</f>
        <v>5674.65770396124</v>
      </c>
      <c r="BC221" s="180" t="n">
        <f aca="false">AY221*$E$22</f>
        <v>724.640582236137</v>
      </c>
      <c r="BD221" s="180" t="n">
        <f aca="false">$E$23*MAX(0,BB221-AY221*$E$18)</f>
        <v>0</v>
      </c>
      <c r="BE221" s="180" t="n">
        <f aca="false">IF(AND($E$27=1,OR(MONTH($B221)=5,MONTH($B221)=11)),MAX(0,$E$28*MAX(0,(AY221+BB221-BC221-BD221+AZ221-BA221)+BH220-BG221)-BH220),0)</f>
        <v>0</v>
      </c>
      <c r="BF221" s="181" t="n">
        <f aca="false">AY221+BB221-BC221-BD221+AZ221-BA221-BE221</f>
        <v>584662.482910635</v>
      </c>
      <c r="BG221" s="180" t="n">
        <f aca="false">BG220+AZ221-BA221</f>
        <v>150000</v>
      </c>
      <c r="BH221" s="180" t="n">
        <f aca="false">BH220+BE221</f>
        <v>0</v>
      </c>
      <c r="BI221" s="180" t="n">
        <f aca="false">BF221+BH221-BG221</f>
        <v>434662.482910635</v>
      </c>
      <c r="BJ221" s="180" t="n">
        <f aca="false">MAX(0,IFERROR(INDEX(TAB_IR,MATCH($C221,TAB_IR_DIAS,1),MATCH($E$8,TAB_IR_REGIMES,0)),0)*IF($E$26=2,BF221,MAX(0,BI221))-BH221)</f>
        <v>43466.2482910635</v>
      </c>
      <c r="BK221" s="181" t="n">
        <f aca="false">MAX(0,BF221-BJ221-BF221*$E$25)</f>
        <v>541196.234619571</v>
      </c>
      <c r="BL221" s="180" t="n">
        <f aca="false">BK221/$D221</f>
        <v>320806.807695452</v>
      </c>
      <c r="BN221" s="180" t="n">
        <f aca="false">BU220</f>
        <v>579712.46578891</v>
      </c>
      <c r="BO221" s="180" t="n">
        <f aca="false">IF($F$9=0,0,IF($A221&gt;IN_PRAZO,0,IF(APORTE_CORRIGIDO="Sim",IN_APORTE*$D221,IN_APORTE))+IF(AND($F$35=1,PGBL_REINVESTE="Sim",$A221&gt;=13,$A221&lt;=IN_PRAZO,MONTH($B221)=5),PGBL_BENEFICIO,0))</f>
        <v>0</v>
      </c>
      <c r="BP221" s="180" t="n">
        <f aca="false">BO221*$F$24</f>
        <v>0</v>
      </c>
      <c r="BQ221" s="180" t="n">
        <f aca="false">BN221*$F$19</f>
        <v>5674.65770396124</v>
      </c>
      <c r="BR221" s="180" t="n">
        <f aca="false">BN221*$F$22</f>
        <v>724.640582236137</v>
      </c>
      <c r="BS221" s="180" t="n">
        <f aca="false">$F$23*MAX(0,BQ221-BN221*$F$18)</f>
        <v>0</v>
      </c>
      <c r="BT221" s="180" t="n">
        <f aca="false">IF(AND($F$27=1,OR(MONTH($B221)=5,MONTH($B221)=11)),MAX(0,$F$28*MAX(0,(BN221+BQ221-BR221-BS221+BO221-BP221)+BW220-BV221)-BW220),0)</f>
        <v>0</v>
      </c>
      <c r="BU221" s="181" t="n">
        <f aca="false">BN221+BQ221-BR221-BS221+BO221-BP221-BT221</f>
        <v>584662.482910635</v>
      </c>
      <c r="BV221" s="180" t="n">
        <f aca="false">BV220+BO221-BP221</f>
        <v>150000</v>
      </c>
      <c r="BW221" s="180" t="n">
        <f aca="false">BW220+BT221</f>
        <v>0</v>
      </c>
      <c r="BX221" s="180" t="n">
        <f aca="false">BU221+BW221-BV221</f>
        <v>434662.482910635</v>
      </c>
      <c r="BY221" s="180" t="n">
        <f aca="false">MAX(0,IFERROR(INDEX(TAB_IR,MATCH($C221,TAB_IR_DIAS,1),MATCH($F$8,TAB_IR_REGIMES,0)),0)*IF($F$26=2,BU221,MAX(0,BX221))-BW221)</f>
        <v>58466.2482910635</v>
      </c>
      <c r="BZ221" s="181" t="n">
        <f aca="false">MAX(0,BU221-BY221-BU221*$F$25)</f>
        <v>526196.234619571</v>
      </c>
      <c r="CA221" s="180" t="n">
        <f aca="false">BZ221/$D221</f>
        <v>311915.204599184</v>
      </c>
      <c r="CC221" s="180" t="n">
        <f aca="false">CJ220</f>
        <v>403439.954829138</v>
      </c>
      <c r="CD221" s="180" t="n">
        <f aca="false">IF($G$9=0,0,IF($A221&gt;IN_PRAZO,0,IF(APORTE_CORRIGIDO="Sim",IN_APORTE*$D221,IN_APORTE))+IF(AND($G$35=1,PGBL_REINVESTE="Sim",$A221&gt;=13,$A221&lt;=IN_PRAZO,MONTH($B221)=5),PGBL_BENEFICIO,0))</f>
        <v>0</v>
      </c>
      <c r="CE221" s="180" t="n">
        <f aca="false">CD221*$G$24</f>
        <v>0</v>
      </c>
      <c r="CF221" s="180" t="n">
        <f aca="false">CC221*$G$19</f>
        <v>3290.95066363754</v>
      </c>
      <c r="CG221" s="180" t="n">
        <f aca="false">CC221*$G$22</f>
        <v>336.199962357615</v>
      </c>
      <c r="CH221" s="180" t="n">
        <f aca="false">$G$23*MAX(0,CF221-CC221*$G$18)</f>
        <v>0</v>
      </c>
      <c r="CI221" s="180" t="n">
        <f aca="false">IF(AND($G$27=1,OR(MONTH($B221)=5,MONTH($B221)=11)),MAX(0,$G$28*MAX(0,(CC221+CF221-CG221-CH221+CD221-CE221)+CL220-CK221)-CL220),0)</f>
        <v>0</v>
      </c>
      <c r="CJ221" s="181" t="n">
        <f aca="false">CC221+CF221-CG221-CH221+CD221-CE221-CI221</f>
        <v>406394.705530418</v>
      </c>
      <c r="CK221" s="180" t="n">
        <f aca="false">CK220+CD221-CE221</f>
        <v>150000</v>
      </c>
      <c r="CL221" s="180" t="n">
        <f aca="false">CL220+CI221</f>
        <v>44724.6979110244</v>
      </c>
      <c r="CM221" s="180" t="n">
        <f aca="false">CJ221+CL221-CK221</f>
        <v>301119.403441442</v>
      </c>
      <c r="CN221" s="180" t="n">
        <f aca="false">MAX(0,IFERROR(INDEX(TAB_IR,MATCH($C221,TAB_IR_DIAS,1),MATCH($G$8,TAB_IR_REGIMES,0)),0)*IF($G$26=2,CJ221,MAX(0,CM221))-CL221)</f>
        <v>443.212605191984</v>
      </c>
      <c r="CO221" s="181" t="n">
        <f aca="false">MAX(0,CJ221-CN221-CJ221*$G$25)</f>
        <v>405951.492925226</v>
      </c>
      <c r="CP221" s="180" t="n">
        <f aca="false">CO221/$D221</f>
        <v>240637.303428561</v>
      </c>
    </row>
    <row r="222" customFormat="false" ht="12" hidden="false" customHeight="true" outlineLevel="0" collapsed="false">
      <c r="A222" s="177" t="n">
        <v>161</v>
      </c>
      <c r="B222" s="178" t="n">
        <f aca="false">EDATE(DATA_INICIO,$A222)</f>
        <v>51158</v>
      </c>
      <c r="C222" s="177" t="n">
        <f aca="false">$A222*30</f>
        <v>4830</v>
      </c>
      <c r="D222" s="179" t="n">
        <f aca="false">(1+IPCA_CENARIO)^($A222/12)</f>
        <v>1.69250763150348</v>
      </c>
      <c r="F222" s="180" t="n">
        <f aca="false">M221</f>
        <v>662000.452868766</v>
      </c>
      <c r="G222" s="180" t="n">
        <f aca="false">IF($B$9=0,0,IF($A222&gt;IN_PRAZO,0,IF(APORTE_CORRIGIDO="Sim",IN_APORTE*$D222,IN_APORTE))+IF(AND($B$35=1,PGBL_REINVESTE="Sim",$A222&gt;=13,$A222&lt;=IN_PRAZO,MONTH($B222)=5),PGBL_BENEFICIO,0))</f>
        <v>0</v>
      </c>
      <c r="H222" s="180" t="n">
        <f aca="false">G222*$B$24</f>
        <v>0</v>
      </c>
      <c r="I222" s="180" t="n">
        <f aca="false">F222*$B$19</f>
        <v>6281.58521987193</v>
      </c>
      <c r="J222" s="180" t="n">
        <f aca="false">F222*$B$22</f>
        <v>110.333408811461</v>
      </c>
      <c r="K222" s="180" t="n">
        <f aca="false">$B$23*MAX(0,I222-F222*$B$18)</f>
        <v>0</v>
      </c>
      <c r="L222" s="180" t="n">
        <f aca="false">IF(AND($B$27=1,OR(MONTH($B222)=5,MONTH($B222)=11)),MAX(0,$B$28*MAX(0,(F222+I222-J222-K222+G222-H222)+O221-N222)-O221),0)</f>
        <v>0</v>
      </c>
      <c r="M222" s="181" t="n">
        <f aca="false">F222+I222-J222-K222+G222-H222-L222</f>
        <v>668171.704679827</v>
      </c>
      <c r="N222" s="180" t="n">
        <f aca="false">N221+G222-H222</f>
        <v>150000</v>
      </c>
      <c r="O222" s="180" t="n">
        <f aca="false">O221+L222</f>
        <v>0</v>
      </c>
      <c r="P222" s="180" t="n">
        <f aca="false">M222+O222-N222</f>
        <v>518171.704679827</v>
      </c>
      <c r="Q222" s="180" t="n">
        <f aca="false">MAX(0,IFERROR(INDEX(TAB_IR,MATCH($C222,TAB_IR_DIAS,1),MATCH($B$8,TAB_IR_REGIMES,0)),0)*IF($B$26=2,M222,MAX(0,P222))-O222)</f>
        <v>77725.755701974</v>
      </c>
      <c r="R222" s="181" t="n">
        <f aca="false">MAX(0,M222-Q222-M222*$B$25)</f>
        <v>590445.948977853</v>
      </c>
      <c r="S222" s="180" t="n">
        <f aca="false">R222/$D222</f>
        <v>348858.662724817</v>
      </c>
      <c r="U222" s="180" t="n">
        <f aca="false">AB221</f>
        <v>535951.581394961</v>
      </c>
      <c r="V222" s="180" t="n">
        <f aca="false">IF($C$9=0,0,IF($A222&gt;IN_PRAZO,0,IF(APORTE_CORRIGIDO="Sim",IN_APORTE*$D222,IN_APORTE))+IF(AND($C$35=1,PGBL_REINVESTE="Sim",$A222&gt;=13,$A222&lt;=IN_PRAZO,MONTH($B222)=5),PGBL_BENEFICIO,0))</f>
        <v>0</v>
      </c>
      <c r="W222" s="180" t="n">
        <f aca="false">V222*$C$24</f>
        <v>0</v>
      </c>
      <c r="X222" s="180" t="n">
        <f aca="false">U222*$C$19</f>
        <v>4371.87787515077</v>
      </c>
      <c r="Y222" s="180" t="n">
        <f aca="false">U222*$C$22</f>
        <v>89.3252635658269</v>
      </c>
      <c r="Z222" s="180" t="n">
        <f aca="false">$C$23*MAX(0,X222-U222*$C$18)</f>
        <v>0</v>
      </c>
      <c r="AA222" s="180" t="n">
        <f aca="false">IF(AND($C$27=1,OR(MONTH($B222)=5,MONTH($B222)=11)),MAX(0,$C$28*MAX(0,(U222+X222-Y222-Z222+V222-W222)+AD221-AC222)-AD221),0)</f>
        <v>0</v>
      </c>
      <c r="AB222" s="181" t="n">
        <f aca="false">U222+X222-Y222-Z222+V222-W222-AA222</f>
        <v>540234.134006546</v>
      </c>
      <c r="AC222" s="180" t="n">
        <f aca="false">AC221+V222-W222</f>
        <v>150000</v>
      </c>
      <c r="AD222" s="180" t="n">
        <f aca="false">AD221+AA222</f>
        <v>0</v>
      </c>
      <c r="AE222" s="180" t="n">
        <f aca="false">AB222+AD222-AC222</f>
        <v>390234.134006546</v>
      </c>
      <c r="AF222" s="180" t="n">
        <f aca="false">MAX(0,IFERROR(INDEX(TAB_IR,MATCH($C222,TAB_IR_DIAS,1),MATCH($C$8,TAB_IR_REGIMES,0)),0)*IF($C$26=2,AB222,MAX(0,AE222))-AD222)</f>
        <v>58535.1201009819</v>
      </c>
      <c r="AG222" s="181" t="n">
        <f aca="false">MAX(0,AB222-AF222-AB222*$C$25)</f>
        <v>481699.013905564</v>
      </c>
      <c r="AH222" s="180" t="n">
        <f aca="false">AG222/$D222</f>
        <v>284606.701287168</v>
      </c>
      <c r="AJ222" s="180" t="n">
        <f aca="false">AQ221</f>
        <v>455053.251535838</v>
      </c>
      <c r="AK222" s="180" t="n">
        <f aca="false">IF($D$9=0,0,IF($A222&gt;IN_PRAZO,0,IF(APORTE_CORRIGIDO="Sim",IN_APORTE*$D222,IN_APORTE))+IF(AND($D$35=1,PGBL_REINVESTE="Sim",$A222&gt;=13,$A222&lt;=IN_PRAZO,MONTH($B222)=5),PGBL_BENEFICIO,0))</f>
        <v>0</v>
      </c>
      <c r="AL222" s="180" t="n">
        <f aca="false">AK222*$D$24</f>
        <v>0</v>
      </c>
      <c r="AM222" s="180" t="n">
        <f aca="false">AJ222*$D$19</f>
        <v>4090.33581946654</v>
      </c>
      <c r="AN222" s="180" t="n">
        <f aca="false">AJ222*$D$22</f>
        <v>379.211042946532</v>
      </c>
      <c r="AO222" s="180" t="n">
        <f aca="false">$D$23*MAX(0,AM222-AJ222*$D$18)</f>
        <v>0</v>
      </c>
      <c r="AP222" s="180" t="n">
        <f aca="false">IF(AND($D$27=1,OR(MONTH($B222)=5,MONTH($B222)=11)),MAX(0,$D$28*MAX(0,(AJ222+AM222-AN222-AO222+AK222-AL222)+AS221-AR222)-AS221),0)</f>
        <v>0</v>
      </c>
      <c r="AQ222" s="181" t="n">
        <f aca="false">AJ222+AM222-AN222-AO222+AK222-AL222-AP222</f>
        <v>458764.376312358</v>
      </c>
      <c r="AR222" s="180" t="n">
        <f aca="false">AR221+AK222-AL222</f>
        <v>150000</v>
      </c>
      <c r="AS222" s="180" t="n">
        <f aca="false">AS221+AP222</f>
        <v>53183.3201473402</v>
      </c>
      <c r="AT222" s="180" t="n">
        <f aca="false">AQ222+AS222-AR222</f>
        <v>361947.696459698</v>
      </c>
      <c r="AU222" s="180" t="n">
        <f aca="false">MAX(0,IFERROR(INDEX(TAB_IR,MATCH($C222,TAB_IR_DIAS,1),MATCH($D$8,TAB_IR_REGIMES,0)),0)*IF($D$26=2,AQ222,MAX(0,AT222))-AS222)</f>
        <v>1108.83432161454</v>
      </c>
      <c r="AV222" s="181" t="n">
        <f aca="false">MAX(0,AQ222-AU222-AQ222*$D$25)</f>
        <v>457655.541990743</v>
      </c>
      <c r="AW222" s="180" t="n">
        <f aca="false">AV222/$D222</f>
        <v>270400.873515826</v>
      </c>
      <c r="AY222" s="180" t="n">
        <f aca="false">BF221</f>
        <v>584662.482910635</v>
      </c>
      <c r="AZ222" s="180" t="n">
        <f aca="false">IF($E$9=0,0,IF($A222&gt;IN_PRAZO,0,IF(APORTE_CORRIGIDO="Sim",IN_APORTE*$D222,IN_APORTE))+IF(AND($E$35=1,PGBL_REINVESTE="Sim",$A222&gt;=13,$A222&lt;=IN_PRAZO,MONTH($B222)=5),PGBL_BENEFICIO,0))</f>
        <v>0</v>
      </c>
      <c r="BA222" s="180" t="n">
        <f aca="false">AZ222*$E$24</f>
        <v>0</v>
      </c>
      <c r="BB222" s="180" t="n">
        <f aca="false">AY222*$E$19</f>
        <v>5723.11216104508</v>
      </c>
      <c r="BC222" s="180" t="n">
        <f aca="false">AY222*$E$22</f>
        <v>730.828103638294</v>
      </c>
      <c r="BD222" s="180" t="n">
        <f aca="false">$E$23*MAX(0,BB222-AY222*$E$18)</f>
        <v>0</v>
      </c>
      <c r="BE222" s="180" t="n">
        <f aca="false">IF(AND($E$27=1,OR(MONTH($B222)=5,MONTH($B222)=11)),MAX(0,$E$28*MAX(0,(AY222+BB222-BC222-BD222+AZ222-BA222)+BH221-BG222)-BH221),0)</f>
        <v>0</v>
      </c>
      <c r="BF222" s="181" t="n">
        <f aca="false">AY222+BB222-BC222-BD222+AZ222-BA222-BE222</f>
        <v>589654.766968042</v>
      </c>
      <c r="BG222" s="180" t="n">
        <f aca="false">BG221+AZ222-BA222</f>
        <v>150000</v>
      </c>
      <c r="BH222" s="180" t="n">
        <f aca="false">BH221+BE222</f>
        <v>0</v>
      </c>
      <c r="BI222" s="180" t="n">
        <f aca="false">BF222+BH222-BG222</f>
        <v>439654.766968042</v>
      </c>
      <c r="BJ222" s="180" t="n">
        <f aca="false">MAX(0,IFERROR(INDEX(TAB_IR,MATCH($C222,TAB_IR_DIAS,1),MATCH($E$8,TAB_IR_REGIMES,0)),0)*IF($E$26=2,BF222,MAX(0,BI222))-BH222)</f>
        <v>43965.4766968042</v>
      </c>
      <c r="BK222" s="181" t="n">
        <f aca="false">MAX(0,BF222-BJ222-BF222*$E$25)</f>
        <v>545689.290271238</v>
      </c>
      <c r="BL222" s="180" t="n">
        <f aca="false">BK222/$D222</f>
        <v>322414.670465322</v>
      </c>
      <c r="BN222" s="180" t="n">
        <f aca="false">BU221</f>
        <v>584662.482910635</v>
      </c>
      <c r="BO222" s="180" t="n">
        <f aca="false">IF($F$9=0,0,IF($A222&gt;IN_PRAZO,0,IF(APORTE_CORRIGIDO="Sim",IN_APORTE*$D222,IN_APORTE))+IF(AND($F$35=1,PGBL_REINVESTE="Sim",$A222&gt;=13,$A222&lt;=IN_PRAZO,MONTH($B222)=5),PGBL_BENEFICIO,0))</f>
        <v>0</v>
      </c>
      <c r="BP222" s="180" t="n">
        <f aca="false">BO222*$F$24</f>
        <v>0</v>
      </c>
      <c r="BQ222" s="180" t="n">
        <f aca="false">BN222*$F$19</f>
        <v>5723.11216104508</v>
      </c>
      <c r="BR222" s="180" t="n">
        <f aca="false">BN222*$F$22</f>
        <v>730.828103638294</v>
      </c>
      <c r="BS222" s="180" t="n">
        <f aca="false">$F$23*MAX(0,BQ222-BN222*$F$18)</f>
        <v>0</v>
      </c>
      <c r="BT222" s="180" t="n">
        <f aca="false">IF(AND($F$27=1,OR(MONTH($B222)=5,MONTH($B222)=11)),MAX(0,$F$28*MAX(0,(BN222+BQ222-BR222-BS222+BO222-BP222)+BW221-BV222)-BW221),0)</f>
        <v>0</v>
      </c>
      <c r="BU222" s="181" t="n">
        <f aca="false">BN222+BQ222-BR222-BS222+BO222-BP222-BT222</f>
        <v>589654.766968042</v>
      </c>
      <c r="BV222" s="180" t="n">
        <f aca="false">BV221+BO222-BP222</f>
        <v>150000</v>
      </c>
      <c r="BW222" s="180" t="n">
        <f aca="false">BW221+BT222</f>
        <v>0</v>
      </c>
      <c r="BX222" s="180" t="n">
        <f aca="false">BU222+BW222-BV222</f>
        <v>439654.766968042</v>
      </c>
      <c r="BY222" s="180" t="n">
        <f aca="false">MAX(0,IFERROR(INDEX(TAB_IR,MATCH($C222,TAB_IR_DIAS,1),MATCH($F$8,TAB_IR_REGIMES,0)),0)*IF($F$26=2,BU222,MAX(0,BX222))-BW222)</f>
        <v>58965.4766968042</v>
      </c>
      <c r="BZ222" s="181" t="n">
        <f aca="false">MAX(0,BU222-BY222-BU222*$F$25)</f>
        <v>530689.290271238</v>
      </c>
      <c r="CA222" s="180" t="n">
        <f aca="false">BZ222/$D222</f>
        <v>313552.08118017</v>
      </c>
      <c r="CC222" s="180" t="n">
        <f aca="false">CJ221</f>
        <v>406394.705530418</v>
      </c>
      <c r="CD222" s="180" t="n">
        <f aca="false">IF($G$9=0,0,IF($A222&gt;IN_PRAZO,0,IF(APORTE_CORRIGIDO="Sim",IN_APORTE*$D222,IN_APORTE))+IF(AND($G$35=1,PGBL_REINVESTE="Sim",$A222&gt;=13,$A222&lt;=IN_PRAZO,MONTH($B222)=5),PGBL_BENEFICIO,0))</f>
        <v>0</v>
      </c>
      <c r="CE222" s="180" t="n">
        <f aca="false">CD222*$G$24</f>
        <v>0</v>
      </c>
      <c r="CF222" s="180" t="n">
        <f aca="false">CC222*$G$19</f>
        <v>3315.05323123122</v>
      </c>
      <c r="CG222" s="180" t="n">
        <f aca="false">CC222*$G$22</f>
        <v>338.662254608682</v>
      </c>
      <c r="CH222" s="180" t="n">
        <f aca="false">$G$23*MAX(0,CF222-CC222*$G$18)</f>
        <v>0</v>
      </c>
      <c r="CI222" s="180" t="n">
        <f aca="false">IF(AND($G$27=1,OR(MONTH($B222)=5,MONTH($B222)=11)),MAX(0,$G$28*MAX(0,(CC222+CF222-CG222-CH222+CD222-CE222)+CL221-CK222)-CL221),0)</f>
        <v>0</v>
      </c>
      <c r="CJ222" s="181" t="n">
        <f aca="false">CC222+CF222-CG222-CH222+CD222-CE222-CI222</f>
        <v>409371.09650704</v>
      </c>
      <c r="CK222" s="180" t="n">
        <f aca="false">CK221+CD222-CE222</f>
        <v>150000</v>
      </c>
      <c r="CL222" s="180" t="n">
        <f aca="false">CL221+CI222</f>
        <v>44724.6979110244</v>
      </c>
      <c r="CM222" s="180" t="n">
        <f aca="false">CJ222+CL222-CK222</f>
        <v>304095.794418065</v>
      </c>
      <c r="CN222" s="180" t="n">
        <f aca="false">MAX(0,IFERROR(INDEX(TAB_IR,MATCH($C222,TAB_IR_DIAS,1),MATCH($G$8,TAB_IR_REGIMES,0)),0)*IF($G$26=2,CJ222,MAX(0,CM222))-CL222)</f>
        <v>889.671251685366</v>
      </c>
      <c r="CO222" s="181" t="n">
        <f aca="false">MAX(0,CJ222-CN222-CJ222*$G$25)</f>
        <v>408481.425255355</v>
      </c>
      <c r="CP222" s="180" t="n">
        <f aca="false">CO222/$D222</f>
        <v>241346.873510103</v>
      </c>
    </row>
    <row r="223" customFormat="false" ht="12" hidden="false" customHeight="true" outlineLevel="0" collapsed="false">
      <c r="A223" s="177" t="n">
        <v>162</v>
      </c>
      <c r="B223" s="178" t="n">
        <f aca="false">EDATE(DATA_INICIO,$A223)</f>
        <v>51189</v>
      </c>
      <c r="C223" s="177" t="n">
        <f aca="false">$A223*30</f>
        <v>4860</v>
      </c>
      <c r="D223" s="179" t="n">
        <f aca="false">(1+IPCA_CENARIO)^($A223/12)</f>
        <v>1.69804846106841</v>
      </c>
      <c r="F223" s="180" t="n">
        <f aca="false">M222</f>
        <v>668171.704679827</v>
      </c>
      <c r="G223" s="180" t="n">
        <f aca="false">IF($B$9=0,0,IF($A223&gt;IN_PRAZO,0,IF(APORTE_CORRIGIDO="Sim",IN_APORTE*$D223,IN_APORTE))+IF(AND($B$35=1,PGBL_REINVESTE="Sim",$A223&gt;=13,$A223&lt;=IN_PRAZO,MONTH($B223)=5),PGBL_BENEFICIO,0))</f>
        <v>0</v>
      </c>
      <c r="H223" s="180" t="n">
        <f aca="false">G223*$B$24</f>
        <v>0</v>
      </c>
      <c r="I223" s="180" t="n">
        <f aca="false">F223*$B$19</f>
        <v>6340.14295045425</v>
      </c>
      <c r="J223" s="180" t="n">
        <f aca="false">F223*$B$22</f>
        <v>111.361950779971</v>
      </c>
      <c r="K223" s="180" t="n">
        <f aca="false">$B$23*MAX(0,I223-F223*$B$18)</f>
        <v>0</v>
      </c>
      <c r="L223" s="180" t="n">
        <f aca="false">IF(AND($B$27=1,OR(MONTH($B223)=5,MONTH($B223)=11)),MAX(0,$B$28*MAX(0,(F223+I223-J223-K223+G223-H223)+O222-N223)-O222),0)</f>
        <v>0</v>
      </c>
      <c r="M223" s="181" t="n">
        <f aca="false">F223+I223-J223-K223+G223-H223-L223</f>
        <v>674400.485679501</v>
      </c>
      <c r="N223" s="180" t="n">
        <f aca="false">N222+G223-H223</f>
        <v>150000</v>
      </c>
      <c r="O223" s="180" t="n">
        <f aca="false">O222+L223</f>
        <v>0</v>
      </c>
      <c r="P223" s="180" t="n">
        <f aca="false">M223+O223-N223</f>
        <v>524400.485679501</v>
      </c>
      <c r="Q223" s="180" t="n">
        <f aca="false">MAX(0,IFERROR(INDEX(TAB_IR,MATCH($C223,TAB_IR_DIAS,1),MATCH($B$8,TAB_IR_REGIMES,0)),0)*IF($B$26=2,M223,MAX(0,P223))-O223)</f>
        <v>78660.0728519252</v>
      </c>
      <c r="R223" s="181" t="n">
        <f aca="false">MAX(0,M223-Q223-M223*$B$25)</f>
        <v>595740.412827576</v>
      </c>
      <c r="S223" s="180" t="n">
        <f aca="false">R223/$D223</f>
        <v>350838.286707517</v>
      </c>
      <c r="U223" s="180" t="n">
        <f aca="false">AB222</f>
        <v>540234.134006546</v>
      </c>
      <c r="V223" s="180" t="n">
        <f aca="false">IF($C$9=0,0,IF($A223&gt;IN_PRAZO,0,IF(APORTE_CORRIGIDO="Sim",IN_APORTE*$D223,IN_APORTE))+IF(AND($C$35=1,PGBL_REINVESTE="Sim",$A223&gt;=13,$A223&lt;=IN_PRAZO,MONTH($B223)=5),PGBL_BENEFICIO,0))</f>
        <v>0</v>
      </c>
      <c r="W223" s="180" t="n">
        <f aca="false">V223*$C$24</f>
        <v>0</v>
      </c>
      <c r="X223" s="180" t="n">
        <f aca="false">U223*$C$19</f>
        <v>4406.81162226842</v>
      </c>
      <c r="Y223" s="180" t="n">
        <f aca="false">U223*$C$22</f>
        <v>90.0390223344244</v>
      </c>
      <c r="Z223" s="180" t="n">
        <f aca="false">$C$23*MAX(0,X223-U223*$C$18)</f>
        <v>0</v>
      </c>
      <c r="AA223" s="180" t="n">
        <f aca="false">IF(AND($C$27=1,OR(MONTH($B223)=5,MONTH($B223)=11)),MAX(0,$C$28*MAX(0,(U223+X223-Y223-Z223+V223-W223)+AD222-AC223)-AD222),0)</f>
        <v>0</v>
      </c>
      <c r="AB223" s="181" t="n">
        <f aca="false">U223+X223-Y223-Z223+V223-W223-AA223</f>
        <v>544550.90660648</v>
      </c>
      <c r="AC223" s="180" t="n">
        <f aca="false">AC222+V223-W223</f>
        <v>150000</v>
      </c>
      <c r="AD223" s="180" t="n">
        <f aca="false">AD222+AA223</f>
        <v>0</v>
      </c>
      <c r="AE223" s="180" t="n">
        <f aca="false">AB223+AD223-AC223</f>
        <v>394550.90660648</v>
      </c>
      <c r="AF223" s="180" t="n">
        <f aca="false">MAX(0,IFERROR(INDEX(TAB_IR,MATCH($C223,TAB_IR_DIAS,1),MATCH($C$8,TAB_IR_REGIMES,0)),0)*IF($C$26=2,AB223,MAX(0,AE223))-AD223)</f>
        <v>59182.635990972</v>
      </c>
      <c r="AG223" s="181" t="n">
        <f aca="false">MAX(0,AB223-AF223-AB223*$C$25)</f>
        <v>485368.270615508</v>
      </c>
      <c r="AH223" s="180" t="n">
        <f aca="false">AG223/$D223</f>
        <v>285838.880187268</v>
      </c>
      <c r="AJ223" s="180" t="n">
        <f aca="false">AQ222</f>
        <v>458764.376312358</v>
      </c>
      <c r="AK223" s="180" t="n">
        <f aca="false">IF($D$9=0,0,IF($A223&gt;IN_PRAZO,0,IF(APORTE_CORRIGIDO="Sim",IN_APORTE*$D223,IN_APORTE))+IF(AND($D$35=1,PGBL_REINVESTE="Sim",$A223&gt;=13,$A223&lt;=IN_PRAZO,MONTH($B223)=5),PGBL_BENEFICIO,0))</f>
        <v>0</v>
      </c>
      <c r="AL223" s="180" t="n">
        <f aca="false">AK223*$D$24</f>
        <v>0</v>
      </c>
      <c r="AM223" s="180" t="n">
        <f aca="false">AJ223*$D$19</f>
        <v>4123.69399579574</v>
      </c>
      <c r="AN223" s="180" t="n">
        <f aca="false">AJ223*$D$22</f>
        <v>382.303646926965</v>
      </c>
      <c r="AO223" s="180" t="n">
        <f aca="false">$D$23*MAX(0,AM223-AJ223*$D$18)</f>
        <v>0</v>
      </c>
      <c r="AP223" s="180" t="n">
        <f aca="false">IF(AND($D$27=1,OR(MONTH($B223)=5,MONTH($B223)=11)),MAX(0,$D$28*MAX(0,(AJ223+AM223-AN223-AO223+AK223-AL223)+AS222-AR223)-AS222),0)</f>
        <v>0</v>
      </c>
      <c r="AQ223" s="181" t="n">
        <f aca="false">AJ223+AM223-AN223-AO223+AK223-AL223-AP223</f>
        <v>462505.766661227</v>
      </c>
      <c r="AR223" s="180" t="n">
        <f aca="false">AR222+AK223-AL223</f>
        <v>150000</v>
      </c>
      <c r="AS223" s="180" t="n">
        <f aca="false">AS222+AP223</f>
        <v>53183.3201473402</v>
      </c>
      <c r="AT223" s="180" t="n">
        <f aca="false">AQ223+AS223-AR223</f>
        <v>365689.086808567</v>
      </c>
      <c r="AU223" s="180" t="n">
        <f aca="false">MAX(0,IFERROR(INDEX(TAB_IR,MATCH($C223,TAB_IR_DIAS,1),MATCH($D$8,TAB_IR_REGIMES,0)),0)*IF($D$26=2,AQ223,MAX(0,AT223))-AS223)</f>
        <v>1670.04287394485</v>
      </c>
      <c r="AV223" s="181" t="n">
        <f aca="false">MAX(0,AQ223-AU223-AQ223*$D$25)</f>
        <v>460835.723787282</v>
      </c>
      <c r="AW223" s="180" t="n">
        <f aca="false">AV223/$D223</f>
        <v>271391.385082923</v>
      </c>
      <c r="AY223" s="180" t="n">
        <f aca="false">BF222</f>
        <v>589654.766968042</v>
      </c>
      <c r="AZ223" s="180" t="n">
        <f aca="false">IF($E$9=0,0,IF($A223&gt;IN_PRAZO,0,IF(APORTE_CORRIGIDO="Sim",IN_APORTE*$D223,IN_APORTE))+IF(AND($E$35=1,PGBL_REINVESTE="Sim",$A223&gt;=13,$A223&lt;=IN_PRAZO,MONTH($B223)=5),PGBL_BENEFICIO,0))</f>
        <v>0</v>
      </c>
      <c r="BA223" s="180" t="n">
        <f aca="false">AZ223*$E$24</f>
        <v>0</v>
      </c>
      <c r="BB223" s="180" t="n">
        <f aca="false">AY223*$E$19</f>
        <v>5771.98035839904</v>
      </c>
      <c r="BC223" s="180" t="n">
        <f aca="false">AY223*$E$22</f>
        <v>737.068458710052</v>
      </c>
      <c r="BD223" s="180" t="n">
        <f aca="false">$E$23*MAX(0,BB223-AY223*$E$18)</f>
        <v>0</v>
      </c>
      <c r="BE223" s="180" t="n">
        <f aca="false">IF(AND($E$27=1,OR(MONTH($B223)=5,MONTH($B223)=11)),MAX(0,$E$28*MAX(0,(AY223+BB223-BC223-BD223+AZ223-BA223)+BH222-BG223)-BH222),0)</f>
        <v>0</v>
      </c>
      <c r="BF223" s="181" t="n">
        <f aca="false">AY223+BB223-BC223-BD223+AZ223-BA223-BE223</f>
        <v>594689.678867731</v>
      </c>
      <c r="BG223" s="180" t="n">
        <f aca="false">BG222+AZ223-BA223</f>
        <v>150000</v>
      </c>
      <c r="BH223" s="180" t="n">
        <f aca="false">BH222+BE223</f>
        <v>0</v>
      </c>
      <c r="BI223" s="180" t="n">
        <f aca="false">BF223+BH223-BG223</f>
        <v>444689.678867731</v>
      </c>
      <c r="BJ223" s="180" t="n">
        <f aca="false">MAX(0,IFERROR(INDEX(TAB_IR,MATCH($C223,TAB_IR_DIAS,1),MATCH($E$8,TAB_IR_REGIMES,0)),0)*IF($E$26=2,BF223,MAX(0,BI223))-BH223)</f>
        <v>44468.9678867731</v>
      </c>
      <c r="BK223" s="181" t="n">
        <f aca="false">MAX(0,BF223-BJ223-BF223*$E$25)</f>
        <v>550220.710980958</v>
      </c>
      <c r="BL223" s="180" t="n">
        <f aca="false">BK223/$D223</f>
        <v>324031.217951671</v>
      </c>
      <c r="BN223" s="180" t="n">
        <f aca="false">BU222</f>
        <v>589654.766968042</v>
      </c>
      <c r="BO223" s="180" t="n">
        <f aca="false">IF($F$9=0,0,IF($A223&gt;IN_PRAZO,0,IF(APORTE_CORRIGIDO="Sim",IN_APORTE*$D223,IN_APORTE))+IF(AND($F$35=1,PGBL_REINVESTE="Sim",$A223&gt;=13,$A223&lt;=IN_PRAZO,MONTH($B223)=5),PGBL_BENEFICIO,0))</f>
        <v>0</v>
      </c>
      <c r="BP223" s="180" t="n">
        <f aca="false">BO223*$F$24</f>
        <v>0</v>
      </c>
      <c r="BQ223" s="180" t="n">
        <f aca="false">BN223*$F$19</f>
        <v>5771.98035839904</v>
      </c>
      <c r="BR223" s="180" t="n">
        <f aca="false">BN223*$F$22</f>
        <v>737.068458710052</v>
      </c>
      <c r="BS223" s="180" t="n">
        <f aca="false">$F$23*MAX(0,BQ223-BN223*$F$18)</f>
        <v>0</v>
      </c>
      <c r="BT223" s="180" t="n">
        <f aca="false">IF(AND($F$27=1,OR(MONTH($B223)=5,MONTH($B223)=11)),MAX(0,$F$28*MAX(0,(BN223+BQ223-BR223-BS223+BO223-BP223)+BW222-BV223)-BW222),0)</f>
        <v>0</v>
      </c>
      <c r="BU223" s="181" t="n">
        <f aca="false">BN223+BQ223-BR223-BS223+BO223-BP223-BT223</f>
        <v>594689.678867731</v>
      </c>
      <c r="BV223" s="180" t="n">
        <f aca="false">BV222+BO223-BP223</f>
        <v>150000</v>
      </c>
      <c r="BW223" s="180" t="n">
        <f aca="false">BW222+BT223</f>
        <v>0</v>
      </c>
      <c r="BX223" s="180" t="n">
        <f aca="false">BU223+BW223-BV223</f>
        <v>444689.678867731</v>
      </c>
      <c r="BY223" s="180" t="n">
        <f aca="false">MAX(0,IFERROR(INDEX(TAB_IR,MATCH($C223,TAB_IR_DIAS,1),MATCH($F$8,TAB_IR_REGIMES,0)),0)*IF($F$26=2,BU223,MAX(0,BX223))-BW223)</f>
        <v>59468.9678867731</v>
      </c>
      <c r="BZ223" s="181" t="n">
        <f aca="false">MAX(0,BU223-BY223-BU223*$F$25)</f>
        <v>535220.710980958</v>
      </c>
      <c r="CA223" s="180" t="n">
        <f aca="false">BZ223/$D223</f>
        <v>315197.547803905</v>
      </c>
      <c r="CC223" s="180" t="n">
        <f aca="false">CJ222</f>
        <v>409371.09650704</v>
      </c>
      <c r="CD223" s="180" t="n">
        <f aca="false">IF($G$9=0,0,IF($A223&gt;IN_PRAZO,0,IF(APORTE_CORRIGIDO="Sim",IN_APORTE*$D223,IN_APORTE))+IF(AND($G$35=1,PGBL_REINVESTE="Sim",$A223&gt;=13,$A223&lt;=IN_PRAZO,MONTH($B223)=5),PGBL_BENEFICIO,0))</f>
        <v>0</v>
      </c>
      <c r="CE223" s="180" t="n">
        <f aca="false">CD223*$G$24</f>
        <v>0</v>
      </c>
      <c r="CF223" s="180" t="n">
        <f aca="false">CC223*$G$19</f>
        <v>3339.33232342948</v>
      </c>
      <c r="CG223" s="180" t="n">
        <f aca="false">CC223*$G$22</f>
        <v>341.142580422534</v>
      </c>
      <c r="CH223" s="180" t="n">
        <f aca="false">$G$23*MAX(0,CF223-CC223*$G$18)</f>
        <v>0</v>
      </c>
      <c r="CI223" s="180" t="n">
        <f aca="false">IF(AND($G$27=1,OR(MONTH($B223)=5,MONTH($B223)=11)),MAX(0,$G$28*MAX(0,(CC223+CF223-CG223-CH223+CD223-CE223)+CL222-CK223)-CL222),0)</f>
        <v>0</v>
      </c>
      <c r="CJ223" s="181" t="n">
        <f aca="false">CC223+CF223-CG223-CH223+CD223-CE223-CI223</f>
        <v>412369.286250047</v>
      </c>
      <c r="CK223" s="180" t="n">
        <f aca="false">CK222+CD223-CE223</f>
        <v>150000</v>
      </c>
      <c r="CL223" s="180" t="n">
        <f aca="false">CL222+CI223</f>
        <v>44724.6979110244</v>
      </c>
      <c r="CM223" s="180" t="n">
        <f aca="false">CJ223+CL223-CK223</f>
        <v>307093.984161072</v>
      </c>
      <c r="CN223" s="180" t="n">
        <f aca="false">MAX(0,IFERROR(INDEX(TAB_IR,MATCH($C223,TAB_IR_DIAS,1),MATCH($G$8,TAB_IR_REGIMES,0)),0)*IF($G$26=2,CJ223,MAX(0,CM223))-CL223)</f>
        <v>1339.39971313641</v>
      </c>
      <c r="CO223" s="181" t="n">
        <f aca="false">MAX(0,CJ223-CN223-CJ223*$G$25)</f>
        <v>411029.886536911</v>
      </c>
      <c r="CP223" s="180" t="n">
        <f aca="false">CO223/$D223</f>
        <v>242060.162569384</v>
      </c>
    </row>
    <row r="224" customFormat="false" ht="12" hidden="false" customHeight="true" outlineLevel="0" collapsed="false">
      <c r="A224" s="177" t="n">
        <v>163</v>
      </c>
      <c r="B224" s="178" t="n">
        <f aca="false">EDATE(DATA_INICIO,$A224)</f>
        <v>51218</v>
      </c>
      <c r="C224" s="177" t="n">
        <f aca="false">$A224*30</f>
        <v>4890</v>
      </c>
      <c r="D224" s="179" t="n">
        <f aca="false">(1+IPCA_CENARIO)^($A224/12)</f>
        <v>1.70360742986751</v>
      </c>
      <c r="F224" s="180" t="n">
        <f aca="false">M223</f>
        <v>674400.485679501</v>
      </c>
      <c r="G224" s="180" t="n">
        <f aca="false">IF($B$9=0,0,IF($A224&gt;IN_PRAZO,0,IF(APORTE_CORRIGIDO="Sim",IN_APORTE*$D224,IN_APORTE))+IF(AND($B$35=1,PGBL_REINVESTE="Sim",$A224&gt;=13,$A224&lt;=IN_PRAZO,MONTH($B224)=5),PGBL_BENEFICIO,0))</f>
        <v>0</v>
      </c>
      <c r="H224" s="180" t="n">
        <f aca="false">G224*$B$24</f>
        <v>0</v>
      </c>
      <c r="I224" s="180" t="n">
        <f aca="false">F224*$B$19</f>
        <v>6399.24656359503</v>
      </c>
      <c r="J224" s="180" t="n">
        <f aca="false">F224*$B$22</f>
        <v>112.400080946584</v>
      </c>
      <c r="K224" s="180" t="n">
        <f aca="false">$B$23*MAX(0,I224-F224*$B$18)</f>
        <v>0</v>
      </c>
      <c r="L224" s="180" t="n">
        <f aca="false">IF(AND($B$27=1,OR(MONTH($B224)=5,MONTH($B224)=11)),MAX(0,$B$28*MAX(0,(F224+I224-J224-K224+G224-H224)+O223-N224)-O223),0)</f>
        <v>0</v>
      </c>
      <c r="M224" s="181" t="n">
        <f aca="false">F224+I224-J224-K224+G224-H224-L224</f>
        <v>680687.33216215</v>
      </c>
      <c r="N224" s="180" t="n">
        <f aca="false">N223+G224-H224</f>
        <v>150000</v>
      </c>
      <c r="O224" s="180" t="n">
        <f aca="false">O223+L224</f>
        <v>0</v>
      </c>
      <c r="P224" s="180" t="n">
        <f aca="false">M224+O224-N224</f>
        <v>530687.33216215</v>
      </c>
      <c r="Q224" s="180" t="n">
        <f aca="false">MAX(0,IFERROR(INDEX(TAB_IR,MATCH($C224,TAB_IR_DIAS,1),MATCH($B$8,TAB_IR_REGIMES,0)),0)*IF($B$26=2,M224,MAX(0,P224))-O224)</f>
        <v>79603.0998243224</v>
      </c>
      <c r="R224" s="181" t="n">
        <f aca="false">MAX(0,M224-Q224-M224*$B$25)</f>
        <v>601084.232337827</v>
      </c>
      <c r="S224" s="180" t="n">
        <f aca="false">R224/$D224</f>
        <v>352830.248213095</v>
      </c>
      <c r="U224" s="180" t="n">
        <f aca="false">AB223</f>
        <v>544550.90660648</v>
      </c>
      <c r="V224" s="180" t="n">
        <f aca="false">IF($C$9=0,0,IF($A224&gt;IN_PRAZO,0,IF(APORTE_CORRIGIDO="Sim",IN_APORTE*$D224,IN_APORTE))+IF(AND($C$35=1,PGBL_REINVESTE="Sim",$A224&gt;=13,$A224&lt;=IN_PRAZO,MONTH($B224)=5),PGBL_BENEFICIO,0))</f>
        <v>0</v>
      </c>
      <c r="W224" s="180" t="n">
        <f aca="false">V224*$C$24</f>
        <v>0</v>
      </c>
      <c r="X224" s="180" t="n">
        <f aca="false">U224*$C$19</f>
        <v>4442.02450954564</v>
      </c>
      <c r="Y224" s="180" t="n">
        <f aca="false">U224*$C$22</f>
        <v>90.7584844344134</v>
      </c>
      <c r="Z224" s="180" t="n">
        <f aca="false">$C$23*MAX(0,X224-U224*$C$18)</f>
        <v>0</v>
      </c>
      <c r="AA224" s="180" t="n">
        <f aca="false">IF(AND($C$27=1,OR(MONTH($B224)=5,MONTH($B224)=11)),MAX(0,$C$28*MAX(0,(U224+X224-Y224-Z224+V224-W224)+AD223-AC224)-AD223),0)</f>
        <v>0</v>
      </c>
      <c r="AB224" s="181" t="n">
        <f aca="false">U224+X224-Y224-Z224+V224-W224-AA224</f>
        <v>548902.172631591</v>
      </c>
      <c r="AC224" s="180" t="n">
        <f aca="false">AC223+V224-W224</f>
        <v>150000</v>
      </c>
      <c r="AD224" s="180" t="n">
        <f aca="false">AD223+AA224</f>
        <v>0</v>
      </c>
      <c r="AE224" s="180" t="n">
        <f aca="false">AB224+AD224-AC224</f>
        <v>398902.172631591</v>
      </c>
      <c r="AF224" s="180" t="n">
        <f aca="false">MAX(0,IFERROR(INDEX(TAB_IR,MATCH($C224,TAB_IR_DIAS,1),MATCH($C$8,TAB_IR_REGIMES,0)),0)*IF($C$26=2,AB224,MAX(0,AE224))-AD224)</f>
        <v>59835.3258947387</v>
      </c>
      <c r="AG224" s="181" t="n">
        <f aca="false">MAX(0,AB224-AF224-AB224*$C$25)</f>
        <v>489066.846736853</v>
      </c>
      <c r="AH224" s="180" t="n">
        <f aca="false">AG224/$D224</f>
        <v>287077.19757649</v>
      </c>
      <c r="AJ224" s="180" t="n">
        <f aca="false">AQ223</f>
        <v>462505.766661227</v>
      </c>
      <c r="AK224" s="180" t="n">
        <f aca="false">IF($D$9=0,0,IF($A224&gt;IN_PRAZO,0,IF(APORTE_CORRIGIDO="Sim",IN_APORTE*$D224,IN_APORTE))+IF(AND($D$35=1,PGBL_REINVESTE="Sim",$A224&gt;=13,$A224&lt;=IN_PRAZO,MONTH($B224)=5),PGBL_BENEFICIO,0))</f>
        <v>0</v>
      </c>
      <c r="AL224" s="180" t="n">
        <f aca="false">AK224*$D$24</f>
        <v>0</v>
      </c>
      <c r="AM224" s="180" t="n">
        <f aca="false">AJ224*$D$19</f>
        <v>4157.32422018582</v>
      </c>
      <c r="AN224" s="180" t="n">
        <f aca="false">AJ224*$D$22</f>
        <v>385.421472217689</v>
      </c>
      <c r="AO224" s="180" t="n">
        <f aca="false">$D$23*MAX(0,AM224-AJ224*$D$18)</f>
        <v>0</v>
      </c>
      <c r="AP224" s="180" t="n">
        <f aca="false">IF(AND($D$27=1,OR(MONTH($B224)=5,MONTH($B224)=11)),MAX(0,$D$28*MAX(0,(AJ224+AM224-AN224-AO224+AK224-AL224)+AS223-AR224)-AS223),0)</f>
        <v>0</v>
      </c>
      <c r="AQ224" s="181" t="n">
        <f aca="false">AJ224+AM224-AN224-AO224+AK224-AL224-AP224</f>
        <v>466277.669409195</v>
      </c>
      <c r="AR224" s="180" t="n">
        <f aca="false">AR223+AK224-AL224</f>
        <v>150000</v>
      </c>
      <c r="AS224" s="180" t="n">
        <f aca="false">AS223+AP224</f>
        <v>53183.3201473402</v>
      </c>
      <c r="AT224" s="180" t="n">
        <f aca="false">AQ224+AS224-AR224</f>
        <v>369460.989556535</v>
      </c>
      <c r="AU224" s="180" t="n">
        <f aca="false">MAX(0,IFERROR(INDEX(TAB_IR,MATCH($C224,TAB_IR_DIAS,1),MATCH($D$8,TAB_IR_REGIMES,0)),0)*IF($D$26=2,AQ224,MAX(0,AT224))-AS224)</f>
        <v>2235.82828614007</v>
      </c>
      <c r="AV224" s="181" t="n">
        <f aca="false">MAX(0,AQ224-AU224-AQ224*$D$25)</f>
        <v>464041.841123055</v>
      </c>
      <c r="AW224" s="180" t="n">
        <f aca="false">AV224/$D224</f>
        <v>272387.777246982</v>
      </c>
      <c r="AY224" s="180" t="n">
        <f aca="false">BF223</f>
        <v>594689.678867731</v>
      </c>
      <c r="AZ224" s="180" t="n">
        <f aca="false">IF($E$9=0,0,IF($A224&gt;IN_PRAZO,0,IF(APORTE_CORRIGIDO="Sim",IN_APORTE*$D224,IN_APORTE))+IF(AND($E$35=1,PGBL_REINVESTE="Sim",$A224&gt;=13,$A224&lt;=IN_PRAZO,MONTH($B224)=5),PGBL_BENEFICIO,0))</f>
        <v>0</v>
      </c>
      <c r="BA224" s="180" t="n">
        <f aca="false">AZ224*$E$24</f>
        <v>0</v>
      </c>
      <c r="BB224" s="180" t="n">
        <f aca="false">AY224*$E$19</f>
        <v>5821.26582884594</v>
      </c>
      <c r="BC224" s="180" t="n">
        <f aca="false">AY224*$E$22</f>
        <v>743.362098584663</v>
      </c>
      <c r="BD224" s="180" t="n">
        <f aca="false">$E$23*MAX(0,BB224-AY224*$E$18)</f>
        <v>0</v>
      </c>
      <c r="BE224" s="180" t="n">
        <f aca="false">IF(AND($E$27=1,OR(MONTH($B224)=5,MONTH($B224)=11)),MAX(0,$E$28*MAX(0,(AY224+BB224-BC224-BD224+AZ224-BA224)+BH223-BG224)-BH223),0)</f>
        <v>0</v>
      </c>
      <c r="BF224" s="181" t="n">
        <f aca="false">AY224+BB224-BC224-BD224+AZ224-BA224-BE224</f>
        <v>599767.582597992</v>
      </c>
      <c r="BG224" s="180" t="n">
        <f aca="false">BG223+AZ224-BA224</f>
        <v>150000</v>
      </c>
      <c r="BH224" s="180" t="n">
        <f aca="false">BH223+BE224</f>
        <v>0</v>
      </c>
      <c r="BI224" s="180" t="n">
        <f aca="false">BF224+BH224-BG224</f>
        <v>449767.582597992</v>
      </c>
      <c r="BJ224" s="180" t="n">
        <f aca="false">MAX(0,IFERROR(INDEX(TAB_IR,MATCH($C224,TAB_IR_DIAS,1),MATCH($E$8,TAB_IR_REGIMES,0)),0)*IF($E$26=2,BF224,MAX(0,BI224))-BH224)</f>
        <v>44976.7582597992</v>
      </c>
      <c r="BK224" s="181" t="n">
        <f aca="false">MAX(0,BF224-BJ224-BF224*$E$25)</f>
        <v>554790.824338193</v>
      </c>
      <c r="BL224" s="180" t="n">
        <f aca="false">BK224/$D224</f>
        <v>325656.494924619</v>
      </c>
      <c r="BN224" s="180" t="n">
        <f aca="false">BU223</f>
        <v>594689.678867731</v>
      </c>
      <c r="BO224" s="180" t="n">
        <f aca="false">IF($F$9=0,0,IF($A224&gt;IN_PRAZO,0,IF(APORTE_CORRIGIDO="Sim",IN_APORTE*$D224,IN_APORTE))+IF(AND($F$35=1,PGBL_REINVESTE="Sim",$A224&gt;=13,$A224&lt;=IN_PRAZO,MONTH($B224)=5),PGBL_BENEFICIO,0))</f>
        <v>0</v>
      </c>
      <c r="BP224" s="180" t="n">
        <f aca="false">BO224*$F$24</f>
        <v>0</v>
      </c>
      <c r="BQ224" s="180" t="n">
        <f aca="false">BN224*$F$19</f>
        <v>5821.26582884594</v>
      </c>
      <c r="BR224" s="180" t="n">
        <f aca="false">BN224*$F$22</f>
        <v>743.362098584663</v>
      </c>
      <c r="BS224" s="180" t="n">
        <f aca="false">$F$23*MAX(0,BQ224-BN224*$F$18)</f>
        <v>0</v>
      </c>
      <c r="BT224" s="180" t="n">
        <f aca="false">IF(AND($F$27=1,OR(MONTH($B224)=5,MONTH($B224)=11)),MAX(0,$F$28*MAX(0,(BN224+BQ224-BR224-BS224+BO224-BP224)+BW223-BV224)-BW223),0)</f>
        <v>0</v>
      </c>
      <c r="BU224" s="181" t="n">
        <f aca="false">BN224+BQ224-BR224-BS224+BO224-BP224-BT224</f>
        <v>599767.582597992</v>
      </c>
      <c r="BV224" s="180" t="n">
        <f aca="false">BV223+BO224-BP224</f>
        <v>150000</v>
      </c>
      <c r="BW224" s="180" t="n">
        <f aca="false">BW223+BT224</f>
        <v>0</v>
      </c>
      <c r="BX224" s="180" t="n">
        <f aca="false">BU224+BW224-BV224</f>
        <v>449767.582597992</v>
      </c>
      <c r="BY224" s="180" t="n">
        <f aca="false">MAX(0,IFERROR(INDEX(TAB_IR,MATCH($C224,TAB_IR_DIAS,1),MATCH($F$8,TAB_IR_REGIMES,0)),0)*IF($F$26=2,BU224,MAX(0,BX224))-BW224)</f>
        <v>59976.7582597992</v>
      </c>
      <c r="BZ224" s="181" t="n">
        <f aca="false">MAX(0,BU224-BY224-BU224*$F$25)</f>
        <v>539790.824338193</v>
      </c>
      <c r="CA224" s="180" t="n">
        <f aca="false">BZ224/$D224</f>
        <v>316851.649549434</v>
      </c>
      <c r="CC224" s="180" t="n">
        <f aca="false">CJ223</f>
        <v>412369.286250047</v>
      </c>
      <c r="CD224" s="180" t="n">
        <f aca="false">IF($G$9=0,0,IF($A224&gt;IN_PRAZO,0,IF(APORTE_CORRIGIDO="Sim",IN_APORTE*$D224,IN_APORTE))+IF(AND($G$35=1,PGBL_REINVESTE="Sim",$A224&gt;=13,$A224&lt;=IN_PRAZO,MONTH($B224)=5),PGBL_BENEFICIO,0))</f>
        <v>0</v>
      </c>
      <c r="CE224" s="180" t="n">
        <f aca="false">CD224*$G$24</f>
        <v>0</v>
      </c>
      <c r="CF224" s="180" t="n">
        <f aca="false">CC224*$G$19</f>
        <v>3363.78923307949</v>
      </c>
      <c r="CG224" s="180" t="n">
        <f aca="false">CC224*$G$22</f>
        <v>343.64107187504</v>
      </c>
      <c r="CH224" s="180" t="n">
        <f aca="false">$G$23*MAX(0,CF224-CC224*$G$18)</f>
        <v>0</v>
      </c>
      <c r="CI224" s="180" t="n">
        <f aca="false">IF(AND($G$27=1,OR(MONTH($B224)=5,MONTH($B224)=11)),MAX(0,$G$28*MAX(0,(CC224+CF224-CG224-CH224+CD224-CE224)+CL223-CK224)-CL223),0)</f>
        <v>0</v>
      </c>
      <c r="CJ224" s="181" t="n">
        <f aca="false">CC224+CF224-CG224-CH224+CD224-CE224-CI224</f>
        <v>415389.434411252</v>
      </c>
      <c r="CK224" s="180" t="n">
        <f aca="false">CK223+CD224-CE224</f>
        <v>150000</v>
      </c>
      <c r="CL224" s="180" t="n">
        <f aca="false">CL223+CI224</f>
        <v>44724.6979110244</v>
      </c>
      <c r="CM224" s="180" t="n">
        <f aca="false">CJ224+CL224-CK224</f>
        <v>310114.132322276</v>
      </c>
      <c r="CN224" s="180" t="n">
        <f aca="false">MAX(0,IFERROR(INDEX(TAB_IR,MATCH($C224,TAB_IR_DIAS,1),MATCH($G$8,TAB_IR_REGIMES,0)),0)*IF($G$26=2,CJ224,MAX(0,CM224))-CL224)</f>
        <v>1792.42193731707</v>
      </c>
      <c r="CO224" s="181" t="n">
        <f aca="false">MAX(0,CJ224-CN224-CJ224*$G$25)</f>
        <v>413597.012473935</v>
      </c>
      <c r="CP224" s="180" t="n">
        <f aca="false">CO224/$D224</f>
        <v>242777.182831434</v>
      </c>
    </row>
    <row r="225" customFormat="false" ht="12" hidden="false" customHeight="true" outlineLevel="0" collapsed="false">
      <c r="A225" s="177" t="n">
        <v>164</v>
      </c>
      <c r="B225" s="178" t="n">
        <f aca="false">EDATE(DATA_INICIO,$A225)</f>
        <v>51249</v>
      </c>
      <c r="C225" s="177" t="n">
        <f aca="false">$A225*30</f>
        <v>4920</v>
      </c>
      <c r="D225" s="179" t="n">
        <f aca="false">(1+IPCA_CENARIO)^($A225/12)</f>
        <v>1.70918459728392</v>
      </c>
      <c r="F225" s="180" t="n">
        <f aca="false">M224</f>
        <v>680687.33216215</v>
      </c>
      <c r="G225" s="180" t="n">
        <f aca="false">IF($B$9=0,0,IF($A225&gt;IN_PRAZO,0,IF(APORTE_CORRIGIDO="Sim",IN_APORTE*$D225,IN_APORTE))+IF(AND($B$35=1,PGBL_REINVESTE="Sim",$A225&gt;=13,$A225&lt;=IN_PRAZO,MONTH($B225)=5),PGBL_BENEFICIO,0))</f>
        <v>0</v>
      </c>
      <c r="H225" s="180" t="n">
        <f aca="false">G225*$B$24</f>
        <v>0</v>
      </c>
      <c r="I225" s="180" t="n">
        <f aca="false">F225*$B$19</f>
        <v>6458.90114808039</v>
      </c>
      <c r="J225" s="180" t="n">
        <f aca="false">F225*$B$22</f>
        <v>113.447888693692</v>
      </c>
      <c r="K225" s="180" t="n">
        <f aca="false">$B$23*MAX(0,I225-F225*$B$18)</f>
        <v>0</v>
      </c>
      <c r="L225" s="180" t="n">
        <f aca="false">IF(AND($B$27=1,OR(MONTH($B225)=5,MONTH($B225)=11)),MAX(0,$B$28*MAX(0,(F225+I225-J225-K225+G225-H225)+O224-N225)-O224),0)</f>
        <v>0</v>
      </c>
      <c r="M225" s="181" t="n">
        <f aca="false">F225+I225-J225-K225+G225-H225-L225</f>
        <v>687032.785421536</v>
      </c>
      <c r="N225" s="180" t="n">
        <f aca="false">N224+G225-H225</f>
        <v>150000</v>
      </c>
      <c r="O225" s="180" t="n">
        <f aca="false">O224+L225</f>
        <v>0</v>
      </c>
      <c r="P225" s="180" t="n">
        <f aca="false">M225+O225-N225</f>
        <v>537032.785421536</v>
      </c>
      <c r="Q225" s="180" t="n">
        <f aca="false">MAX(0,IFERROR(INDEX(TAB_IR,MATCH($C225,TAB_IR_DIAS,1),MATCH($B$8,TAB_IR_REGIMES,0)),0)*IF($B$26=2,M225,MAX(0,P225))-O225)</f>
        <v>80554.9178132304</v>
      </c>
      <c r="R225" s="181" t="n">
        <f aca="false">MAX(0,M225-Q225-M225*$B$25)</f>
        <v>606477.867608306</v>
      </c>
      <c r="S225" s="180" t="n">
        <f aca="false">R225/$D225</f>
        <v>354834.620304949</v>
      </c>
      <c r="U225" s="180" t="n">
        <f aca="false">AB224</f>
        <v>548902.172631591</v>
      </c>
      <c r="V225" s="180" t="n">
        <f aca="false">IF($C$9=0,0,IF($A225&gt;IN_PRAZO,0,IF(APORTE_CORRIGIDO="Sim",IN_APORTE*$D225,IN_APORTE))+IF(AND($C$35=1,PGBL_REINVESTE="Sim",$A225&gt;=13,$A225&lt;=IN_PRAZO,MONTH($B225)=5),PGBL_BENEFICIO,0))</f>
        <v>0</v>
      </c>
      <c r="W225" s="180" t="n">
        <f aca="false">V225*$C$24</f>
        <v>0</v>
      </c>
      <c r="X225" s="180" t="n">
        <f aca="false">U225*$C$19</f>
        <v>4477.51876746828</v>
      </c>
      <c r="Y225" s="180" t="n">
        <f aca="false">U225*$C$22</f>
        <v>91.4836954385986</v>
      </c>
      <c r="Z225" s="180" t="n">
        <f aca="false">$C$23*MAX(0,X225-U225*$C$18)</f>
        <v>0</v>
      </c>
      <c r="AA225" s="180" t="n">
        <f aca="false">IF(AND($C$27=1,OR(MONTH($B225)=5,MONTH($B225)=11)),MAX(0,$C$28*MAX(0,(U225+X225-Y225-Z225+V225-W225)+AD224-AC225)-AD224),0)</f>
        <v>0</v>
      </c>
      <c r="AB225" s="181" t="n">
        <f aca="false">U225+X225-Y225-Z225+V225-W225-AA225</f>
        <v>553288.207703621</v>
      </c>
      <c r="AC225" s="180" t="n">
        <f aca="false">AC224+V225-W225</f>
        <v>150000</v>
      </c>
      <c r="AD225" s="180" t="n">
        <f aca="false">AD224+AA225</f>
        <v>0</v>
      </c>
      <c r="AE225" s="180" t="n">
        <f aca="false">AB225+AD225-AC225</f>
        <v>403288.207703621</v>
      </c>
      <c r="AF225" s="180" t="n">
        <f aca="false">MAX(0,IFERROR(INDEX(TAB_IR,MATCH($C225,TAB_IR_DIAS,1),MATCH($C$8,TAB_IR_REGIMES,0)),0)*IF($C$26=2,AB225,MAX(0,AE225))-AD225)</f>
        <v>60493.2311555432</v>
      </c>
      <c r="AG225" s="181" t="n">
        <f aca="false">MAX(0,AB225-AF225-AB225*$C$25)</f>
        <v>492794.976548078</v>
      </c>
      <c r="AH225" s="180" t="n">
        <f aca="false">AG225/$D225</f>
        <v>288321.681187148</v>
      </c>
      <c r="AJ225" s="180" t="n">
        <f aca="false">AQ224</f>
        <v>466277.669409195</v>
      </c>
      <c r="AK225" s="180" t="n">
        <f aca="false">IF($D$9=0,0,IF($A225&gt;IN_PRAZO,0,IF(APORTE_CORRIGIDO="Sim",IN_APORTE*$D225,IN_APORTE))+IF(AND($D$35=1,PGBL_REINVESTE="Sim",$A225&gt;=13,$A225&lt;=IN_PRAZO,MONTH($B225)=5),PGBL_BENEFICIO,0))</f>
        <v>0</v>
      </c>
      <c r="AL225" s="180" t="n">
        <f aca="false">AK225*$D$24</f>
        <v>0</v>
      </c>
      <c r="AM225" s="180" t="n">
        <f aca="false">AJ225*$D$19</f>
        <v>4191.22871128765</v>
      </c>
      <c r="AN225" s="180" t="n">
        <f aca="false">AJ225*$D$22</f>
        <v>388.564724507662</v>
      </c>
      <c r="AO225" s="180" t="n">
        <f aca="false">$D$23*MAX(0,AM225-AJ225*$D$18)</f>
        <v>0</v>
      </c>
      <c r="AP225" s="180" t="n">
        <f aca="false">IF(AND($D$27=1,OR(MONTH($B225)=5,MONTH($B225)=11)),MAX(0,$D$28*MAX(0,(AJ225+AM225-AN225-AO225+AK225-AL225)+AS224-AR225)-AS224),0)</f>
        <v>0</v>
      </c>
      <c r="AQ225" s="181" t="n">
        <f aca="false">AJ225+AM225-AN225-AO225+AK225-AL225-AP225</f>
        <v>470080.333395975</v>
      </c>
      <c r="AR225" s="180" t="n">
        <f aca="false">AR224+AK225-AL225</f>
        <v>150000</v>
      </c>
      <c r="AS225" s="180" t="n">
        <f aca="false">AS224+AP225</f>
        <v>53183.3201473402</v>
      </c>
      <c r="AT225" s="180" t="n">
        <f aca="false">AQ225+AS225-AR225</f>
        <v>373263.653543315</v>
      </c>
      <c r="AU225" s="180" t="n">
        <f aca="false">MAX(0,IFERROR(INDEX(TAB_IR,MATCH($C225,TAB_IR_DIAS,1),MATCH($D$8,TAB_IR_REGIMES,0)),0)*IF($D$26=2,AQ225,MAX(0,AT225))-AS225)</f>
        <v>2806.22788415707</v>
      </c>
      <c r="AV225" s="181" t="n">
        <f aca="false">MAX(0,AQ225-AU225-AQ225*$D$25)</f>
        <v>467274.105511818</v>
      </c>
      <c r="AW225" s="180" t="n">
        <f aca="false">AV225/$D225</f>
        <v>273390.075158861</v>
      </c>
      <c r="AY225" s="180" t="n">
        <f aca="false">BF224</f>
        <v>599767.582597992</v>
      </c>
      <c r="AZ225" s="180" t="n">
        <f aca="false">IF($E$9=0,0,IF($A225&gt;IN_PRAZO,0,IF(APORTE_CORRIGIDO="Sim",IN_APORTE*$D225,IN_APORTE))+IF(AND($E$35=1,PGBL_REINVESTE="Sim",$A225&gt;=13,$A225&lt;=IN_PRAZO,MONTH($B225)=5),PGBL_BENEFICIO,0))</f>
        <v>0</v>
      </c>
      <c r="BA225" s="180" t="n">
        <f aca="false">AZ225*$E$24</f>
        <v>0</v>
      </c>
      <c r="BB225" s="180" t="n">
        <f aca="false">AY225*$E$19</f>
        <v>5870.97213537445</v>
      </c>
      <c r="BC225" s="180" t="n">
        <f aca="false">AY225*$E$22</f>
        <v>749.70947824749</v>
      </c>
      <c r="BD225" s="180" t="n">
        <f aca="false">$E$23*MAX(0,BB225-AY225*$E$18)</f>
        <v>0</v>
      </c>
      <c r="BE225" s="180" t="n">
        <f aca="false">IF(AND($E$27=1,OR(MONTH($B225)=5,MONTH($B225)=11)),MAX(0,$E$28*MAX(0,(AY225+BB225-BC225-BD225+AZ225-BA225)+BH224-BG225)-BH224),0)</f>
        <v>0</v>
      </c>
      <c r="BF225" s="181" t="n">
        <f aca="false">AY225+BB225-BC225-BD225+AZ225-BA225-BE225</f>
        <v>604888.845255119</v>
      </c>
      <c r="BG225" s="180" t="n">
        <f aca="false">BG224+AZ225-BA225</f>
        <v>150000</v>
      </c>
      <c r="BH225" s="180" t="n">
        <f aca="false">BH224+BE225</f>
        <v>0</v>
      </c>
      <c r="BI225" s="180" t="n">
        <f aca="false">BF225+BH225-BG225</f>
        <v>454888.845255119</v>
      </c>
      <c r="BJ225" s="180" t="n">
        <f aca="false">MAX(0,IFERROR(INDEX(TAB_IR,MATCH($C225,TAB_IR_DIAS,1),MATCH($E$8,TAB_IR_REGIMES,0)),0)*IF($E$26=2,BF225,MAX(0,BI225))-BH225)</f>
        <v>45488.8845255119</v>
      </c>
      <c r="BK225" s="181" t="n">
        <f aca="false">MAX(0,BF225-BJ225-BF225*$E$25)</f>
        <v>559399.960729607</v>
      </c>
      <c r="BL225" s="180" t="n">
        <f aca="false">BK225/$D225</f>
        <v>327290.546391861</v>
      </c>
      <c r="BN225" s="180" t="n">
        <f aca="false">BU224</f>
        <v>599767.582597992</v>
      </c>
      <c r="BO225" s="180" t="n">
        <f aca="false">IF($F$9=0,0,IF($A225&gt;IN_PRAZO,0,IF(APORTE_CORRIGIDO="Sim",IN_APORTE*$D225,IN_APORTE))+IF(AND($F$35=1,PGBL_REINVESTE="Sim",$A225&gt;=13,$A225&lt;=IN_PRAZO,MONTH($B225)=5),PGBL_BENEFICIO,0))</f>
        <v>0</v>
      </c>
      <c r="BP225" s="180" t="n">
        <f aca="false">BO225*$F$24</f>
        <v>0</v>
      </c>
      <c r="BQ225" s="180" t="n">
        <f aca="false">BN225*$F$19</f>
        <v>5870.97213537445</v>
      </c>
      <c r="BR225" s="180" t="n">
        <f aca="false">BN225*$F$22</f>
        <v>749.70947824749</v>
      </c>
      <c r="BS225" s="180" t="n">
        <f aca="false">$F$23*MAX(0,BQ225-BN225*$F$18)</f>
        <v>0</v>
      </c>
      <c r="BT225" s="180" t="n">
        <f aca="false">IF(AND($F$27=1,OR(MONTH($B225)=5,MONTH($B225)=11)),MAX(0,$F$28*MAX(0,(BN225+BQ225-BR225-BS225+BO225-BP225)+BW224-BV225)-BW224),0)</f>
        <v>0</v>
      </c>
      <c r="BU225" s="181" t="n">
        <f aca="false">BN225+BQ225-BR225-BS225+BO225-BP225-BT225</f>
        <v>604888.845255119</v>
      </c>
      <c r="BV225" s="180" t="n">
        <f aca="false">BV224+BO225-BP225</f>
        <v>150000</v>
      </c>
      <c r="BW225" s="180" t="n">
        <f aca="false">BW224+BT225</f>
        <v>0</v>
      </c>
      <c r="BX225" s="180" t="n">
        <f aca="false">BU225+BW225-BV225</f>
        <v>454888.845255119</v>
      </c>
      <c r="BY225" s="180" t="n">
        <f aca="false">MAX(0,IFERROR(INDEX(TAB_IR,MATCH($C225,TAB_IR_DIAS,1),MATCH($F$8,TAB_IR_REGIMES,0)),0)*IF($F$26=2,BU225,MAX(0,BX225))-BW225)</f>
        <v>60488.8845255119</v>
      </c>
      <c r="BZ225" s="181" t="n">
        <f aca="false">MAX(0,BU225-BY225-BU225*$F$25)</f>
        <v>544399.960729607</v>
      </c>
      <c r="CA225" s="180" t="n">
        <f aca="false">BZ225/$D225</f>
        <v>318514.43173237</v>
      </c>
      <c r="CC225" s="180" t="n">
        <f aca="false">CJ224</f>
        <v>415389.434411252</v>
      </c>
      <c r="CD225" s="180" t="n">
        <f aca="false">IF($G$9=0,0,IF($A225&gt;IN_PRAZO,0,IF(APORTE_CORRIGIDO="Sim",IN_APORTE*$D225,IN_APORTE))+IF(AND($G$35=1,PGBL_REINVESTE="Sim",$A225&gt;=13,$A225&lt;=IN_PRAZO,MONTH($B225)=5),PGBL_BENEFICIO,0))</f>
        <v>0</v>
      </c>
      <c r="CE225" s="180" t="n">
        <f aca="false">CD225*$G$24</f>
        <v>0</v>
      </c>
      <c r="CF225" s="180" t="n">
        <f aca="false">CC225*$G$19</f>
        <v>3388.42526249707</v>
      </c>
      <c r="CG225" s="180" t="n">
        <f aca="false">CC225*$G$22</f>
        <v>346.157862009377</v>
      </c>
      <c r="CH225" s="180" t="n">
        <f aca="false">$G$23*MAX(0,CF225-CC225*$G$18)</f>
        <v>0</v>
      </c>
      <c r="CI225" s="180" t="n">
        <f aca="false">IF(AND($G$27=1,OR(MONTH($B225)=5,MONTH($B225)=11)),MAX(0,$G$28*MAX(0,(CC225+CF225-CG225-CH225+CD225-CE225)+CL224-CK225)-CL224),0)</f>
        <v>0</v>
      </c>
      <c r="CJ225" s="181" t="n">
        <f aca="false">CC225+CF225-CG225-CH225+CD225-CE225-CI225</f>
        <v>418431.70181174</v>
      </c>
      <c r="CK225" s="180" t="n">
        <f aca="false">CK224+CD225-CE225</f>
        <v>150000</v>
      </c>
      <c r="CL225" s="180" t="n">
        <f aca="false">CL224+CI225</f>
        <v>44724.6979110244</v>
      </c>
      <c r="CM225" s="180" t="n">
        <f aca="false">CJ225+CL225-CK225</f>
        <v>313156.399722764</v>
      </c>
      <c r="CN225" s="180" t="n">
        <f aca="false">MAX(0,IFERROR(INDEX(TAB_IR,MATCH($C225,TAB_IR_DIAS,1),MATCH($G$8,TAB_IR_REGIMES,0)),0)*IF($G$26=2,CJ225,MAX(0,CM225))-CL225)</f>
        <v>2248.76204739023</v>
      </c>
      <c r="CO225" s="181" t="n">
        <f aca="false">MAX(0,CJ225-CN225-CJ225*$G$25)</f>
        <v>416182.939764349</v>
      </c>
      <c r="CP225" s="180" t="n">
        <f aca="false">CO225/$D225</f>
        <v>243497.946579737</v>
      </c>
    </row>
    <row r="226" customFormat="false" ht="12" hidden="false" customHeight="true" outlineLevel="0" collapsed="false">
      <c r="A226" s="177" t="n">
        <v>165</v>
      </c>
      <c r="B226" s="178" t="n">
        <f aca="false">EDATE(DATA_INICIO,$A226)</f>
        <v>51279</v>
      </c>
      <c r="C226" s="177" t="n">
        <f aca="false">$A226*30</f>
        <v>4950</v>
      </c>
      <c r="D226" s="179" t="n">
        <f aca="false">(1+IPCA_CENARIO)^($A226/12)</f>
        <v>1.71478002289517</v>
      </c>
      <c r="F226" s="180" t="n">
        <f aca="false">M225</f>
        <v>687032.785421536</v>
      </c>
      <c r="G226" s="180" t="n">
        <f aca="false">IF($B$9=0,0,IF($A226&gt;IN_PRAZO,0,IF(APORTE_CORRIGIDO="Sim",IN_APORTE*$D226,IN_APORTE))+IF(AND($B$35=1,PGBL_REINVESTE="Sim",$A226&gt;=13,$A226&lt;=IN_PRAZO,MONTH($B226)=5),PGBL_BENEFICIO,0))</f>
        <v>0</v>
      </c>
      <c r="H226" s="180" t="n">
        <f aca="false">G226*$B$24</f>
        <v>0</v>
      </c>
      <c r="I226" s="180" t="n">
        <f aca="false">F226*$B$19</f>
        <v>6519.11184013478</v>
      </c>
      <c r="J226" s="180" t="n">
        <f aca="false">F226*$B$22</f>
        <v>114.505464236923</v>
      </c>
      <c r="K226" s="180" t="n">
        <f aca="false">$B$23*MAX(0,I226-F226*$B$18)</f>
        <v>0</v>
      </c>
      <c r="L226" s="180" t="n">
        <f aca="false">IF(AND($B$27=1,OR(MONTH($B226)=5,MONTH($B226)=11)),MAX(0,$B$28*MAX(0,(F226+I226-J226-K226+G226-H226)+O225-N226)-O225),0)</f>
        <v>0</v>
      </c>
      <c r="M226" s="181" t="n">
        <f aca="false">F226+I226-J226-K226+G226-H226-L226</f>
        <v>693437.391797434</v>
      </c>
      <c r="N226" s="180" t="n">
        <f aca="false">N225+G226-H226</f>
        <v>150000</v>
      </c>
      <c r="O226" s="180" t="n">
        <f aca="false">O225+L226</f>
        <v>0</v>
      </c>
      <c r="P226" s="180" t="n">
        <f aca="false">M226+O226-N226</f>
        <v>543437.391797434</v>
      </c>
      <c r="Q226" s="180" t="n">
        <f aca="false">MAX(0,IFERROR(INDEX(TAB_IR,MATCH($C226,TAB_IR_DIAS,1),MATCH($B$8,TAB_IR_REGIMES,0)),0)*IF($B$26=2,M226,MAX(0,P226))-O226)</f>
        <v>81515.6087696151</v>
      </c>
      <c r="R226" s="181" t="n">
        <f aca="false">MAX(0,M226-Q226-M226*$B$25)</f>
        <v>611921.783027819</v>
      </c>
      <c r="S226" s="180" t="n">
        <f aca="false">R226/$D226</f>
        <v>356851.476491238</v>
      </c>
      <c r="U226" s="180" t="n">
        <f aca="false">AB225</f>
        <v>553288.207703621</v>
      </c>
      <c r="V226" s="180" t="n">
        <f aca="false">IF($C$9=0,0,IF($A226&gt;IN_PRAZO,0,IF(APORTE_CORRIGIDO="Sim",IN_APORTE*$D226,IN_APORTE))+IF(AND($C$35=1,PGBL_REINVESTE="Sim",$A226&gt;=13,$A226&lt;=IN_PRAZO,MONTH($B226)=5),PGBL_BENEFICIO,0))</f>
        <v>0</v>
      </c>
      <c r="W226" s="180" t="n">
        <f aca="false">V226*$C$24</f>
        <v>0</v>
      </c>
      <c r="X226" s="180" t="n">
        <f aca="false">U226*$C$19</f>
        <v>4513.29664434502</v>
      </c>
      <c r="Y226" s="180" t="n">
        <f aca="false">U226*$C$22</f>
        <v>92.2147012839368</v>
      </c>
      <c r="Z226" s="180" t="n">
        <f aca="false">$C$23*MAX(0,X226-U226*$C$18)</f>
        <v>0</v>
      </c>
      <c r="AA226" s="180" t="n">
        <f aca="false">IF(AND($C$27=1,OR(MONTH($B226)=5,MONTH($B226)=11)),MAX(0,$C$28*MAX(0,(U226+X226-Y226-Z226+V226-W226)+AD225-AC226)-AD225),0)</f>
        <v>0</v>
      </c>
      <c r="AB226" s="181" t="n">
        <f aca="false">U226+X226-Y226-Z226+V226-W226-AA226</f>
        <v>557709.289646682</v>
      </c>
      <c r="AC226" s="180" t="n">
        <f aca="false">AC225+V226-W226</f>
        <v>150000</v>
      </c>
      <c r="AD226" s="180" t="n">
        <f aca="false">AD225+AA226</f>
        <v>0</v>
      </c>
      <c r="AE226" s="180" t="n">
        <f aca="false">AB226+AD226-AC226</f>
        <v>407709.289646682</v>
      </c>
      <c r="AF226" s="180" t="n">
        <f aca="false">MAX(0,IFERROR(INDEX(TAB_IR,MATCH($C226,TAB_IR_DIAS,1),MATCH($C$8,TAB_IR_REGIMES,0)),0)*IF($C$26=2,AB226,MAX(0,AE226))-AD226)</f>
        <v>61156.3934470023</v>
      </c>
      <c r="AG226" s="181" t="n">
        <f aca="false">MAX(0,AB226-AF226-AB226*$C$25)</f>
        <v>496552.89619968</v>
      </c>
      <c r="AH226" s="180" t="n">
        <f aca="false">AG226/$D226</f>
        <v>289572.358885613</v>
      </c>
      <c r="AJ226" s="180" t="n">
        <f aca="false">AQ225</f>
        <v>470080.333395975</v>
      </c>
      <c r="AK226" s="180" t="n">
        <f aca="false">IF($D$9=0,0,IF($A226&gt;IN_PRAZO,0,IF(APORTE_CORRIGIDO="Sim",IN_APORTE*$D226,IN_APORTE))+IF(AND($D$35=1,PGBL_REINVESTE="Sim",$A226&gt;=13,$A226&lt;=IN_PRAZO,MONTH($B226)=5),PGBL_BENEFICIO,0))</f>
        <v>0</v>
      </c>
      <c r="AL226" s="180" t="n">
        <f aca="false">AK226*$D$24</f>
        <v>0</v>
      </c>
      <c r="AM226" s="180" t="n">
        <f aca="false">AJ226*$D$19</f>
        <v>4225.40970584604</v>
      </c>
      <c r="AN226" s="180" t="n">
        <f aca="false">AJ226*$D$22</f>
        <v>391.733611163312</v>
      </c>
      <c r="AO226" s="180" t="n">
        <f aca="false">$D$23*MAX(0,AM226-AJ226*$D$18)</f>
        <v>0</v>
      </c>
      <c r="AP226" s="180" t="n">
        <f aca="false">IF(AND($D$27=1,OR(MONTH($B226)=5,MONTH($B226)=11)),MAX(0,$D$28*MAX(0,(AJ226+AM226-AN226-AO226+AK226-AL226)+AS225-AR226)-AS225),0)</f>
        <v>3381.27929835948</v>
      </c>
      <c r="AQ226" s="181" t="n">
        <f aca="false">AJ226+AM226-AN226-AO226+AK226-AL226-AP226</f>
        <v>470532.730192298</v>
      </c>
      <c r="AR226" s="180" t="n">
        <f aca="false">AR225+AK226-AL226</f>
        <v>150000</v>
      </c>
      <c r="AS226" s="180" t="n">
        <f aca="false">AS225+AP226</f>
        <v>56564.5994456997</v>
      </c>
      <c r="AT226" s="180" t="n">
        <f aca="false">AQ226+AS226-AR226</f>
        <v>377097.329637998</v>
      </c>
      <c r="AU226" s="180" t="n">
        <f aca="false">MAX(0,IFERROR(INDEX(TAB_IR,MATCH($C226,TAB_IR_DIAS,1),MATCH($D$8,TAB_IR_REGIMES,0)),0)*IF($D$26=2,AQ226,MAX(0,AT226))-AS226)</f>
        <v>0</v>
      </c>
      <c r="AV226" s="181" t="n">
        <f aca="false">MAX(0,AQ226-AU226-AQ226*$D$25)</f>
        <v>470532.730192298</v>
      </c>
      <c r="AW226" s="180" t="n">
        <f aca="false">AV226/$D226</f>
        <v>274398.304103094</v>
      </c>
      <c r="AY226" s="180" t="n">
        <f aca="false">BF225</f>
        <v>604888.845255119</v>
      </c>
      <c r="AZ226" s="180" t="n">
        <f aca="false">IF($E$9=0,0,IF($A226&gt;IN_PRAZO,0,IF(APORTE_CORRIGIDO="Sim",IN_APORTE*$D226,IN_APORTE))+IF(AND($E$35=1,PGBL_REINVESTE="Sim",$A226&gt;=13,$A226&lt;=IN_PRAZO,MONTH($B226)=5),PGBL_BENEFICIO,0))</f>
        <v>0</v>
      </c>
      <c r="BA226" s="180" t="n">
        <f aca="false">AZ226*$E$24</f>
        <v>0</v>
      </c>
      <c r="BB226" s="180" t="n">
        <f aca="false">AY226*$E$19</f>
        <v>5921.1028713967</v>
      </c>
      <c r="BC226" s="180" t="n">
        <f aca="false">AY226*$E$22</f>
        <v>756.111056568899</v>
      </c>
      <c r="BD226" s="180" t="n">
        <f aca="false">$E$23*MAX(0,BB226-AY226*$E$18)</f>
        <v>0</v>
      </c>
      <c r="BE226" s="180" t="n">
        <f aca="false">IF(AND($E$27=1,OR(MONTH($B226)=5,MONTH($B226)=11)),MAX(0,$E$28*MAX(0,(AY226+BB226-BC226-BD226+AZ226-BA226)+BH225-BG226)-BH225),0)</f>
        <v>0</v>
      </c>
      <c r="BF226" s="181" t="n">
        <f aca="false">AY226+BB226-BC226-BD226+AZ226-BA226-BE226</f>
        <v>610053.837069947</v>
      </c>
      <c r="BG226" s="180" t="n">
        <f aca="false">BG225+AZ226-BA226</f>
        <v>150000</v>
      </c>
      <c r="BH226" s="180" t="n">
        <f aca="false">BH225+BE226</f>
        <v>0</v>
      </c>
      <c r="BI226" s="180" t="n">
        <f aca="false">BF226+BH226-BG226</f>
        <v>460053.837069947</v>
      </c>
      <c r="BJ226" s="180" t="n">
        <f aca="false">MAX(0,IFERROR(INDEX(TAB_IR,MATCH($C226,TAB_IR_DIAS,1),MATCH($E$8,TAB_IR_REGIMES,0)),0)*IF($E$26=2,BF226,MAX(0,BI226))-BH226)</f>
        <v>46005.3837069947</v>
      </c>
      <c r="BK226" s="181" t="n">
        <f aca="false">MAX(0,BF226-BJ226-BF226*$E$25)</f>
        <v>564048.453362952</v>
      </c>
      <c r="BL226" s="180" t="n">
        <f aca="false">BK226/$D226</f>
        <v>328933.417599906</v>
      </c>
      <c r="BN226" s="180" t="n">
        <f aca="false">BU225</f>
        <v>604888.845255119</v>
      </c>
      <c r="BO226" s="180" t="n">
        <f aca="false">IF($F$9=0,0,IF($A226&gt;IN_PRAZO,0,IF(APORTE_CORRIGIDO="Sim",IN_APORTE*$D226,IN_APORTE))+IF(AND($F$35=1,PGBL_REINVESTE="Sim",$A226&gt;=13,$A226&lt;=IN_PRAZO,MONTH($B226)=5),PGBL_BENEFICIO,0))</f>
        <v>0</v>
      </c>
      <c r="BP226" s="180" t="n">
        <f aca="false">BO226*$F$24</f>
        <v>0</v>
      </c>
      <c r="BQ226" s="180" t="n">
        <f aca="false">BN226*$F$19</f>
        <v>5921.1028713967</v>
      </c>
      <c r="BR226" s="180" t="n">
        <f aca="false">BN226*$F$22</f>
        <v>756.111056568899</v>
      </c>
      <c r="BS226" s="180" t="n">
        <f aca="false">$F$23*MAX(0,BQ226-BN226*$F$18)</f>
        <v>0</v>
      </c>
      <c r="BT226" s="180" t="n">
        <f aca="false">IF(AND($F$27=1,OR(MONTH($B226)=5,MONTH($B226)=11)),MAX(0,$F$28*MAX(0,(BN226+BQ226-BR226-BS226+BO226-BP226)+BW225-BV226)-BW225),0)</f>
        <v>0</v>
      </c>
      <c r="BU226" s="181" t="n">
        <f aca="false">BN226+BQ226-BR226-BS226+BO226-BP226-BT226</f>
        <v>610053.837069947</v>
      </c>
      <c r="BV226" s="180" t="n">
        <f aca="false">BV225+BO226-BP226</f>
        <v>150000</v>
      </c>
      <c r="BW226" s="180" t="n">
        <f aca="false">BW225+BT226</f>
        <v>0</v>
      </c>
      <c r="BX226" s="180" t="n">
        <f aca="false">BU226+BW226-BV226</f>
        <v>460053.837069947</v>
      </c>
      <c r="BY226" s="180" t="n">
        <f aca="false">MAX(0,IFERROR(INDEX(TAB_IR,MATCH($C226,TAB_IR_DIAS,1),MATCH($F$8,TAB_IR_REGIMES,0)),0)*IF($F$26=2,BU226,MAX(0,BX226))-BW226)</f>
        <v>61005.3837069947</v>
      </c>
      <c r="BZ226" s="181" t="n">
        <f aca="false">MAX(0,BU226-BY226-BU226*$F$25)</f>
        <v>549048.453362952</v>
      </c>
      <c r="CA226" s="180" t="n">
        <f aca="false">BZ226/$D226</f>
        <v>320185.939906134</v>
      </c>
      <c r="CC226" s="180" t="n">
        <f aca="false">CJ225</f>
        <v>418431.70181174</v>
      </c>
      <c r="CD226" s="180" t="n">
        <f aca="false">IF($G$9=0,0,IF($A226&gt;IN_PRAZO,0,IF(APORTE_CORRIGIDO="Sim",IN_APORTE*$D226,IN_APORTE))+IF(AND($G$35=1,PGBL_REINVESTE="Sim",$A226&gt;=13,$A226&lt;=IN_PRAZO,MONTH($B226)=5),PGBL_BENEFICIO,0))</f>
        <v>0</v>
      </c>
      <c r="CE226" s="180" t="n">
        <f aca="false">CD226*$G$24</f>
        <v>0</v>
      </c>
      <c r="CF226" s="180" t="n">
        <f aca="false">CC226*$G$19</f>
        <v>3413.24172353609</v>
      </c>
      <c r="CG226" s="180" t="n">
        <f aca="false">CC226*$G$22</f>
        <v>348.693084843116</v>
      </c>
      <c r="CH226" s="180" t="n">
        <f aca="false">$G$23*MAX(0,CF226-CC226*$G$18)</f>
        <v>0</v>
      </c>
      <c r="CI226" s="180" t="n">
        <f aca="false">IF(AND($G$27=1,OR(MONTH($B226)=5,MONTH($B226)=11)),MAX(0,$G$28*MAX(0,(CC226+CF226-CG226-CH226+CD226-CE226)+CL225-CK226)-CL225),0)</f>
        <v>2708.44434319418</v>
      </c>
      <c r="CJ226" s="181" t="n">
        <f aca="false">CC226+CF226-CG226-CH226+CD226-CE226-CI226</f>
        <v>418787.806107238</v>
      </c>
      <c r="CK226" s="180" t="n">
        <f aca="false">CK225+CD226-CE226</f>
        <v>150000</v>
      </c>
      <c r="CL226" s="180" t="n">
        <f aca="false">CL225+CI226</f>
        <v>47433.1422542185</v>
      </c>
      <c r="CM226" s="180" t="n">
        <f aca="false">CJ226+CL226-CK226</f>
        <v>316220.948361457</v>
      </c>
      <c r="CN226" s="180" t="n">
        <f aca="false">MAX(0,IFERROR(INDEX(TAB_IR,MATCH($C226,TAB_IR_DIAS,1),MATCH($G$8,TAB_IR_REGIMES,0)),0)*IF($G$26=2,CJ226,MAX(0,CM226))-CL226)</f>
        <v>0</v>
      </c>
      <c r="CO226" s="181" t="n">
        <f aca="false">MAX(0,CJ226-CN226-CJ226*$G$25)</f>
        <v>418787.806107238</v>
      </c>
      <c r="CP226" s="180" t="n">
        <f aca="false">CO226/$D226</f>
        <v>244222.466156431</v>
      </c>
    </row>
    <row r="227" customFormat="false" ht="12" hidden="false" customHeight="true" outlineLevel="0" collapsed="false">
      <c r="A227" s="177" t="n">
        <v>166</v>
      </c>
      <c r="B227" s="178" t="n">
        <f aca="false">EDATE(DATA_INICIO,$A227)</f>
        <v>51310</v>
      </c>
      <c r="C227" s="177" t="n">
        <f aca="false">$A227*30</f>
        <v>4980</v>
      </c>
      <c r="D227" s="179" t="n">
        <f aca="false">(1+IPCA_CENARIO)^($A227/12)</f>
        <v>1.72039376647384</v>
      </c>
      <c r="F227" s="180" t="n">
        <f aca="false">M226</f>
        <v>693437.391797434</v>
      </c>
      <c r="G227" s="180" t="n">
        <f aca="false">IF($B$9=0,0,IF($A227&gt;IN_PRAZO,0,IF(APORTE_CORRIGIDO="Sim",IN_APORTE*$D227,IN_APORTE))+IF(AND($B$35=1,PGBL_REINVESTE="Sim",$A227&gt;=13,$A227&lt;=IN_PRAZO,MONTH($B227)=5),PGBL_BENEFICIO,0))</f>
        <v>0</v>
      </c>
      <c r="H227" s="180" t="n">
        <f aca="false">G227*$B$24</f>
        <v>0</v>
      </c>
      <c r="I227" s="180" t="n">
        <f aca="false">F227*$B$19</f>
        <v>6579.88382386319</v>
      </c>
      <c r="J227" s="180" t="n">
        <f aca="false">F227*$B$22</f>
        <v>115.572898632906</v>
      </c>
      <c r="K227" s="180" t="n">
        <f aca="false">$B$23*MAX(0,I227-F227*$B$18)</f>
        <v>0</v>
      </c>
      <c r="L227" s="180" t="n">
        <f aca="false">IF(AND($B$27=1,OR(MONTH($B227)=5,MONTH($B227)=11)),MAX(0,$B$28*MAX(0,(F227+I227-J227-K227+G227-H227)+O226-N227)-O226),0)</f>
        <v>0</v>
      </c>
      <c r="M227" s="181" t="n">
        <f aca="false">F227+I227-J227-K227+G227-H227-L227</f>
        <v>699901.702722665</v>
      </c>
      <c r="N227" s="180" t="n">
        <f aca="false">N226+G227-H227</f>
        <v>150000</v>
      </c>
      <c r="O227" s="180" t="n">
        <f aca="false">O226+L227</f>
        <v>0</v>
      </c>
      <c r="P227" s="180" t="n">
        <f aca="false">M227+O227-N227</f>
        <v>549901.702722665</v>
      </c>
      <c r="Q227" s="180" t="n">
        <f aca="false">MAX(0,IFERROR(INDEX(TAB_IR,MATCH($C227,TAB_IR_DIAS,1),MATCH($B$8,TAB_IR_REGIMES,0)),0)*IF($B$26=2,M227,MAX(0,P227))-O227)</f>
        <v>82485.2554083997</v>
      </c>
      <c r="R227" s="181" t="n">
        <f aca="false">MAX(0,M227-Q227-M227*$B$25)</f>
        <v>617416.447314265</v>
      </c>
      <c r="S227" s="180" t="n">
        <f aca="false">R227/$D227</f>
        <v>358880.890727555</v>
      </c>
      <c r="U227" s="180" t="n">
        <f aca="false">AB226</f>
        <v>557709.289646682</v>
      </c>
      <c r="V227" s="180" t="n">
        <f aca="false">IF($C$9=0,0,IF($A227&gt;IN_PRAZO,0,IF(APORTE_CORRIGIDO="Sim",IN_APORTE*$D227,IN_APORTE))+IF(AND($C$35=1,PGBL_REINVESTE="Sim",$A227&gt;=13,$A227&lt;=IN_PRAZO,MONTH($B227)=5),PGBL_BENEFICIO,0))</f>
        <v>0</v>
      </c>
      <c r="W227" s="180" t="n">
        <f aca="false">V227*$C$24</f>
        <v>0</v>
      </c>
      <c r="X227" s="180" t="n">
        <f aca="false">U227*$C$19</f>
        <v>4549.36040644978</v>
      </c>
      <c r="Y227" s="180" t="n">
        <f aca="false">U227*$C$22</f>
        <v>92.951548274447</v>
      </c>
      <c r="Z227" s="180" t="n">
        <f aca="false">$C$23*MAX(0,X227-U227*$C$18)</f>
        <v>0</v>
      </c>
      <c r="AA227" s="180" t="n">
        <f aca="false">IF(AND($C$27=1,OR(MONTH($B227)=5,MONTH($B227)=11)),MAX(0,$C$28*MAX(0,(U227+X227-Y227-Z227+V227-W227)+AD226-AC227)-AD226),0)</f>
        <v>0</v>
      </c>
      <c r="AB227" s="181" t="n">
        <f aca="false">U227+X227-Y227-Z227+V227-W227-AA227</f>
        <v>562165.698504857</v>
      </c>
      <c r="AC227" s="180" t="n">
        <f aca="false">AC226+V227-W227</f>
        <v>150000</v>
      </c>
      <c r="AD227" s="180" t="n">
        <f aca="false">AD226+AA227</f>
        <v>0</v>
      </c>
      <c r="AE227" s="180" t="n">
        <f aca="false">AB227+AD227-AC227</f>
        <v>412165.698504857</v>
      </c>
      <c r="AF227" s="180" t="n">
        <f aca="false">MAX(0,IFERROR(INDEX(TAB_IR,MATCH($C227,TAB_IR_DIAS,1),MATCH($C$8,TAB_IR_REGIMES,0)),0)*IF($C$26=2,AB227,MAX(0,AE227))-AD227)</f>
        <v>61824.8547757286</v>
      </c>
      <c r="AG227" s="181" t="n">
        <f aca="false">MAX(0,AB227-AF227-AB227*$C$25)</f>
        <v>500340.843729129</v>
      </c>
      <c r="AH227" s="180" t="n">
        <f aca="false">AG227/$D227</f>
        <v>290829.258672937</v>
      </c>
      <c r="AJ227" s="180" t="n">
        <f aca="false">AQ226</f>
        <v>470532.730192298</v>
      </c>
      <c r="AK227" s="180" t="n">
        <f aca="false">IF($D$9=0,0,IF($A227&gt;IN_PRAZO,0,IF(APORTE_CORRIGIDO="Sim",IN_APORTE*$D227,IN_APORTE))+IF(AND($D$35=1,PGBL_REINVESTE="Sim",$A227&gt;=13,$A227&lt;=IN_PRAZO,MONTH($B227)=5),PGBL_BENEFICIO,0))</f>
        <v>0</v>
      </c>
      <c r="AL227" s="180" t="n">
        <f aca="false">AK227*$D$24</f>
        <v>0</v>
      </c>
      <c r="AM227" s="180" t="n">
        <f aca="false">AJ227*$D$19</f>
        <v>4229.47616359437</v>
      </c>
      <c r="AN227" s="180" t="n">
        <f aca="false">AJ227*$D$22</f>
        <v>392.110608493582</v>
      </c>
      <c r="AO227" s="180" t="n">
        <f aca="false">$D$23*MAX(0,AM227-AJ227*$D$18)</f>
        <v>0</v>
      </c>
      <c r="AP227" s="180" t="n">
        <f aca="false">IF(AND($D$27=1,OR(MONTH($B227)=5,MONTH($B227)=11)),MAX(0,$D$28*MAX(0,(AJ227+AM227-AN227-AO227+AK227-AL227)+AS226-AR227)-AS226),0)</f>
        <v>0</v>
      </c>
      <c r="AQ227" s="181" t="n">
        <f aca="false">AJ227+AM227-AN227-AO227+AK227-AL227-AP227</f>
        <v>474370.095747399</v>
      </c>
      <c r="AR227" s="180" t="n">
        <f aca="false">AR226+AK227-AL227</f>
        <v>150000</v>
      </c>
      <c r="AS227" s="180" t="n">
        <f aca="false">AS226+AP227</f>
        <v>56564.5994456997</v>
      </c>
      <c r="AT227" s="180" t="n">
        <f aca="false">AQ227+AS227-AR227</f>
        <v>380934.695193099</v>
      </c>
      <c r="AU227" s="180" t="n">
        <f aca="false">MAX(0,IFERROR(INDEX(TAB_IR,MATCH($C227,TAB_IR_DIAS,1),MATCH($D$8,TAB_IR_REGIMES,0)),0)*IF($D$26=2,AQ227,MAX(0,AT227))-AS227)</f>
        <v>575.604833265112</v>
      </c>
      <c r="AV227" s="181" t="n">
        <f aca="false">MAX(0,AQ227-AU227-AQ227*$D$25)</f>
        <v>473794.490914134</v>
      </c>
      <c r="AW227" s="180" t="n">
        <f aca="false">AV227/$D227</f>
        <v>275398.865159361</v>
      </c>
      <c r="AY227" s="180" t="n">
        <f aca="false">BF226</f>
        <v>610053.837069947</v>
      </c>
      <c r="AZ227" s="180" t="n">
        <f aca="false">IF($E$9=0,0,IF($A227&gt;IN_PRAZO,0,IF(APORTE_CORRIGIDO="Sim",IN_APORTE*$D227,IN_APORTE))+IF(AND($E$35=1,PGBL_REINVESTE="Sim",$A227&gt;=13,$A227&lt;=IN_PRAZO,MONTH($B227)=5),PGBL_BENEFICIO,0))</f>
        <v>0</v>
      </c>
      <c r="BA227" s="180" t="n">
        <f aca="false">AZ227*$E$24</f>
        <v>0</v>
      </c>
      <c r="BB227" s="180" t="n">
        <f aca="false">AY227*$E$19</f>
        <v>5971.66166100807</v>
      </c>
      <c r="BC227" s="180" t="n">
        <f aca="false">AY227*$E$22</f>
        <v>762.567296337433</v>
      </c>
      <c r="BD227" s="180" t="n">
        <f aca="false">$E$23*MAX(0,BB227-AY227*$E$18)</f>
        <v>0</v>
      </c>
      <c r="BE227" s="180" t="n">
        <f aca="false">IF(AND($E$27=1,OR(MONTH($B227)=5,MONTH($B227)=11)),MAX(0,$E$28*MAX(0,(AY227+BB227-BC227-BD227+AZ227-BA227)+BH226-BG227)-BH226),0)</f>
        <v>0</v>
      </c>
      <c r="BF227" s="181" t="n">
        <f aca="false">AY227+BB227-BC227-BD227+AZ227-BA227-BE227</f>
        <v>615262.931434617</v>
      </c>
      <c r="BG227" s="180" t="n">
        <f aca="false">BG226+AZ227-BA227</f>
        <v>150000</v>
      </c>
      <c r="BH227" s="180" t="n">
        <f aca="false">BH226+BE227</f>
        <v>0</v>
      </c>
      <c r="BI227" s="180" t="n">
        <f aca="false">BF227+BH227-BG227</f>
        <v>465262.931434617</v>
      </c>
      <c r="BJ227" s="180" t="n">
        <f aca="false">MAX(0,IFERROR(INDEX(TAB_IR,MATCH($C227,TAB_IR_DIAS,1),MATCH($E$8,TAB_IR_REGIMES,0)),0)*IF($E$26=2,BF227,MAX(0,BI227))-BH227)</f>
        <v>46526.2931434617</v>
      </c>
      <c r="BK227" s="181" t="n">
        <f aca="false">MAX(0,BF227-BJ227-BF227*$E$25)</f>
        <v>568736.638291156</v>
      </c>
      <c r="BL227" s="180" t="n">
        <f aca="false">BK227/$D227</f>
        <v>330585.154035318</v>
      </c>
      <c r="BN227" s="180" t="n">
        <f aca="false">BU226</f>
        <v>610053.837069947</v>
      </c>
      <c r="BO227" s="180" t="n">
        <f aca="false">IF($F$9=0,0,IF($A227&gt;IN_PRAZO,0,IF(APORTE_CORRIGIDO="Sim",IN_APORTE*$D227,IN_APORTE))+IF(AND($F$35=1,PGBL_REINVESTE="Sim",$A227&gt;=13,$A227&lt;=IN_PRAZO,MONTH($B227)=5),PGBL_BENEFICIO,0))</f>
        <v>0</v>
      </c>
      <c r="BP227" s="180" t="n">
        <f aca="false">BO227*$F$24</f>
        <v>0</v>
      </c>
      <c r="BQ227" s="180" t="n">
        <f aca="false">BN227*$F$19</f>
        <v>5971.66166100807</v>
      </c>
      <c r="BR227" s="180" t="n">
        <f aca="false">BN227*$F$22</f>
        <v>762.567296337433</v>
      </c>
      <c r="BS227" s="180" t="n">
        <f aca="false">$F$23*MAX(0,BQ227-BN227*$F$18)</f>
        <v>0</v>
      </c>
      <c r="BT227" s="180" t="n">
        <f aca="false">IF(AND($F$27=1,OR(MONTH($B227)=5,MONTH($B227)=11)),MAX(0,$F$28*MAX(0,(BN227+BQ227-BR227-BS227+BO227-BP227)+BW226-BV227)-BW226),0)</f>
        <v>0</v>
      </c>
      <c r="BU227" s="181" t="n">
        <f aca="false">BN227+BQ227-BR227-BS227+BO227-BP227-BT227</f>
        <v>615262.931434617</v>
      </c>
      <c r="BV227" s="180" t="n">
        <f aca="false">BV226+BO227-BP227</f>
        <v>150000</v>
      </c>
      <c r="BW227" s="180" t="n">
        <f aca="false">BW226+BT227</f>
        <v>0</v>
      </c>
      <c r="BX227" s="180" t="n">
        <f aca="false">BU227+BW227-BV227</f>
        <v>465262.931434617</v>
      </c>
      <c r="BY227" s="180" t="n">
        <f aca="false">MAX(0,IFERROR(INDEX(TAB_IR,MATCH($C227,TAB_IR_DIAS,1),MATCH($F$8,TAB_IR_REGIMES,0)),0)*IF($F$26=2,BU227,MAX(0,BX227))-BW227)</f>
        <v>61526.2931434617</v>
      </c>
      <c r="BZ227" s="181" t="n">
        <f aca="false">MAX(0,BU227-BY227-BU227*$F$25)</f>
        <v>553736.638291156</v>
      </c>
      <c r="CA227" s="180" t="n">
        <f aca="false">BZ227/$D227</f>
        <v>321866.219863205</v>
      </c>
      <c r="CC227" s="180" t="n">
        <f aca="false">CJ226</f>
        <v>418787.806107238</v>
      </c>
      <c r="CD227" s="180" t="n">
        <f aca="false">IF($G$9=0,0,IF($A227&gt;IN_PRAZO,0,IF(APORTE_CORRIGIDO="Sim",IN_APORTE*$D227,IN_APORTE))+IF(AND($G$35=1,PGBL_REINVESTE="Sim",$A227&gt;=13,$A227&lt;=IN_PRAZO,MONTH($B227)=5),PGBL_BENEFICIO,0))</f>
        <v>0</v>
      </c>
      <c r="CE227" s="180" t="n">
        <f aca="false">CD227*$G$24</f>
        <v>0</v>
      </c>
      <c r="CF227" s="180" t="n">
        <f aca="false">CC227*$G$19</f>
        <v>3416.14654655515</v>
      </c>
      <c r="CG227" s="180" t="n">
        <f aca="false">CC227*$G$22</f>
        <v>348.989838422699</v>
      </c>
      <c r="CH227" s="180" t="n">
        <f aca="false">$G$23*MAX(0,CF227-CC227*$G$18)</f>
        <v>0</v>
      </c>
      <c r="CI227" s="180" t="n">
        <f aca="false">IF(AND($G$27=1,OR(MONTH($B227)=5,MONTH($B227)=11)),MAX(0,$G$28*MAX(0,(CC227+CF227-CG227-CH227+CD227-CE227)+CL226-CK227)-CL226),0)</f>
        <v>0</v>
      </c>
      <c r="CJ227" s="181" t="n">
        <f aca="false">CC227+CF227-CG227-CH227+CD227-CE227-CI227</f>
        <v>421854.962815371</v>
      </c>
      <c r="CK227" s="180" t="n">
        <f aca="false">CK226+CD227-CE227</f>
        <v>150000</v>
      </c>
      <c r="CL227" s="180" t="n">
        <f aca="false">CL226+CI227</f>
        <v>47433.1422542185</v>
      </c>
      <c r="CM227" s="180" t="n">
        <f aca="false">CJ227+CL227-CK227</f>
        <v>319288.105069589</v>
      </c>
      <c r="CN227" s="180" t="n">
        <f aca="false">MAX(0,IFERROR(INDEX(TAB_IR,MATCH($C227,TAB_IR_DIAS,1),MATCH($G$8,TAB_IR_REGIMES,0)),0)*IF($G$26=2,CJ227,MAX(0,CM227))-CL227)</f>
        <v>460.073506219873</v>
      </c>
      <c r="CO227" s="181" t="n">
        <f aca="false">MAX(0,CJ227-CN227-CJ227*$G$25)</f>
        <v>421394.889309151</v>
      </c>
      <c r="CP227" s="180" t="n">
        <f aca="false">CO227/$D227</f>
        <v>244940.953356772</v>
      </c>
    </row>
    <row r="228" customFormat="false" ht="12" hidden="false" customHeight="true" outlineLevel="0" collapsed="false">
      <c r="A228" s="177" t="n">
        <v>167</v>
      </c>
      <c r="B228" s="178" t="n">
        <f aca="false">EDATE(DATA_INICIO,$A228)</f>
        <v>51340</v>
      </c>
      <c r="C228" s="177" t="n">
        <f aca="false">$A228*30</f>
        <v>5010</v>
      </c>
      <c r="D228" s="179" t="n">
        <f aca="false">(1+IPCA_CENARIO)^($A228/12)</f>
        <v>1.72602588798819</v>
      </c>
      <c r="F228" s="180" t="n">
        <f aca="false">M227</f>
        <v>699901.702722665</v>
      </c>
      <c r="G228" s="180" t="n">
        <f aca="false">IF($B$9=0,0,IF($A228&gt;IN_PRAZO,0,IF(APORTE_CORRIGIDO="Sim",IN_APORTE*$D228,IN_APORTE))+IF(AND($B$35=1,PGBL_REINVESTE="Sim",$A228&gt;=13,$A228&lt;=IN_PRAZO,MONTH($B228)=5),PGBL_BENEFICIO,0))</f>
        <v>0</v>
      </c>
      <c r="H228" s="180" t="n">
        <f aca="false">G228*$B$24</f>
        <v>0</v>
      </c>
      <c r="I228" s="180" t="n">
        <f aca="false">F228*$B$19</f>
        <v>6641.22233169746</v>
      </c>
      <c r="J228" s="180" t="n">
        <f aca="false">F228*$B$22</f>
        <v>116.650283787111</v>
      </c>
      <c r="K228" s="180" t="n">
        <f aca="false">$B$23*MAX(0,I228-F228*$B$18)</f>
        <v>0</v>
      </c>
      <c r="L228" s="180" t="n">
        <f aca="false">IF(AND($B$27=1,OR(MONTH($B228)=5,MONTH($B228)=11)),MAX(0,$B$28*MAX(0,(F228+I228-J228-K228+G228-H228)+O227-N228)-O227),0)</f>
        <v>0</v>
      </c>
      <c r="M228" s="181" t="n">
        <f aca="false">F228+I228-J228-K228+G228-H228-L228</f>
        <v>706426.274770575</v>
      </c>
      <c r="N228" s="180" t="n">
        <f aca="false">N227+G228-H228</f>
        <v>150000</v>
      </c>
      <c r="O228" s="180" t="n">
        <f aca="false">O227+L228</f>
        <v>0</v>
      </c>
      <c r="P228" s="180" t="n">
        <f aca="false">M228+O228-N228</f>
        <v>556426.274770575</v>
      </c>
      <c r="Q228" s="180" t="n">
        <f aca="false">MAX(0,IFERROR(INDEX(TAB_IR,MATCH($C228,TAB_IR_DIAS,1),MATCH($B$8,TAB_IR_REGIMES,0)),0)*IF($B$26=2,M228,MAX(0,P228))-O228)</f>
        <v>83463.9412155862</v>
      </c>
      <c r="R228" s="181" t="n">
        <f aca="false">MAX(0,M228-Q228-M228*$B$25)</f>
        <v>622962.333554989</v>
      </c>
      <c r="S228" s="180" t="n">
        <f aca="false">R228/$D228</f>
        <v>360922.93741961</v>
      </c>
      <c r="U228" s="180" t="n">
        <f aca="false">AB227</f>
        <v>562165.698504857</v>
      </c>
      <c r="V228" s="180" t="n">
        <f aca="false">IF($C$9=0,0,IF($A228&gt;IN_PRAZO,0,IF(APORTE_CORRIGIDO="Sim",IN_APORTE*$D228,IN_APORTE))+IF(AND($C$35=1,PGBL_REINVESTE="Sim",$A228&gt;=13,$A228&lt;=IN_PRAZO,MONTH($B228)=5),PGBL_BENEFICIO,0))</f>
        <v>0</v>
      </c>
      <c r="W228" s="180" t="n">
        <f aca="false">V228*$C$24</f>
        <v>0</v>
      </c>
      <c r="X228" s="180" t="n">
        <f aca="false">U228*$C$19</f>
        <v>4585.71233816527</v>
      </c>
      <c r="Y228" s="180" t="n">
        <f aca="false">U228*$C$22</f>
        <v>93.6942830841429</v>
      </c>
      <c r="Z228" s="180" t="n">
        <f aca="false">$C$23*MAX(0,X228-U228*$C$18)</f>
        <v>0</v>
      </c>
      <c r="AA228" s="180" t="n">
        <f aca="false">IF(AND($C$27=1,OR(MONTH($B228)=5,MONTH($B228)=11)),MAX(0,$C$28*MAX(0,(U228+X228-Y228-Z228+V228-W228)+AD227-AC228)-AD227),0)</f>
        <v>0</v>
      </c>
      <c r="AB228" s="181" t="n">
        <f aca="false">U228+X228-Y228-Z228+V228-W228-AA228</f>
        <v>566657.716559939</v>
      </c>
      <c r="AC228" s="180" t="n">
        <f aca="false">AC227+V228-W228</f>
        <v>150000</v>
      </c>
      <c r="AD228" s="180" t="n">
        <f aca="false">AD227+AA228</f>
        <v>0</v>
      </c>
      <c r="AE228" s="180" t="n">
        <f aca="false">AB228+AD228-AC228</f>
        <v>416657.716559939</v>
      </c>
      <c r="AF228" s="180" t="n">
        <f aca="false">MAX(0,IFERROR(INDEX(TAB_IR,MATCH($C228,TAB_IR_DIAS,1),MATCH($C$8,TAB_IR_REGIMES,0)),0)*IF($C$26=2,AB228,MAX(0,AE228))-AD228)</f>
        <v>62498.6574839908</v>
      </c>
      <c r="AG228" s="181" t="n">
        <f aca="false">MAX(0,AB228-AF228-AB228*$C$25)</f>
        <v>504159.059075948</v>
      </c>
      <c r="AH228" s="180" t="n">
        <f aca="false">AG228/$D228</f>
        <v>292092.40868547</v>
      </c>
      <c r="AJ228" s="180" t="n">
        <f aca="false">AQ227</f>
        <v>474370.095747399</v>
      </c>
      <c r="AK228" s="180" t="n">
        <f aca="false">IF($D$9=0,0,IF($A228&gt;IN_PRAZO,0,IF(APORTE_CORRIGIDO="Sim",IN_APORTE*$D228,IN_APORTE))+IF(AND($D$35=1,PGBL_REINVESTE="Sim",$A228&gt;=13,$A228&lt;=IN_PRAZO,MONTH($B228)=5),PGBL_BENEFICIO,0))</f>
        <v>0</v>
      </c>
      <c r="AL228" s="180" t="n">
        <f aca="false">AK228*$D$24</f>
        <v>0</v>
      </c>
      <c r="AM228" s="180" t="n">
        <f aca="false">AJ228*$D$19</f>
        <v>4263.96908003754</v>
      </c>
      <c r="AN228" s="180" t="n">
        <f aca="false">AJ228*$D$22</f>
        <v>395.308413122832</v>
      </c>
      <c r="AO228" s="180" t="n">
        <f aca="false">$D$23*MAX(0,AM228-AJ228*$D$18)</f>
        <v>0</v>
      </c>
      <c r="AP228" s="180" t="n">
        <f aca="false">IF(AND($D$27=1,OR(MONTH($B228)=5,MONTH($B228)=11)),MAX(0,$D$28*MAX(0,(AJ228+AM228-AN228-AO228+AK228-AL228)+AS227-AR228)-AS227),0)</f>
        <v>0</v>
      </c>
      <c r="AQ228" s="181" t="n">
        <f aca="false">AJ228+AM228-AN228-AO228+AK228-AL228-AP228</f>
        <v>478238.756414314</v>
      </c>
      <c r="AR228" s="180" t="n">
        <f aca="false">AR227+AK228-AL228</f>
        <v>150000</v>
      </c>
      <c r="AS228" s="180" t="n">
        <f aca="false">AS227+AP228</f>
        <v>56564.5994456997</v>
      </c>
      <c r="AT228" s="180" t="n">
        <f aca="false">AQ228+AS228-AR228</f>
        <v>384803.355860013</v>
      </c>
      <c r="AU228" s="180" t="n">
        <f aca="false">MAX(0,IFERROR(INDEX(TAB_IR,MATCH($C228,TAB_IR_DIAS,1),MATCH($D$8,TAB_IR_REGIMES,0)),0)*IF($D$26=2,AQ228,MAX(0,AT228))-AS228)</f>
        <v>1155.90393330232</v>
      </c>
      <c r="AV228" s="181" t="n">
        <f aca="false">MAX(0,AQ228-AU228-AQ228*$D$25)</f>
        <v>477082.852481011</v>
      </c>
      <c r="AW228" s="180" t="n">
        <f aca="false">AV228/$D228</f>
        <v>276405.38638565</v>
      </c>
      <c r="AY228" s="180" t="n">
        <f aca="false">BF227</f>
        <v>615262.931434617</v>
      </c>
      <c r="AZ228" s="180" t="n">
        <f aca="false">IF($E$9=0,0,IF($A228&gt;IN_PRAZO,0,IF(APORTE_CORRIGIDO="Sim",IN_APORTE*$D228,IN_APORTE))+IF(AND($E$35=1,PGBL_REINVESTE="Sim",$A228&gt;=13,$A228&lt;=IN_PRAZO,MONTH($B228)=5),PGBL_BENEFICIO,0))</f>
        <v>0</v>
      </c>
      <c r="BA228" s="180" t="n">
        <f aca="false">AZ228*$E$24</f>
        <v>0</v>
      </c>
      <c r="BB228" s="180" t="n">
        <f aca="false">AY228*$E$19</f>
        <v>6022.65215924915</v>
      </c>
      <c r="BC228" s="180" t="n">
        <f aca="false">AY228*$E$22</f>
        <v>769.078664293272</v>
      </c>
      <c r="BD228" s="180" t="n">
        <f aca="false">$E$23*MAX(0,BB228-AY228*$E$18)</f>
        <v>0</v>
      </c>
      <c r="BE228" s="180" t="n">
        <f aca="false">IF(AND($E$27=1,OR(MONTH($B228)=5,MONTH($B228)=11)),MAX(0,$E$28*MAX(0,(AY228+BB228-BC228-BD228+AZ228-BA228)+BH227-BG228)-BH227),0)</f>
        <v>0</v>
      </c>
      <c r="BF228" s="181" t="n">
        <f aca="false">AY228+BB228-BC228-BD228+AZ228-BA228-BE228</f>
        <v>620516.504929573</v>
      </c>
      <c r="BG228" s="180" t="n">
        <f aca="false">BG227+AZ228-BA228</f>
        <v>150000</v>
      </c>
      <c r="BH228" s="180" t="n">
        <f aca="false">BH227+BE228</f>
        <v>0</v>
      </c>
      <c r="BI228" s="180" t="n">
        <f aca="false">BF228+BH228-BG228</f>
        <v>470516.504929573</v>
      </c>
      <c r="BJ228" s="180" t="n">
        <f aca="false">MAX(0,IFERROR(INDEX(TAB_IR,MATCH($C228,TAB_IR_DIAS,1),MATCH($E$8,TAB_IR_REGIMES,0)),0)*IF($E$26=2,BF228,MAX(0,BI228))-BH228)</f>
        <v>47051.6504929573</v>
      </c>
      <c r="BK228" s="181" t="n">
        <f aca="false">MAX(0,BF228-BJ228-BF228*$E$25)</f>
        <v>573464.854436616</v>
      </c>
      <c r="BL228" s="180" t="n">
        <f aca="false">BK228/$D228</f>
        <v>332245.801425974</v>
      </c>
      <c r="BN228" s="180" t="n">
        <f aca="false">BU227</f>
        <v>615262.931434617</v>
      </c>
      <c r="BO228" s="180" t="n">
        <f aca="false">IF($F$9=0,0,IF($A228&gt;IN_PRAZO,0,IF(APORTE_CORRIGIDO="Sim",IN_APORTE*$D228,IN_APORTE))+IF(AND($F$35=1,PGBL_REINVESTE="Sim",$A228&gt;=13,$A228&lt;=IN_PRAZO,MONTH($B228)=5),PGBL_BENEFICIO,0))</f>
        <v>0</v>
      </c>
      <c r="BP228" s="180" t="n">
        <f aca="false">BO228*$F$24</f>
        <v>0</v>
      </c>
      <c r="BQ228" s="180" t="n">
        <f aca="false">BN228*$F$19</f>
        <v>6022.65215924915</v>
      </c>
      <c r="BR228" s="180" t="n">
        <f aca="false">BN228*$F$22</f>
        <v>769.078664293272</v>
      </c>
      <c r="BS228" s="180" t="n">
        <f aca="false">$F$23*MAX(0,BQ228-BN228*$F$18)</f>
        <v>0</v>
      </c>
      <c r="BT228" s="180" t="n">
        <f aca="false">IF(AND($F$27=1,OR(MONTH($B228)=5,MONTH($B228)=11)),MAX(0,$F$28*MAX(0,(BN228+BQ228-BR228-BS228+BO228-BP228)+BW227-BV228)-BW227),0)</f>
        <v>0</v>
      </c>
      <c r="BU228" s="181" t="n">
        <f aca="false">BN228+BQ228-BR228-BS228+BO228-BP228-BT228</f>
        <v>620516.504929573</v>
      </c>
      <c r="BV228" s="180" t="n">
        <f aca="false">BV227+BO228-BP228</f>
        <v>150000</v>
      </c>
      <c r="BW228" s="180" t="n">
        <f aca="false">BW227+BT228</f>
        <v>0</v>
      </c>
      <c r="BX228" s="180" t="n">
        <f aca="false">BU228+BW228-BV228</f>
        <v>470516.504929573</v>
      </c>
      <c r="BY228" s="180" t="n">
        <f aca="false">MAX(0,IFERROR(INDEX(TAB_IR,MATCH($C228,TAB_IR_DIAS,1),MATCH($F$8,TAB_IR_REGIMES,0)),0)*IF($F$26=2,BU228,MAX(0,BX228))-BW228)</f>
        <v>62051.6504929573</v>
      </c>
      <c r="BZ228" s="181" t="n">
        <f aca="false">MAX(0,BU228-BY228-BU228*$F$25)</f>
        <v>558464.854436616</v>
      </c>
      <c r="CA228" s="180" t="n">
        <f aca="false">BZ228/$D228</f>
        <v>323555.317636369</v>
      </c>
      <c r="CC228" s="180" t="n">
        <f aca="false">CJ227</f>
        <v>421854.962815371</v>
      </c>
      <c r="CD228" s="180" t="n">
        <f aca="false">IF($G$9=0,0,IF($A228&gt;IN_PRAZO,0,IF(APORTE_CORRIGIDO="Sim",IN_APORTE*$D228,IN_APORTE))+IF(AND($G$35=1,PGBL_REINVESTE="Sim",$A228&gt;=13,$A228&lt;=IN_PRAZO,MONTH($B228)=5),PGBL_BENEFICIO,0))</f>
        <v>0</v>
      </c>
      <c r="CE228" s="180" t="n">
        <f aca="false">CD228*$G$24</f>
        <v>0</v>
      </c>
      <c r="CF228" s="180" t="n">
        <f aca="false">CC228*$G$19</f>
        <v>3441.1660352877</v>
      </c>
      <c r="CG228" s="180" t="n">
        <f aca="false">CC228*$G$22</f>
        <v>351.545802346142</v>
      </c>
      <c r="CH228" s="180" t="n">
        <f aca="false">$G$23*MAX(0,CF228-CC228*$G$18)</f>
        <v>0</v>
      </c>
      <c r="CI228" s="180" t="n">
        <f aca="false">IF(AND($G$27=1,OR(MONTH($B228)=5,MONTH($B228)=11)),MAX(0,$G$28*MAX(0,(CC228+CF228-CG228-CH228+CD228-CE228)+CL227-CK228)-CL227),0)</f>
        <v>0</v>
      </c>
      <c r="CJ228" s="181" t="n">
        <f aca="false">CC228+CF228-CG228-CH228+CD228-CE228-CI228</f>
        <v>424944.583048312</v>
      </c>
      <c r="CK228" s="180" t="n">
        <f aca="false">CK227+CD228-CE228</f>
        <v>150000</v>
      </c>
      <c r="CL228" s="180" t="n">
        <f aca="false">CL227+CI228</f>
        <v>47433.1422542185</v>
      </c>
      <c r="CM228" s="180" t="n">
        <f aca="false">CJ228+CL228-CK228</f>
        <v>322377.725302531</v>
      </c>
      <c r="CN228" s="180" t="n">
        <f aca="false">MAX(0,IFERROR(INDEX(TAB_IR,MATCH($C228,TAB_IR_DIAS,1),MATCH($G$8,TAB_IR_REGIMES,0)),0)*IF($G$26=2,CJ228,MAX(0,CM228))-CL228)</f>
        <v>923.516541161109</v>
      </c>
      <c r="CO228" s="181" t="n">
        <f aca="false">MAX(0,CJ228-CN228-CJ228*$G$25)</f>
        <v>424021.066507151</v>
      </c>
      <c r="CP228" s="180" t="n">
        <f aca="false">CO228/$D228</f>
        <v>245663.213662095</v>
      </c>
    </row>
    <row r="229" customFormat="false" ht="12" hidden="false" customHeight="true" outlineLevel="0" collapsed="false">
      <c r="A229" s="177" t="n">
        <v>168</v>
      </c>
      <c r="B229" s="178" t="n">
        <f aca="false">EDATE(DATA_INICIO,$A229)</f>
        <v>51371</v>
      </c>
      <c r="C229" s="177" t="n">
        <f aca="false">$A229*30</f>
        <v>5040</v>
      </c>
      <c r="D229" s="179" t="n">
        <f aca="false">(1+IPCA_CENARIO)^($A229/12)</f>
        <v>1.7316764476028</v>
      </c>
      <c r="F229" s="180" t="n">
        <f aca="false">M228</f>
        <v>706426.274770575</v>
      </c>
      <c r="G229" s="180" t="n">
        <f aca="false">IF($B$9=0,0,IF($A229&gt;IN_PRAZO,0,IF(APORTE_CORRIGIDO="Sim",IN_APORTE*$D229,IN_APORTE))+IF(AND($B$35=1,PGBL_REINVESTE="Sim",$A229&gt;=13,$A229&lt;=IN_PRAZO,MONTH($B229)=5),PGBL_BENEFICIO,0))</f>
        <v>0</v>
      </c>
      <c r="H229" s="180" t="n">
        <f aca="false">G229*$B$24</f>
        <v>0</v>
      </c>
      <c r="I229" s="180" t="n">
        <f aca="false">F229*$B$19</f>
        <v>6703.13264484685</v>
      </c>
      <c r="J229" s="180" t="n">
        <f aca="false">F229*$B$22</f>
        <v>117.737712461762</v>
      </c>
      <c r="K229" s="180" t="n">
        <f aca="false">$B$23*MAX(0,I229-F229*$B$18)</f>
        <v>0</v>
      </c>
      <c r="L229" s="180" t="n">
        <f aca="false">IF(AND($B$27=1,OR(MONTH($B229)=5,MONTH($B229)=11)),MAX(0,$B$28*MAX(0,(F229+I229-J229-K229+G229-H229)+O228-N229)-O228),0)</f>
        <v>0</v>
      </c>
      <c r="M229" s="181" t="n">
        <f aca="false">F229+I229-J229-K229+G229-H229-L229</f>
        <v>713011.66970296</v>
      </c>
      <c r="N229" s="180" t="n">
        <f aca="false">N228+G229-H229</f>
        <v>150000</v>
      </c>
      <c r="O229" s="180" t="n">
        <f aca="false">O228+L229</f>
        <v>0</v>
      </c>
      <c r="P229" s="180" t="n">
        <f aca="false">M229+O229-N229</f>
        <v>563011.66970296</v>
      </c>
      <c r="Q229" s="180" t="n">
        <f aca="false">MAX(0,IFERROR(INDEX(TAB_IR,MATCH($C229,TAB_IR_DIAS,1),MATCH($B$8,TAB_IR_REGIMES,0)),0)*IF($B$26=2,M229,MAX(0,P229))-O229)</f>
        <v>84451.750455444</v>
      </c>
      <c r="R229" s="181" t="n">
        <f aca="false">MAX(0,M229-Q229-M229*$B$25)</f>
        <v>628559.919247516</v>
      </c>
      <c r="S229" s="180" t="n">
        <f aca="false">R229/$D229</f>
        <v>362977.691425927</v>
      </c>
      <c r="U229" s="180" t="n">
        <f aca="false">AB228</f>
        <v>566657.716559939</v>
      </c>
      <c r="V229" s="180" t="n">
        <f aca="false">IF($C$9=0,0,IF($A229&gt;IN_PRAZO,0,IF(APORTE_CORRIGIDO="Sim",IN_APORTE*$D229,IN_APORTE))+IF(AND($C$35=1,PGBL_REINVESTE="Sim",$A229&gt;=13,$A229&lt;=IN_PRAZO,MONTH($B229)=5),PGBL_BENEFICIO,0))</f>
        <v>0</v>
      </c>
      <c r="W229" s="180" t="n">
        <f aca="false">V229*$C$24</f>
        <v>0</v>
      </c>
      <c r="X229" s="180" t="n">
        <f aca="false">U229*$C$19</f>
        <v>4622.35474212772</v>
      </c>
      <c r="Y229" s="180" t="n">
        <f aca="false">U229*$C$22</f>
        <v>94.4429527599898</v>
      </c>
      <c r="Z229" s="180" t="n">
        <f aca="false">$C$23*MAX(0,X229-U229*$C$18)</f>
        <v>0</v>
      </c>
      <c r="AA229" s="180" t="n">
        <f aca="false">IF(AND($C$27=1,OR(MONTH($B229)=5,MONTH($B229)=11)),MAX(0,$C$28*MAX(0,(U229+X229-Y229-Z229+V229-W229)+AD228-AC229)-AD228),0)</f>
        <v>0</v>
      </c>
      <c r="AB229" s="181" t="n">
        <f aca="false">U229+X229-Y229-Z229+V229-W229-AA229</f>
        <v>571185.628349306</v>
      </c>
      <c r="AC229" s="180" t="n">
        <f aca="false">AC228+V229-W229</f>
        <v>150000</v>
      </c>
      <c r="AD229" s="180" t="n">
        <f aca="false">AD228+AA229</f>
        <v>0</v>
      </c>
      <c r="AE229" s="180" t="n">
        <f aca="false">AB229+AD229-AC229</f>
        <v>421185.628349306</v>
      </c>
      <c r="AF229" s="180" t="n">
        <f aca="false">MAX(0,IFERROR(INDEX(TAB_IR,MATCH($C229,TAB_IR_DIAS,1),MATCH($C$8,TAB_IR_REGIMES,0)),0)*IF($C$26=2,AB229,MAX(0,AE229))-AD229)</f>
        <v>63177.8442523959</v>
      </c>
      <c r="AG229" s="181" t="n">
        <f aca="false">MAX(0,AB229-AF229-AB229*$C$25)</f>
        <v>508007.78409691</v>
      </c>
      <c r="AH229" s="180" t="n">
        <f aca="false">AG229/$D229</f>
        <v>293361.837195485</v>
      </c>
      <c r="AJ229" s="180" t="n">
        <f aca="false">AQ228</f>
        <v>478238.756414314</v>
      </c>
      <c r="AK229" s="180" t="n">
        <f aca="false">IF($D$9=0,0,IF($A229&gt;IN_PRAZO,0,IF(APORTE_CORRIGIDO="Sim",IN_APORTE*$D229,IN_APORTE))+IF(AND($D$35=1,PGBL_REINVESTE="Sim",$A229&gt;=13,$A229&lt;=IN_PRAZO,MONTH($B229)=5),PGBL_BENEFICIO,0))</f>
        <v>0</v>
      </c>
      <c r="AL229" s="180" t="n">
        <f aca="false">AK229*$D$24</f>
        <v>0</v>
      </c>
      <c r="AM229" s="180" t="n">
        <f aca="false">AJ229*$D$19</f>
        <v>4298.74329875993</v>
      </c>
      <c r="AN229" s="180" t="n">
        <f aca="false">AJ229*$D$22</f>
        <v>398.532297011928</v>
      </c>
      <c r="AO229" s="180" t="n">
        <f aca="false">$D$23*MAX(0,AM229-AJ229*$D$18)</f>
        <v>0</v>
      </c>
      <c r="AP229" s="180" t="n">
        <f aca="false">IF(AND($D$27=1,OR(MONTH($B229)=5,MONTH($B229)=11)),MAX(0,$D$28*MAX(0,(AJ229+AM229-AN229-AO229+AK229-AL229)+AS228-AR229)-AS228),0)</f>
        <v>0</v>
      </c>
      <c r="AQ229" s="181" t="n">
        <f aca="false">AJ229+AM229-AN229-AO229+AK229-AL229-AP229</f>
        <v>482138.967416062</v>
      </c>
      <c r="AR229" s="180" t="n">
        <f aca="false">AR228+AK229-AL229</f>
        <v>150000</v>
      </c>
      <c r="AS229" s="180" t="n">
        <f aca="false">AS228+AP229</f>
        <v>56564.5994456997</v>
      </c>
      <c r="AT229" s="180" t="n">
        <f aca="false">AQ229+AS229-AR229</f>
        <v>388703.566861761</v>
      </c>
      <c r="AU229" s="180" t="n">
        <f aca="false">MAX(0,IFERROR(INDEX(TAB_IR,MATCH($C229,TAB_IR_DIAS,1),MATCH($D$8,TAB_IR_REGIMES,0)),0)*IF($D$26=2,AQ229,MAX(0,AT229))-AS229)</f>
        <v>1740.93558356453</v>
      </c>
      <c r="AV229" s="181" t="n">
        <f aca="false">MAX(0,AQ229-AU229-AQ229*$D$25)</f>
        <v>480398.031832497</v>
      </c>
      <c r="AW229" s="180" t="n">
        <f aca="false">AV229/$D229</f>
        <v>277417.893219904</v>
      </c>
      <c r="AY229" s="180" t="n">
        <f aca="false">BF228</f>
        <v>620516.504929573</v>
      </c>
      <c r="AZ229" s="180" t="n">
        <f aca="false">IF($E$9=0,0,IF($A229&gt;IN_PRAZO,0,IF(APORTE_CORRIGIDO="Sim",IN_APORTE*$D229,IN_APORTE))+IF(AND($E$35=1,PGBL_REINVESTE="Sim",$A229&gt;=13,$A229&lt;=IN_PRAZO,MONTH($B229)=5),PGBL_BENEFICIO,0))</f>
        <v>0</v>
      </c>
      <c r="BA229" s="180" t="n">
        <f aca="false">AZ229*$E$24</f>
        <v>0</v>
      </c>
      <c r="BB229" s="180" t="n">
        <f aca="false">AY229*$E$19</f>
        <v>6074.07805236999</v>
      </c>
      <c r="BC229" s="180" t="n">
        <f aca="false">AY229*$E$22</f>
        <v>775.645631161966</v>
      </c>
      <c r="BD229" s="180" t="n">
        <f aca="false">$E$23*MAX(0,BB229-AY229*$E$18)</f>
        <v>0</v>
      </c>
      <c r="BE229" s="180" t="n">
        <f aca="false">IF(AND($E$27=1,OR(MONTH($B229)=5,MONTH($B229)=11)),MAX(0,$E$28*MAX(0,(AY229+BB229-BC229-BD229+AZ229-BA229)+BH228-BG229)-BH228),0)</f>
        <v>0</v>
      </c>
      <c r="BF229" s="181" t="n">
        <f aca="false">AY229+BB229-BC229-BD229+AZ229-BA229-BE229</f>
        <v>625814.937350781</v>
      </c>
      <c r="BG229" s="180" t="n">
        <f aca="false">BG228+AZ229-BA229</f>
        <v>150000</v>
      </c>
      <c r="BH229" s="180" t="n">
        <f aca="false">BH228+BE229</f>
        <v>0</v>
      </c>
      <c r="BI229" s="180" t="n">
        <f aca="false">BF229+BH229-BG229</f>
        <v>475814.937350781</v>
      </c>
      <c r="BJ229" s="180" t="n">
        <f aca="false">MAX(0,IFERROR(INDEX(TAB_IR,MATCH($C229,TAB_IR_DIAS,1),MATCH($E$8,TAB_IR_REGIMES,0)),0)*IF($E$26=2,BF229,MAX(0,BI229))-BH229)</f>
        <v>47581.4937350781</v>
      </c>
      <c r="BK229" s="181" t="n">
        <f aca="false">MAX(0,BF229-BJ229-BF229*$E$25)</f>
        <v>578233.443615703</v>
      </c>
      <c r="BL229" s="180" t="n">
        <f aca="false">BK229/$D229</f>
        <v>333915.405742316</v>
      </c>
      <c r="BN229" s="180" t="n">
        <f aca="false">BU228</f>
        <v>620516.504929573</v>
      </c>
      <c r="BO229" s="180" t="n">
        <f aca="false">IF($F$9=0,0,IF($A229&gt;IN_PRAZO,0,IF(APORTE_CORRIGIDO="Sim",IN_APORTE*$D229,IN_APORTE))+IF(AND($F$35=1,PGBL_REINVESTE="Sim",$A229&gt;=13,$A229&lt;=IN_PRAZO,MONTH($B229)=5),PGBL_BENEFICIO,0))</f>
        <v>0</v>
      </c>
      <c r="BP229" s="180" t="n">
        <f aca="false">BO229*$F$24</f>
        <v>0</v>
      </c>
      <c r="BQ229" s="180" t="n">
        <f aca="false">BN229*$F$19</f>
        <v>6074.07805236999</v>
      </c>
      <c r="BR229" s="180" t="n">
        <f aca="false">BN229*$F$22</f>
        <v>775.645631161966</v>
      </c>
      <c r="BS229" s="180" t="n">
        <f aca="false">$F$23*MAX(0,BQ229-BN229*$F$18)</f>
        <v>0</v>
      </c>
      <c r="BT229" s="180" t="n">
        <f aca="false">IF(AND($F$27=1,OR(MONTH($B229)=5,MONTH($B229)=11)),MAX(0,$F$28*MAX(0,(BN229+BQ229-BR229-BS229+BO229-BP229)+BW228-BV229)-BW228),0)</f>
        <v>0</v>
      </c>
      <c r="BU229" s="181" t="n">
        <f aca="false">BN229+BQ229-BR229-BS229+BO229-BP229-BT229</f>
        <v>625814.937350781</v>
      </c>
      <c r="BV229" s="180" t="n">
        <f aca="false">BV228+BO229-BP229</f>
        <v>150000</v>
      </c>
      <c r="BW229" s="180" t="n">
        <f aca="false">BW228+BT229</f>
        <v>0</v>
      </c>
      <c r="BX229" s="180" t="n">
        <f aca="false">BU229+BW229-BV229</f>
        <v>475814.937350781</v>
      </c>
      <c r="BY229" s="180" t="n">
        <f aca="false">MAX(0,IFERROR(INDEX(TAB_IR,MATCH($C229,TAB_IR_DIAS,1),MATCH($F$8,TAB_IR_REGIMES,0)),0)*IF($F$26=2,BU229,MAX(0,BX229))-BW229)</f>
        <v>62581.4937350781</v>
      </c>
      <c r="BZ229" s="181" t="n">
        <f aca="false">MAX(0,BU229-BY229-BU229*$F$25)</f>
        <v>563233.443615703</v>
      </c>
      <c r="CA229" s="180" t="n">
        <f aca="false">BZ229/$D229</f>
        <v>325253.279499989</v>
      </c>
      <c r="CC229" s="180" t="n">
        <f aca="false">CJ228</f>
        <v>424944.583048312</v>
      </c>
      <c r="CD229" s="180" t="n">
        <f aca="false">IF($G$9=0,0,IF($A229&gt;IN_PRAZO,0,IF(APORTE_CORRIGIDO="Sim",IN_APORTE*$D229,IN_APORTE))+IF(AND($G$35=1,PGBL_REINVESTE="Sim",$A229&gt;=13,$A229&lt;=IN_PRAZO,MONTH($B229)=5),PGBL_BENEFICIO,0))</f>
        <v>0</v>
      </c>
      <c r="CE229" s="180" t="n">
        <f aca="false">CD229*$G$24</f>
        <v>0</v>
      </c>
      <c r="CF229" s="180" t="n">
        <f aca="false">CC229*$G$19</f>
        <v>3466.36876405633</v>
      </c>
      <c r="CG229" s="180" t="n">
        <f aca="false">CC229*$G$22</f>
        <v>354.120485873594</v>
      </c>
      <c r="CH229" s="180" t="n">
        <f aca="false">$G$23*MAX(0,CF229-CC229*$G$18)</f>
        <v>0</v>
      </c>
      <c r="CI229" s="180" t="n">
        <f aca="false">IF(AND($G$27=1,OR(MONTH($B229)=5,MONTH($B229)=11)),MAX(0,$G$28*MAX(0,(CC229+CF229-CG229-CH229+CD229-CE229)+CL228-CK229)-CL228),0)</f>
        <v>0</v>
      </c>
      <c r="CJ229" s="181" t="n">
        <f aca="false">CC229+CF229-CG229-CH229+CD229-CE229-CI229</f>
        <v>428056.831326495</v>
      </c>
      <c r="CK229" s="180" t="n">
        <f aca="false">CK228+CD229-CE229</f>
        <v>150000</v>
      </c>
      <c r="CL229" s="180" t="n">
        <f aca="false">CL228+CI229</f>
        <v>47433.1422542185</v>
      </c>
      <c r="CM229" s="180" t="n">
        <f aca="false">CJ229+CL229-CK229</f>
        <v>325489.973580714</v>
      </c>
      <c r="CN229" s="180" t="n">
        <f aca="false">MAX(0,IFERROR(INDEX(TAB_IR,MATCH($C229,TAB_IR_DIAS,1),MATCH($G$8,TAB_IR_REGIMES,0)),0)*IF($G$26=2,CJ229,MAX(0,CM229))-CL229)</f>
        <v>1390.35378288852</v>
      </c>
      <c r="CO229" s="181" t="n">
        <f aca="false">MAX(0,CJ229-CN229-CJ229*$G$25)</f>
        <v>426666.477543607</v>
      </c>
      <c r="CP229" s="180" t="n">
        <f aca="false">CO229/$D229</f>
        <v>246389.259456782</v>
      </c>
    </row>
    <row r="230" customFormat="false" ht="12" hidden="false" customHeight="true" outlineLevel="0" collapsed="false">
      <c r="A230" s="177" t="n">
        <v>169</v>
      </c>
      <c r="B230" s="178" t="n">
        <f aca="false">EDATE(DATA_INICIO,$A230)</f>
        <v>51402</v>
      </c>
      <c r="C230" s="177" t="n">
        <f aca="false">$A230*30</f>
        <v>5070</v>
      </c>
      <c r="D230" s="179" t="n">
        <f aca="false">(1+IPCA_CENARIO)^($A230/12)</f>
        <v>1.73734550567922</v>
      </c>
      <c r="F230" s="180" t="n">
        <f aca="false">M229</f>
        <v>713011.66970296</v>
      </c>
      <c r="G230" s="180" t="n">
        <f aca="false">IF($B$9=0,0,IF($A230&gt;IN_PRAZO,0,IF(APORTE_CORRIGIDO="Sim",IN_APORTE*$D230,IN_APORTE))+IF(AND($B$35=1,PGBL_REINVESTE="Sim",$A230&gt;=13,$A230&lt;=IN_PRAZO,MONTH($B230)=5),PGBL_BENEFICIO,0))</f>
        <v>0</v>
      </c>
      <c r="H230" s="180" t="n">
        <f aca="false">G230*$B$24</f>
        <v>0</v>
      </c>
      <c r="I230" s="180" t="n">
        <f aca="false">F230*$B$19</f>
        <v>6765.62009375271</v>
      </c>
      <c r="J230" s="180" t="n">
        <f aca="false">F230*$B$22</f>
        <v>118.835278283827</v>
      </c>
      <c r="K230" s="180" t="n">
        <f aca="false">$B$23*MAX(0,I230-F230*$B$18)</f>
        <v>0</v>
      </c>
      <c r="L230" s="180" t="n">
        <f aca="false">IF(AND($B$27=1,OR(MONTH($B230)=5,MONTH($B230)=11)),MAX(0,$B$28*MAX(0,(F230+I230-J230-K230+G230-H230)+O229-N230)-O229),0)</f>
        <v>0</v>
      </c>
      <c r="M230" s="181" t="n">
        <f aca="false">F230+I230-J230-K230+G230-H230-L230</f>
        <v>719658.454518429</v>
      </c>
      <c r="N230" s="180" t="n">
        <f aca="false">N229+G230-H230</f>
        <v>150000</v>
      </c>
      <c r="O230" s="180" t="n">
        <f aca="false">O229+L230</f>
        <v>0</v>
      </c>
      <c r="P230" s="180" t="n">
        <f aca="false">M230+O230-N230</f>
        <v>569658.454518429</v>
      </c>
      <c r="Q230" s="180" t="n">
        <f aca="false">MAX(0,IFERROR(INDEX(TAB_IR,MATCH($C230,TAB_IR_DIAS,1),MATCH($B$8,TAB_IR_REGIMES,0)),0)*IF($B$26=2,M230,MAX(0,P230))-O230)</f>
        <v>85448.7681777643</v>
      </c>
      <c r="R230" s="181" t="n">
        <f aca="false">MAX(0,M230-Q230-M230*$B$25)</f>
        <v>634209.686340665</v>
      </c>
      <c r="S230" s="180" t="n">
        <f aca="false">R230/$D230</f>
        <v>365045.228060563</v>
      </c>
      <c r="U230" s="180" t="n">
        <f aca="false">AB229</f>
        <v>571185.628349306</v>
      </c>
      <c r="V230" s="180" t="n">
        <f aca="false">IF($C$9=0,0,IF($A230&gt;IN_PRAZO,0,IF(APORTE_CORRIGIDO="Sim",IN_APORTE*$D230,IN_APORTE))+IF(AND($C$35=1,PGBL_REINVESTE="Sim",$A230&gt;=13,$A230&lt;=IN_PRAZO,MONTH($B230)=5),PGBL_BENEFICIO,0))</f>
        <v>0</v>
      </c>
      <c r="W230" s="180" t="n">
        <f aca="false">V230*$C$24</f>
        <v>0</v>
      </c>
      <c r="X230" s="180" t="n">
        <f aca="false">U230*$C$19</f>
        <v>4659.28993937268</v>
      </c>
      <c r="Y230" s="180" t="n">
        <f aca="false">U230*$C$22</f>
        <v>95.1976047248844</v>
      </c>
      <c r="Z230" s="180" t="n">
        <f aca="false">$C$23*MAX(0,X230-U230*$C$18)</f>
        <v>0</v>
      </c>
      <c r="AA230" s="180" t="n">
        <f aca="false">IF(AND($C$27=1,OR(MONTH($B230)=5,MONTH($B230)=11)),MAX(0,$C$28*MAX(0,(U230+X230-Y230-Z230+V230-W230)+AD229-AC230)-AD229),0)</f>
        <v>0</v>
      </c>
      <c r="AB230" s="181" t="n">
        <f aca="false">U230+X230-Y230-Z230+V230-W230-AA230</f>
        <v>575749.720683954</v>
      </c>
      <c r="AC230" s="180" t="n">
        <f aca="false">AC229+V230-W230</f>
        <v>150000</v>
      </c>
      <c r="AD230" s="180" t="n">
        <f aca="false">AD229+AA230</f>
        <v>0</v>
      </c>
      <c r="AE230" s="180" t="n">
        <f aca="false">AB230+AD230-AC230</f>
        <v>425749.720683954</v>
      </c>
      <c r="AF230" s="180" t="n">
        <f aca="false">MAX(0,IFERROR(INDEX(TAB_IR,MATCH($C230,TAB_IR_DIAS,1),MATCH($C$8,TAB_IR_REGIMES,0)),0)*IF($C$26=2,AB230,MAX(0,AE230))-AD230)</f>
        <v>63862.4581025931</v>
      </c>
      <c r="AG230" s="181" t="n">
        <f aca="false">MAX(0,AB230-AF230-AB230*$C$25)</f>
        <v>511887.262581361</v>
      </c>
      <c r="AH230" s="180" t="n">
        <f aca="false">AG230/$D230</f>
        <v>294637.572611809</v>
      </c>
      <c r="AJ230" s="180" t="n">
        <f aca="false">AQ229</f>
        <v>482138.967416062</v>
      </c>
      <c r="AK230" s="180" t="n">
        <f aca="false">IF($D$9=0,0,IF($A230&gt;IN_PRAZO,0,IF(APORTE_CORRIGIDO="Sim",IN_APORTE*$D230,IN_APORTE))+IF(AND($D$35=1,PGBL_REINVESTE="Sim",$A230&gt;=13,$A230&lt;=IN_PRAZO,MONTH($B230)=5),PGBL_BENEFICIO,0))</f>
        <v>0</v>
      </c>
      <c r="AL230" s="180" t="n">
        <f aca="false">AK230*$D$24</f>
        <v>0</v>
      </c>
      <c r="AM230" s="180" t="n">
        <f aca="false">AJ230*$D$19</f>
        <v>4333.80111388395</v>
      </c>
      <c r="AN230" s="180" t="n">
        <f aca="false">AJ230*$D$22</f>
        <v>401.782472846718</v>
      </c>
      <c r="AO230" s="180" t="n">
        <f aca="false">$D$23*MAX(0,AM230-AJ230*$D$18)</f>
        <v>0</v>
      </c>
      <c r="AP230" s="180" t="n">
        <f aca="false">IF(AND($D$27=1,OR(MONTH($B230)=5,MONTH($B230)=11)),MAX(0,$D$28*MAX(0,(AJ230+AM230-AN230-AO230+AK230-AL230)+AS229-AR230)-AS229),0)</f>
        <v>0</v>
      </c>
      <c r="AQ230" s="181" t="n">
        <f aca="false">AJ230+AM230-AN230-AO230+AK230-AL230-AP230</f>
        <v>486070.986057099</v>
      </c>
      <c r="AR230" s="180" t="n">
        <f aca="false">AR229+AK230-AL230</f>
        <v>150000</v>
      </c>
      <c r="AS230" s="180" t="n">
        <f aca="false">AS229+AP230</f>
        <v>56564.5994456997</v>
      </c>
      <c r="AT230" s="180" t="n">
        <f aca="false">AQ230+AS230-AR230</f>
        <v>392635.585502798</v>
      </c>
      <c r="AU230" s="180" t="n">
        <f aca="false">MAX(0,IFERROR(INDEX(TAB_IR,MATCH($C230,TAB_IR_DIAS,1),MATCH($D$8,TAB_IR_REGIMES,0)),0)*IF($D$26=2,AQ230,MAX(0,AT230))-AS230)</f>
        <v>2330.7383797201</v>
      </c>
      <c r="AV230" s="181" t="n">
        <f aca="false">MAX(0,AQ230-AU230-AQ230*$D$25)</f>
        <v>483740.247677379</v>
      </c>
      <c r="AW230" s="180" t="n">
        <f aca="false">AV230/$D230</f>
        <v>278436.411235461</v>
      </c>
      <c r="AY230" s="180" t="n">
        <f aca="false">BF229</f>
        <v>625814.937350781</v>
      </c>
      <c r="AZ230" s="180" t="n">
        <f aca="false">IF($E$9=0,0,IF($A230&gt;IN_PRAZO,0,IF(APORTE_CORRIGIDO="Sim",IN_APORTE*$D230,IN_APORTE))+IF(AND($E$35=1,PGBL_REINVESTE="Sim",$A230&gt;=13,$A230&lt;=IN_PRAZO,MONTH($B230)=5),PGBL_BENEFICIO,0))</f>
        <v>0</v>
      </c>
      <c r="BA230" s="180" t="n">
        <f aca="false">AZ230*$E$24</f>
        <v>0</v>
      </c>
      <c r="BB230" s="180" t="n">
        <f aca="false">AY230*$E$19</f>
        <v>6125.94305809659</v>
      </c>
      <c r="BC230" s="180" t="n">
        <f aca="false">AY230*$E$22</f>
        <v>782.268671688477</v>
      </c>
      <c r="BD230" s="180" t="n">
        <f aca="false">$E$23*MAX(0,BB230-AY230*$E$18)</f>
        <v>0</v>
      </c>
      <c r="BE230" s="180" t="n">
        <f aca="false">IF(AND($E$27=1,OR(MONTH($B230)=5,MONTH($B230)=11)),MAX(0,$E$28*MAX(0,(AY230+BB230-BC230-BD230+AZ230-BA230)+BH229-BG230)-BH229),0)</f>
        <v>0</v>
      </c>
      <c r="BF230" s="181" t="n">
        <f aca="false">AY230+BB230-BC230-BD230+AZ230-BA230-BE230</f>
        <v>631158.611737189</v>
      </c>
      <c r="BG230" s="180" t="n">
        <f aca="false">BG229+AZ230-BA230</f>
        <v>150000</v>
      </c>
      <c r="BH230" s="180" t="n">
        <f aca="false">BH229+BE230</f>
        <v>0</v>
      </c>
      <c r="BI230" s="180" t="n">
        <f aca="false">BF230+BH230-BG230</f>
        <v>481158.611737189</v>
      </c>
      <c r="BJ230" s="180" t="n">
        <f aca="false">MAX(0,IFERROR(INDEX(TAB_IR,MATCH($C230,TAB_IR_DIAS,1),MATCH($E$8,TAB_IR_REGIMES,0)),0)*IF($E$26=2,BF230,MAX(0,BI230))-BH230)</f>
        <v>48115.8611737189</v>
      </c>
      <c r="BK230" s="181" t="n">
        <f aca="false">MAX(0,BF230-BJ230-BF230*$E$25)</f>
        <v>583042.75056347</v>
      </c>
      <c r="BL230" s="180" t="n">
        <f aca="false">BK230/$D230</f>
        <v>335594.013198617</v>
      </c>
      <c r="BN230" s="180" t="n">
        <f aca="false">BU229</f>
        <v>625814.937350781</v>
      </c>
      <c r="BO230" s="180" t="n">
        <f aca="false">IF($F$9=0,0,IF($A230&gt;IN_PRAZO,0,IF(APORTE_CORRIGIDO="Sim",IN_APORTE*$D230,IN_APORTE))+IF(AND($F$35=1,PGBL_REINVESTE="Sim",$A230&gt;=13,$A230&lt;=IN_PRAZO,MONTH($B230)=5),PGBL_BENEFICIO,0))</f>
        <v>0</v>
      </c>
      <c r="BP230" s="180" t="n">
        <f aca="false">BO230*$F$24</f>
        <v>0</v>
      </c>
      <c r="BQ230" s="180" t="n">
        <f aca="false">BN230*$F$19</f>
        <v>6125.94305809659</v>
      </c>
      <c r="BR230" s="180" t="n">
        <f aca="false">BN230*$F$22</f>
        <v>782.268671688477</v>
      </c>
      <c r="BS230" s="180" t="n">
        <f aca="false">$F$23*MAX(0,BQ230-BN230*$F$18)</f>
        <v>0</v>
      </c>
      <c r="BT230" s="180" t="n">
        <f aca="false">IF(AND($F$27=1,OR(MONTH($B230)=5,MONTH($B230)=11)),MAX(0,$F$28*MAX(0,(BN230+BQ230-BR230-BS230+BO230-BP230)+BW229-BV230)-BW229),0)</f>
        <v>0</v>
      </c>
      <c r="BU230" s="181" t="n">
        <f aca="false">BN230+BQ230-BR230-BS230+BO230-BP230-BT230</f>
        <v>631158.611737189</v>
      </c>
      <c r="BV230" s="180" t="n">
        <f aca="false">BV229+BO230-BP230</f>
        <v>150000</v>
      </c>
      <c r="BW230" s="180" t="n">
        <f aca="false">BW229+BT230</f>
        <v>0</v>
      </c>
      <c r="BX230" s="180" t="n">
        <f aca="false">BU230+BW230-BV230</f>
        <v>481158.611737189</v>
      </c>
      <c r="BY230" s="180" t="n">
        <f aca="false">MAX(0,IFERROR(INDEX(TAB_IR,MATCH($C230,TAB_IR_DIAS,1),MATCH($F$8,TAB_IR_REGIMES,0)),0)*IF($F$26=2,BU230,MAX(0,BX230))-BW230)</f>
        <v>63115.8611737189</v>
      </c>
      <c r="BZ230" s="181" t="n">
        <f aca="false">MAX(0,BU230-BY230-BU230*$F$25)</f>
        <v>568042.75056347</v>
      </c>
      <c r="CA230" s="180" t="n">
        <f aca="false">BZ230/$D230</f>
        <v>326960.151971264</v>
      </c>
      <c r="CC230" s="180" t="n">
        <f aca="false">CJ229</f>
        <v>428056.831326495</v>
      </c>
      <c r="CD230" s="180" t="n">
        <f aca="false">IF($G$9=0,0,IF($A230&gt;IN_PRAZO,0,IF(APORTE_CORRIGIDO="Sim",IN_APORTE*$D230,IN_APORTE))+IF(AND($G$35=1,PGBL_REINVESTE="Sim",$A230&gt;=13,$A230&lt;=IN_PRAZO,MONTH($B230)=5),PGBL_BENEFICIO,0))</f>
        <v>0</v>
      </c>
      <c r="CE230" s="180" t="n">
        <f aca="false">CD230*$G$24</f>
        <v>0</v>
      </c>
      <c r="CF230" s="180" t="n">
        <f aca="false">CC230*$G$19</f>
        <v>3491.75607489129</v>
      </c>
      <c r="CG230" s="180" t="n">
        <f aca="false">CC230*$G$22</f>
        <v>356.714026105413</v>
      </c>
      <c r="CH230" s="180" t="n">
        <f aca="false">$G$23*MAX(0,CF230-CC230*$G$18)</f>
        <v>0</v>
      </c>
      <c r="CI230" s="180" t="n">
        <f aca="false">IF(AND($G$27=1,OR(MONTH($B230)=5,MONTH($B230)=11)),MAX(0,$G$28*MAX(0,(CC230+CF230-CG230-CH230+CD230-CE230)+CL229-CK230)-CL229),0)</f>
        <v>0</v>
      </c>
      <c r="CJ230" s="181" t="n">
        <f aca="false">CC230+CF230-CG230-CH230+CD230-CE230-CI230</f>
        <v>431191.873375281</v>
      </c>
      <c r="CK230" s="180" t="n">
        <f aca="false">CK229+CD230-CE230</f>
        <v>150000</v>
      </c>
      <c r="CL230" s="180" t="n">
        <f aca="false">CL229+CI230</f>
        <v>47433.1422542185</v>
      </c>
      <c r="CM230" s="180" t="n">
        <f aca="false">CJ230+CL230-CK230</f>
        <v>328625.0156295</v>
      </c>
      <c r="CN230" s="180" t="n">
        <f aca="false">MAX(0,IFERROR(INDEX(TAB_IR,MATCH($C230,TAB_IR_DIAS,1),MATCH($G$8,TAB_IR_REGIMES,0)),0)*IF($G$26=2,CJ230,MAX(0,CM230))-CL230)</f>
        <v>1860.6100902064</v>
      </c>
      <c r="CO230" s="181" t="n">
        <f aca="false">MAX(0,CJ230-CN230-CJ230*$G$25)</f>
        <v>429331.263285075</v>
      </c>
      <c r="CP230" s="180" t="n">
        <f aca="false">CO230/$D230</f>
        <v>247119.103184503</v>
      </c>
    </row>
    <row r="231" customFormat="false" ht="12" hidden="false" customHeight="true" outlineLevel="0" collapsed="false">
      <c r="A231" s="177" t="n">
        <v>170</v>
      </c>
      <c r="B231" s="178" t="n">
        <f aca="false">EDATE(DATA_INICIO,$A231)</f>
        <v>51432</v>
      </c>
      <c r="C231" s="177" t="n">
        <f aca="false">$A231*30</f>
        <v>5100</v>
      </c>
      <c r="D231" s="179" t="n">
        <f aca="false">(1+IPCA_CENARIO)^($A231/12)</f>
        <v>1.74303312277659</v>
      </c>
      <c r="F231" s="180" t="n">
        <f aca="false">M230</f>
        <v>719658.454518429</v>
      </c>
      <c r="G231" s="180" t="n">
        <f aca="false">IF($B$9=0,0,IF($A231&gt;IN_PRAZO,0,IF(APORTE_CORRIGIDO="Sim",IN_APORTE*$D231,IN_APORTE))+IF(AND($B$35=1,PGBL_REINVESTE="Sim",$A231&gt;=13,$A231&lt;=IN_PRAZO,MONTH($B231)=5),PGBL_BENEFICIO,0))</f>
        <v>0</v>
      </c>
      <c r="H231" s="180" t="n">
        <f aca="false">G231*$B$24</f>
        <v>0</v>
      </c>
      <c r="I231" s="180" t="n">
        <f aca="false">F231*$B$19</f>
        <v>6828.69005854742</v>
      </c>
      <c r="J231" s="180" t="n">
        <f aca="false">F231*$B$22</f>
        <v>119.943075753071</v>
      </c>
      <c r="K231" s="180" t="n">
        <f aca="false">$B$23*MAX(0,I231-F231*$B$18)</f>
        <v>0</v>
      </c>
      <c r="L231" s="180" t="n">
        <f aca="false">IF(AND($B$27=1,OR(MONTH($B231)=5,MONTH($B231)=11)),MAX(0,$B$28*MAX(0,(F231+I231-J231-K231+G231-H231)+O230-N231)-O230),0)</f>
        <v>0</v>
      </c>
      <c r="M231" s="181" t="n">
        <f aca="false">F231+I231-J231-K231+G231-H231-L231</f>
        <v>726367.201501223</v>
      </c>
      <c r="N231" s="180" t="n">
        <f aca="false">N230+G231-H231</f>
        <v>150000</v>
      </c>
      <c r="O231" s="180" t="n">
        <f aca="false">O230+L231</f>
        <v>0</v>
      </c>
      <c r="P231" s="180" t="n">
        <f aca="false">M231+O231-N231</f>
        <v>576367.201501223</v>
      </c>
      <c r="Q231" s="180" t="n">
        <f aca="false">MAX(0,IFERROR(INDEX(TAB_IR,MATCH($C231,TAB_IR_DIAS,1),MATCH($B$8,TAB_IR_REGIMES,0)),0)*IF($B$26=2,M231,MAX(0,P231))-O231)</f>
        <v>86455.0802251835</v>
      </c>
      <c r="R231" s="181" t="n">
        <f aca="false">MAX(0,M231-Q231-M231*$B$25)</f>
        <v>639912.12127604</v>
      </c>
      <c r="S231" s="180" t="n">
        <f aca="false">R231/$D231</f>
        <v>367125.623095839</v>
      </c>
      <c r="U231" s="180" t="n">
        <f aca="false">AB230</f>
        <v>575749.720683954</v>
      </c>
      <c r="V231" s="180" t="n">
        <f aca="false">IF($C$9=0,0,IF($A231&gt;IN_PRAZO,0,IF(APORTE_CORRIGIDO="Sim",IN_APORTE*$D231,IN_APORTE))+IF(AND($C$35=1,PGBL_REINVESTE="Sim",$A231&gt;=13,$A231&lt;=IN_PRAZO,MONTH($B231)=5),PGBL_BENEFICIO,0))</f>
        <v>0</v>
      </c>
      <c r="W231" s="180" t="n">
        <f aca="false">V231*$C$24</f>
        <v>0</v>
      </c>
      <c r="X231" s="180" t="n">
        <f aca="false">U231*$C$19</f>
        <v>4696.52026948209</v>
      </c>
      <c r="Y231" s="180" t="n">
        <f aca="false">U231*$C$22</f>
        <v>95.958286780659</v>
      </c>
      <c r="Z231" s="180" t="n">
        <f aca="false">$C$23*MAX(0,X231-U231*$C$18)</f>
        <v>0</v>
      </c>
      <c r="AA231" s="180" t="n">
        <f aca="false">IF(AND($C$27=1,OR(MONTH($B231)=5,MONTH($B231)=11)),MAX(0,$C$28*MAX(0,(U231+X231-Y231-Z231+V231-W231)+AD230-AC231)-AD230),0)</f>
        <v>0</v>
      </c>
      <c r="AB231" s="181" t="n">
        <f aca="false">U231+X231-Y231-Z231+V231-W231-AA231</f>
        <v>580350.282666655</v>
      </c>
      <c r="AC231" s="180" t="n">
        <f aca="false">AC230+V231-W231</f>
        <v>150000</v>
      </c>
      <c r="AD231" s="180" t="n">
        <f aca="false">AD230+AA231</f>
        <v>0</v>
      </c>
      <c r="AE231" s="180" t="n">
        <f aca="false">AB231+AD231-AC231</f>
        <v>430350.282666655</v>
      </c>
      <c r="AF231" s="180" t="n">
        <f aca="false">MAX(0,IFERROR(INDEX(TAB_IR,MATCH($C231,TAB_IR_DIAS,1),MATCH($C$8,TAB_IR_REGIMES,0)),0)*IF($C$26=2,AB231,MAX(0,AE231))-AD231)</f>
        <v>64552.5423999983</v>
      </c>
      <c r="AG231" s="181" t="n">
        <f aca="false">MAX(0,AB231-AF231-AB231*$C$25)</f>
        <v>515797.740266657</v>
      </c>
      <c r="AH231" s="180" t="n">
        <f aca="false">AG231/$D231</f>
        <v>295919.643480447</v>
      </c>
      <c r="AJ231" s="180" t="n">
        <f aca="false">AQ230</f>
        <v>486070.986057099</v>
      </c>
      <c r="AK231" s="180" t="n">
        <f aca="false">IF($D$9=0,0,IF($A231&gt;IN_PRAZO,0,IF(APORTE_CORRIGIDO="Sim",IN_APORTE*$D231,IN_APORTE))+IF(AND($D$35=1,PGBL_REINVESTE="Sim",$A231&gt;=13,$A231&lt;=IN_PRAZO,MONTH($B231)=5),PGBL_BENEFICIO,0))</f>
        <v>0</v>
      </c>
      <c r="AL231" s="180" t="n">
        <f aca="false">AK231*$D$24</f>
        <v>0</v>
      </c>
      <c r="AM231" s="180" t="n">
        <f aca="false">AJ231*$D$19</f>
        <v>4369.1448382414</v>
      </c>
      <c r="AN231" s="180" t="n">
        <f aca="false">AJ231*$D$22</f>
        <v>405.059155047582</v>
      </c>
      <c r="AO231" s="180" t="n">
        <f aca="false">$D$23*MAX(0,AM231-AJ231*$D$18)</f>
        <v>0</v>
      </c>
      <c r="AP231" s="180" t="n">
        <f aca="false">IF(AND($D$27=1,OR(MONTH($B231)=5,MONTH($B231)=11)),MAX(0,$D$28*MAX(0,(AJ231+AM231-AN231-AO231+AK231-AL231)+AS230-AR231)-AS230),0)</f>
        <v>0</v>
      </c>
      <c r="AQ231" s="181" t="n">
        <f aca="false">AJ231+AM231-AN231-AO231+AK231-AL231-AP231</f>
        <v>490035.071740293</v>
      </c>
      <c r="AR231" s="180" t="n">
        <f aca="false">AR230+AK231-AL231</f>
        <v>150000</v>
      </c>
      <c r="AS231" s="180" t="n">
        <f aca="false">AS230+AP231</f>
        <v>56564.5994456997</v>
      </c>
      <c r="AT231" s="180" t="n">
        <f aca="false">AQ231+AS231-AR231</f>
        <v>396599.671185992</v>
      </c>
      <c r="AU231" s="180" t="n">
        <f aca="false">MAX(0,IFERROR(INDEX(TAB_IR,MATCH($C231,TAB_IR_DIAS,1),MATCH($D$8,TAB_IR_REGIMES,0)),0)*IF($D$26=2,AQ231,MAX(0,AT231))-AS231)</f>
        <v>2925.35123219918</v>
      </c>
      <c r="AV231" s="181" t="n">
        <f aca="false">MAX(0,AQ231-AU231-AQ231*$D$25)</f>
        <v>487109.720508093</v>
      </c>
      <c r="AW231" s="180" t="n">
        <f aca="false">AV231/$D231</f>
        <v>279460.96614168</v>
      </c>
      <c r="AY231" s="180" t="n">
        <f aca="false">BF230</f>
        <v>631158.611737189</v>
      </c>
      <c r="AZ231" s="180" t="n">
        <f aca="false">IF($E$9=0,0,IF($A231&gt;IN_PRAZO,0,IF(APORTE_CORRIGIDO="Sim",IN_APORTE*$D231,IN_APORTE))+IF(AND($E$35=1,PGBL_REINVESTE="Sim",$A231&gt;=13,$A231&lt;=IN_PRAZO,MONTH($B231)=5),PGBL_BENEFICIO,0))</f>
        <v>0</v>
      </c>
      <c r="BA231" s="180" t="n">
        <f aca="false">AZ231*$E$24</f>
        <v>0</v>
      </c>
      <c r="BB231" s="180" t="n">
        <f aca="false">AY231*$E$19</f>
        <v>6178.25092589968</v>
      </c>
      <c r="BC231" s="180" t="n">
        <f aca="false">AY231*$E$22</f>
        <v>788.948264671487</v>
      </c>
      <c r="BD231" s="180" t="n">
        <f aca="false">$E$23*MAX(0,BB231-AY231*$E$18)</f>
        <v>0</v>
      </c>
      <c r="BE231" s="180" t="n">
        <f aca="false">IF(AND($E$27=1,OR(MONTH($B231)=5,MONTH($B231)=11)),MAX(0,$E$28*MAX(0,(AY231+BB231-BC231-BD231+AZ231-BA231)+BH230-BG231)-BH230),0)</f>
        <v>0</v>
      </c>
      <c r="BF231" s="181" t="n">
        <f aca="false">AY231+BB231-BC231-BD231+AZ231-BA231-BE231</f>
        <v>636547.914398418</v>
      </c>
      <c r="BG231" s="180" t="n">
        <f aca="false">BG230+AZ231-BA231</f>
        <v>150000</v>
      </c>
      <c r="BH231" s="180" t="n">
        <f aca="false">BH230+BE231</f>
        <v>0</v>
      </c>
      <c r="BI231" s="180" t="n">
        <f aca="false">BF231+BH231-BG231</f>
        <v>486547.914398417</v>
      </c>
      <c r="BJ231" s="180" t="n">
        <f aca="false">MAX(0,IFERROR(INDEX(TAB_IR,MATCH($C231,TAB_IR_DIAS,1),MATCH($E$8,TAB_IR_REGIMES,0)),0)*IF($E$26=2,BF231,MAX(0,BI231))-BH231)</f>
        <v>48654.7914398418</v>
      </c>
      <c r="BK231" s="181" t="n">
        <f aca="false">MAX(0,BF231-BJ231-BF231*$E$25)</f>
        <v>587893.122958576</v>
      </c>
      <c r="BL231" s="180" t="n">
        <f aca="false">BK231/$D231</f>
        <v>337281.670254255</v>
      </c>
      <c r="BN231" s="180" t="n">
        <f aca="false">BU230</f>
        <v>631158.611737189</v>
      </c>
      <c r="BO231" s="180" t="n">
        <f aca="false">IF($F$9=0,0,IF($A231&gt;IN_PRAZO,0,IF(APORTE_CORRIGIDO="Sim",IN_APORTE*$D231,IN_APORTE))+IF(AND($F$35=1,PGBL_REINVESTE="Sim",$A231&gt;=13,$A231&lt;=IN_PRAZO,MONTH($B231)=5),PGBL_BENEFICIO,0))</f>
        <v>0</v>
      </c>
      <c r="BP231" s="180" t="n">
        <f aca="false">BO231*$F$24</f>
        <v>0</v>
      </c>
      <c r="BQ231" s="180" t="n">
        <f aca="false">BN231*$F$19</f>
        <v>6178.25092589968</v>
      </c>
      <c r="BR231" s="180" t="n">
        <f aca="false">BN231*$F$22</f>
        <v>788.948264671487</v>
      </c>
      <c r="BS231" s="180" t="n">
        <f aca="false">$F$23*MAX(0,BQ231-BN231*$F$18)</f>
        <v>0</v>
      </c>
      <c r="BT231" s="180" t="n">
        <f aca="false">IF(AND($F$27=1,OR(MONTH($B231)=5,MONTH($B231)=11)),MAX(0,$F$28*MAX(0,(BN231+BQ231-BR231-BS231+BO231-BP231)+BW230-BV231)-BW230),0)</f>
        <v>0</v>
      </c>
      <c r="BU231" s="181" t="n">
        <f aca="false">BN231+BQ231-BR231-BS231+BO231-BP231-BT231</f>
        <v>636547.914398418</v>
      </c>
      <c r="BV231" s="180" t="n">
        <f aca="false">BV230+BO231-BP231</f>
        <v>150000</v>
      </c>
      <c r="BW231" s="180" t="n">
        <f aca="false">BW230+BT231</f>
        <v>0</v>
      </c>
      <c r="BX231" s="180" t="n">
        <f aca="false">BU231+BW231-BV231</f>
        <v>486547.914398417</v>
      </c>
      <c r="BY231" s="180" t="n">
        <f aca="false">MAX(0,IFERROR(INDEX(TAB_IR,MATCH($C231,TAB_IR_DIAS,1),MATCH($F$8,TAB_IR_REGIMES,0)),0)*IF($F$26=2,BU231,MAX(0,BX231))-BW231)</f>
        <v>63654.7914398418</v>
      </c>
      <c r="BZ231" s="181" t="n">
        <f aca="false">MAX(0,BU231-BY231-BU231*$F$25)</f>
        <v>572893.122958576</v>
      </c>
      <c r="CA231" s="180" t="n">
        <f aca="false">BZ231/$D231</f>
        <v>328675.98181151</v>
      </c>
      <c r="CC231" s="180" t="n">
        <f aca="false">CJ230</f>
        <v>431191.873375281</v>
      </c>
      <c r="CD231" s="180" t="n">
        <f aca="false">IF($G$9=0,0,IF($A231&gt;IN_PRAZO,0,IF(APORTE_CORRIGIDO="Sim",IN_APORTE*$D231,IN_APORTE))+IF(AND($G$35=1,PGBL_REINVESTE="Sim",$A231&gt;=13,$A231&lt;=IN_PRAZO,MONTH($B231)=5),PGBL_BENEFICIO,0))</f>
        <v>0</v>
      </c>
      <c r="CE231" s="180" t="n">
        <f aca="false">CD231*$G$24</f>
        <v>0</v>
      </c>
      <c r="CF231" s="180" t="n">
        <f aca="false">CC231*$G$19</f>
        <v>3517.32931965172</v>
      </c>
      <c r="CG231" s="180" t="n">
        <f aca="false">CC231*$G$22</f>
        <v>359.326561146068</v>
      </c>
      <c r="CH231" s="180" t="n">
        <f aca="false">$G$23*MAX(0,CF231-CC231*$G$18)</f>
        <v>0</v>
      </c>
      <c r="CI231" s="180" t="n">
        <f aca="false">IF(AND($G$27=1,OR(MONTH($B231)=5,MONTH($B231)=11)),MAX(0,$G$28*MAX(0,(CC231+CF231-CG231-CH231+CD231-CE231)+CL230-CK231)-CL230),0)</f>
        <v>0</v>
      </c>
      <c r="CJ231" s="181" t="n">
        <f aca="false">CC231+CF231-CG231-CH231+CD231-CE231-CI231</f>
        <v>434349.876133787</v>
      </c>
      <c r="CK231" s="180" t="n">
        <f aca="false">CK230+CD231-CE231</f>
        <v>150000</v>
      </c>
      <c r="CL231" s="180" t="n">
        <f aca="false">CL230+CI231</f>
        <v>47433.1422542185</v>
      </c>
      <c r="CM231" s="180" t="n">
        <f aca="false">CJ231+CL231-CK231</f>
        <v>331783.018388005</v>
      </c>
      <c r="CN231" s="180" t="n">
        <f aca="false">MAX(0,IFERROR(INDEX(TAB_IR,MATCH($C231,TAB_IR_DIAS,1),MATCH($G$8,TAB_IR_REGIMES,0)),0)*IF($G$26=2,CJ231,MAX(0,CM231))-CL231)</f>
        <v>2334.31050398225</v>
      </c>
      <c r="CO231" s="181" t="n">
        <f aca="false">MAX(0,CJ231-CN231-CJ231*$G$25)</f>
        <v>432015.565629804</v>
      </c>
      <c r="CP231" s="180" t="n">
        <f aca="false">CO231/$D231</f>
        <v>247852.75734842</v>
      </c>
    </row>
    <row r="232" customFormat="false" ht="12" hidden="false" customHeight="true" outlineLevel="0" collapsed="false">
      <c r="A232" s="177" t="n">
        <v>171</v>
      </c>
      <c r="B232" s="178" t="n">
        <f aca="false">EDATE(DATA_INICIO,$A232)</f>
        <v>51463</v>
      </c>
      <c r="C232" s="177" t="n">
        <f aca="false">$A232*30</f>
        <v>5130</v>
      </c>
      <c r="D232" s="179" t="n">
        <f aca="false">(1+IPCA_CENARIO)^($A232/12)</f>
        <v>1.74873935965231</v>
      </c>
      <c r="F232" s="180" t="n">
        <f aca="false">M231</f>
        <v>726367.201501223</v>
      </c>
      <c r="G232" s="180" t="n">
        <f aca="false">IF($B$9=0,0,IF($A232&gt;IN_PRAZO,0,IF(APORTE_CORRIGIDO="Sim",IN_APORTE*$D232,IN_APORTE))+IF(AND($B$35=1,PGBL_REINVESTE="Sim",$A232&gt;=13,$A232&lt;=IN_PRAZO,MONTH($B232)=5),PGBL_BENEFICIO,0))</f>
        <v>0</v>
      </c>
      <c r="H232" s="180" t="n">
        <f aca="false">G232*$B$24</f>
        <v>0</v>
      </c>
      <c r="I232" s="180" t="n">
        <f aca="false">F232*$B$19</f>
        <v>6892.34796951767</v>
      </c>
      <c r="J232" s="180" t="n">
        <f aca="false">F232*$B$22</f>
        <v>121.061200250204</v>
      </c>
      <c r="K232" s="180" t="n">
        <f aca="false">$B$23*MAX(0,I232-F232*$B$18)</f>
        <v>0</v>
      </c>
      <c r="L232" s="180" t="n">
        <f aca="false">IF(AND($B$27=1,OR(MONTH($B232)=5,MONTH($B232)=11)),MAX(0,$B$28*MAX(0,(F232+I232-J232-K232+G232-H232)+O231-N232)-O231),0)</f>
        <v>0</v>
      </c>
      <c r="M232" s="181" t="n">
        <f aca="false">F232+I232-J232-K232+G232-H232-L232</f>
        <v>733138.488270491</v>
      </c>
      <c r="N232" s="180" t="n">
        <f aca="false">N231+G232-H232</f>
        <v>150000</v>
      </c>
      <c r="O232" s="180" t="n">
        <f aca="false">O231+L232</f>
        <v>0</v>
      </c>
      <c r="P232" s="180" t="n">
        <f aca="false">M232+O232-N232</f>
        <v>583138.488270491</v>
      </c>
      <c r="Q232" s="180" t="n">
        <f aca="false">MAX(0,IFERROR(INDEX(TAB_IR,MATCH($C232,TAB_IR_DIAS,1),MATCH($B$8,TAB_IR_REGIMES,0)),0)*IF($B$26=2,M232,MAX(0,P232))-O232)</f>
        <v>87470.7732405736</v>
      </c>
      <c r="R232" s="181" t="n">
        <f aca="false">MAX(0,M232-Q232-M232*$B$25)</f>
        <v>645667.715029917</v>
      </c>
      <c r="S232" s="180" t="n">
        <f aca="false">R232/$D232</f>
        <v>369218.952765089</v>
      </c>
      <c r="U232" s="180" t="n">
        <f aca="false">AB231</f>
        <v>580350.282666655</v>
      </c>
      <c r="V232" s="180" t="n">
        <f aca="false">IF($C$9=0,0,IF($A232&gt;IN_PRAZO,0,IF(APORTE_CORRIGIDO="Sim",IN_APORTE*$D232,IN_APORTE))+IF(AND($C$35=1,PGBL_REINVESTE="Sim",$A232&gt;=13,$A232&lt;=IN_PRAZO,MONTH($B232)=5),PGBL_BENEFICIO,0))</f>
        <v>0</v>
      </c>
      <c r="W232" s="180" t="n">
        <f aca="false">V232*$C$24</f>
        <v>0</v>
      </c>
      <c r="X232" s="180" t="n">
        <f aca="false">U232*$C$19</f>
        <v>4734.04809073244</v>
      </c>
      <c r="Y232" s="180" t="n">
        <f aca="false">U232*$C$22</f>
        <v>96.7250471111092</v>
      </c>
      <c r="Z232" s="180" t="n">
        <f aca="false">$C$23*MAX(0,X232-U232*$C$18)</f>
        <v>0</v>
      </c>
      <c r="AA232" s="180" t="n">
        <f aca="false">IF(AND($C$27=1,OR(MONTH($B232)=5,MONTH($B232)=11)),MAX(0,$C$28*MAX(0,(U232+X232-Y232-Z232+V232-W232)+AD231-AC232)-AD231),0)</f>
        <v>0</v>
      </c>
      <c r="AB232" s="181" t="n">
        <f aca="false">U232+X232-Y232-Z232+V232-W232-AA232</f>
        <v>584987.605710277</v>
      </c>
      <c r="AC232" s="180" t="n">
        <f aca="false">AC231+V232-W232</f>
        <v>150000</v>
      </c>
      <c r="AD232" s="180" t="n">
        <f aca="false">AD231+AA232</f>
        <v>0</v>
      </c>
      <c r="AE232" s="180" t="n">
        <f aca="false">AB232+AD232-AC232</f>
        <v>434987.605710277</v>
      </c>
      <c r="AF232" s="180" t="n">
        <f aca="false">MAX(0,IFERROR(INDEX(TAB_IR,MATCH($C232,TAB_IR_DIAS,1),MATCH($C$8,TAB_IR_REGIMES,0)),0)*IF($C$26=2,AB232,MAX(0,AE232))-AD232)</f>
        <v>65248.1408565415</v>
      </c>
      <c r="AG232" s="181" t="n">
        <f aca="false">MAX(0,AB232-AF232-AB232*$C$25)</f>
        <v>519739.464853735</v>
      </c>
      <c r="AH232" s="180" t="n">
        <f aca="false">AG232/$D232</f>
        <v>297208.078485219</v>
      </c>
      <c r="AJ232" s="180" t="n">
        <f aca="false">AQ231</f>
        <v>490035.071740293</v>
      </c>
      <c r="AK232" s="180" t="n">
        <f aca="false">IF($D$9=0,0,IF($A232&gt;IN_PRAZO,0,IF(APORTE_CORRIGIDO="Sim",IN_APORTE*$D232,IN_APORTE))+IF(AND($D$35=1,PGBL_REINVESTE="Sim",$A232&gt;=13,$A232&lt;=IN_PRAZO,MONTH($B232)=5),PGBL_BENEFICIO,0))</f>
        <v>0</v>
      </c>
      <c r="AL232" s="180" t="n">
        <f aca="false">AK232*$D$24</f>
        <v>0</v>
      </c>
      <c r="AM232" s="180" t="n">
        <f aca="false">AJ232*$D$19</f>
        <v>4404.77680352607</v>
      </c>
      <c r="AN232" s="180" t="n">
        <f aca="false">AJ232*$D$22</f>
        <v>408.362559783577</v>
      </c>
      <c r="AO232" s="180" t="n">
        <f aca="false">$D$23*MAX(0,AM232-AJ232*$D$18)</f>
        <v>0</v>
      </c>
      <c r="AP232" s="180" t="n">
        <f aca="false">IF(AND($D$27=1,OR(MONTH($B232)=5,MONTH($B232)=11)),MAX(0,$D$28*MAX(0,(AJ232+AM232-AN232-AO232+AK232-AL232)+AS231-AR232)-AS231),0)</f>
        <v>3524.81336876055</v>
      </c>
      <c r="AQ232" s="181" t="n">
        <f aca="false">AJ232+AM232-AN232-AO232+AK232-AL232-AP232</f>
        <v>490506.672615275</v>
      </c>
      <c r="AR232" s="180" t="n">
        <f aca="false">AR231+AK232-AL232</f>
        <v>150000</v>
      </c>
      <c r="AS232" s="180" t="n">
        <f aca="false">AS231+AP232</f>
        <v>60089.4128144602</v>
      </c>
      <c r="AT232" s="180" t="n">
        <f aca="false">AQ232+AS232-AR232</f>
        <v>400596.085429735</v>
      </c>
      <c r="AU232" s="180" t="n">
        <f aca="false">MAX(0,IFERROR(INDEX(TAB_IR,MATCH($C232,TAB_IR_DIAS,1),MATCH($D$8,TAB_IR_REGIMES,0)),0)*IF($D$26=2,AQ232,MAX(0,AT232))-AS232)</f>
        <v>0</v>
      </c>
      <c r="AV232" s="181" t="n">
        <f aca="false">MAX(0,AQ232-AU232-AQ232*$D$25)</f>
        <v>490506.672615275</v>
      </c>
      <c r="AW232" s="180" t="n">
        <f aca="false">AV232/$D232</f>
        <v>280491.583784561</v>
      </c>
      <c r="AY232" s="180" t="n">
        <f aca="false">BF231</f>
        <v>636547.914398418</v>
      </c>
      <c r="AZ232" s="180" t="n">
        <f aca="false">IF($E$9=0,0,IF($A232&gt;IN_PRAZO,0,IF(APORTE_CORRIGIDO="Sim",IN_APORTE*$D232,IN_APORTE))+IF(AND($E$35=1,PGBL_REINVESTE="Sim",$A232&gt;=13,$A232&lt;=IN_PRAZO,MONTH($B232)=5),PGBL_BENEFICIO,0))</f>
        <v>0</v>
      </c>
      <c r="BA232" s="180" t="n">
        <f aca="false">AZ232*$E$24</f>
        <v>0</v>
      </c>
      <c r="BB232" s="180" t="n">
        <f aca="false">AY232*$E$19</f>
        <v>6231.00543726576</v>
      </c>
      <c r="BC232" s="180" t="n">
        <f aca="false">AY232*$E$22</f>
        <v>795.684892998022</v>
      </c>
      <c r="BD232" s="180" t="n">
        <f aca="false">$E$23*MAX(0,BB232-AY232*$E$18)</f>
        <v>0</v>
      </c>
      <c r="BE232" s="180" t="n">
        <f aca="false">IF(AND($E$27=1,OR(MONTH($B232)=5,MONTH($B232)=11)),MAX(0,$E$28*MAX(0,(AY232+BB232-BC232-BD232+AZ232-BA232)+BH231-BG232)-BH231),0)</f>
        <v>0</v>
      </c>
      <c r="BF232" s="181" t="n">
        <f aca="false">AY232+BB232-BC232-BD232+AZ232-BA232-BE232</f>
        <v>641983.234942685</v>
      </c>
      <c r="BG232" s="180" t="n">
        <f aca="false">BG231+AZ232-BA232</f>
        <v>150000</v>
      </c>
      <c r="BH232" s="180" t="n">
        <f aca="false">BH231+BE232</f>
        <v>0</v>
      </c>
      <c r="BI232" s="180" t="n">
        <f aca="false">BF232+BH232-BG232</f>
        <v>491983.234942685</v>
      </c>
      <c r="BJ232" s="180" t="n">
        <f aca="false">MAX(0,IFERROR(INDEX(TAB_IR,MATCH($C232,TAB_IR_DIAS,1),MATCH($E$8,TAB_IR_REGIMES,0)),0)*IF($E$26=2,BF232,MAX(0,BI232))-BH232)</f>
        <v>49198.3234942685</v>
      </c>
      <c r="BK232" s="181" t="n">
        <f aca="false">MAX(0,BF232-BJ232-BF232*$E$25)</f>
        <v>592784.911448417</v>
      </c>
      <c r="BL232" s="180" t="n">
        <f aca="false">BK232/$D232</f>
        <v>338978.423614984</v>
      </c>
      <c r="BN232" s="180" t="n">
        <f aca="false">BU231</f>
        <v>636547.914398418</v>
      </c>
      <c r="BO232" s="180" t="n">
        <f aca="false">IF($F$9=0,0,IF($A232&gt;IN_PRAZO,0,IF(APORTE_CORRIGIDO="Sim",IN_APORTE*$D232,IN_APORTE))+IF(AND($F$35=1,PGBL_REINVESTE="Sim",$A232&gt;=13,$A232&lt;=IN_PRAZO,MONTH($B232)=5),PGBL_BENEFICIO,0))</f>
        <v>0</v>
      </c>
      <c r="BP232" s="180" t="n">
        <f aca="false">BO232*$F$24</f>
        <v>0</v>
      </c>
      <c r="BQ232" s="180" t="n">
        <f aca="false">BN232*$F$19</f>
        <v>6231.00543726576</v>
      </c>
      <c r="BR232" s="180" t="n">
        <f aca="false">BN232*$F$22</f>
        <v>795.684892998022</v>
      </c>
      <c r="BS232" s="180" t="n">
        <f aca="false">$F$23*MAX(0,BQ232-BN232*$F$18)</f>
        <v>0</v>
      </c>
      <c r="BT232" s="180" t="n">
        <f aca="false">IF(AND($F$27=1,OR(MONTH($B232)=5,MONTH($B232)=11)),MAX(0,$F$28*MAX(0,(BN232+BQ232-BR232-BS232+BO232-BP232)+BW231-BV232)-BW231),0)</f>
        <v>0</v>
      </c>
      <c r="BU232" s="181" t="n">
        <f aca="false">BN232+BQ232-BR232-BS232+BO232-BP232-BT232</f>
        <v>641983.234942685</v>
      </c>
      <c r="BV232" s="180" t="n">
        <f aca="false">BV231+BO232-BP232</f>
        <v>150000</v>
      </c>
      <c r="BW232" s="180" t="n">
        <f aca="false">BW231+BT232</f>
        <v>0</v>
      </c>
      <c r="BX232" s="180" t="n">
        <f aca="false">BU232+BW232-BV232</f>
        <v>491983.234942685</v>
      </c>
      <c r="BY232" s="180" t="n">
        <f aca="false">MAX(0,IFERROR(INDEX(TAB_IR,MATCH($C232,TAB_IR_DIAS,1),MATCH($F$8,TAB_IR_REGIMES,0)),0)*IF($F$26=2,BU232,MAX(0,BX232))-BW232)</f>
        <v>64198.3234942685</v>
      </c>
      <c r="BZ232" s="181" t="n">
        <f aca="false">MAX(0,BU232-BY232-BU232*$F$25)</f>
        <v>577784.911448417</v>
      </c>
      <c r="CA232" s="180" t="n">
        <f aca="false">BZ232/$D232</f>
        <v>330400.816027435</v>
      </c>
      <c r="CC232" s="180" t="n">
        <f aca="false">CJ231</f>
        <v>434349.876133787</v>
      </c>
      <c r="CD232" s="180" t="n">
        <f aca="false">IF($G$9=0,0,IF($A232&gt;IN_PRAZO,0,IF(APORTE_CORRIGIDO="Sim",IN_APORTE*$D232,IN_APORTE))+IF(AND($G$35=1,PGBL_REINVESTE="Sim",$A232&gt;=13,$A232&lt;=IN_PRAZO,MONTH($B232)=5),PGBL_BENEFICIO,0))</f>
        <v>0</v>
      </c>
      <c r="CE232" s="180" t="n">
        <f aca="false">CD232*$G$24</f>
        <v>0</v>
      </c>
      <c r="CF232" s="180" t="n">
        <f aca="false">CC232*$G$19</f>
        <v>3543.08986009763</v>
      </c>
      <c r="CG232" s="180" t="n">
        <f aca="false">CC232*$G$22</f>
        <v>361.958230111489</v>
      </c>
      <c r="CH232" s="180" t="n">
        <f aca="false">$G$23*MAX(0,CF232-CC232*$G$18)</f>
        <v>0</v>
      </c>
      <c r="CI232" s="180" t="n">
        <f aca="false">IF(AND($G$27=1,OR(MONTH($B232)=5,MONTH($B232)=11)),MAX(0,$G$28*MAX(0,(CC232+CF232-CG232-CH232+CD232-CE232)+CL231-CK232)-CL231),0)</f>
        <v>2811.48024848016</v>
      </c>
      <c r="CJ232" s="181" t="n">
        <f aca="false">CC232+CF232-CG232-CH232+CD232-CE232-CI232</f>
        <v>434719.527515293</v>
      </c>
      <c r="CK232" s="180" t="n">
        <f aca="false">CK231+CD232-CE232</f>
        <v>150000</v>
      </c>
      <c r="CL232" s="180" t="n">
        <f aca="false">CL231+CI232</f>
        <v>50244.6225026987</v>
      </c>
      <c r="CM232" s="180" t="n">
        <f aca="false">CJ232+CL232-CK232</f>
        <v>334964.150017991</v>
      </c>
      <c r="CN232" s="180" t="n">
        <f aca="false">MAX(0,IFERROR(INDEX(TAB_IR,MATCH($C232,TAB_IR_DIAS,1),MATCH($G$8,TAB_IR_REGIMES,0)),0)*IF($G$26=2,CJ232,MAX(0,CM232))-CL232)</f>
        <v>0</v>
      </c>
      <c r="CO232" s="181" t="n">
        <f aca="false">MAX(0,CJ232-CN232-CJ232*$G$25)</f>
        <v>434719.527515293</v>
      </c>
      <c r="CP232" s="180" t="n">
        <f aca="false">CO232/$D232</f>
        <v>248590.234511406</v>
      </c>
    </row>
    <row r="233" customFormat="false" ht="12" hidden="false" customHeight="true" outlineLevel="0" collapsed="false">
      <c r="A233" s="177" t="n">
        <v>172</v>
      </c>
      <c r="B233" s="178" t="n">
        <f aca="false">EDATE(DATA_INICIO,$A233)</f>
        <v>51493</v>
      </c>
      <c r="C233" s="177" t="n">
        <f aca="false">$A233*30</f>
        <v>5160</v>
      </c>
      <c r="D233" s="179" t="n">
        <f aca="false">(1+IPCA_CENARIO)^($A233/12)</f>
        <v>1.7544642772627</v>
      </c>
      <c r="F233" s="180" t="n">
        <f aca="false">M232</f>
        <v>733138.488270491</v>
      </c>
      <c r="G233" s="180" t="n">
        <f aca="false">IF($B$9=0,0,IF($A233&gt;IN_PRAZO,0,IF(APORTE_CORRIGIDO="Sim",IN_APORTE*$D233,IN_APORTE))+IF(AND($B$35=1,PGBL_REINVESTE="Sim",$A233&gt;=13,$A233&lt;=IN_PRAZO,MONTH($B233)=5),PGBL_BENEFICIO,0))</f>
        <v>0</v>
      </c>
      <c r="H233" s="180" t="n">
        <f aca="false">G233*$B$24</f>
        <v>0</v>
      </c>
      <c r="I233" s="180" t="n">
        <f aca="false">F233*$B$19</f>
        <v>6956.59930757193</v>
      </c>
      <c r="J233" s="180" t="n">
        <f aca="false">F233*$B$22</f>
        <v>122.189748045082</v>
      </c>
      <c r="K233" s="180" t="n">
        <f aca="false">$B$23*MAX(0,I233-F233*$B$18)</f>
        <v>0</v>
      </c>
      <c r="L233" s="180" t="n">
        <f aca="false">IF(AND($B$27=1,OR(MONTH($B233)=5,MONTH($B233)=11)),MAX(0,$B$28*MAX(0,(F233+I233-J233-K233+G233-H233)+O232-N233)-O232),0)</f>
        <v>0</v>
      </c>
      <c r="M233" s="181" t="n">
        <f aca="false">F233+I233-J233-K233+G233-H233-L233</f>
        <v>739972.897830018</v>
      </c>
      <c r="N233" s="180" t="n">
        <f aca="false">N232+G233-H233</f>
        <v>150000</v>
      </c>
      <c r="O233" s="180" t="n">
        <f aca="false">O232+L233</f>
        <v>0</v>
      </c>
      <c r="P233" s="180" t="n">
        <f aca="false">M233+O233-N233</f>
        <v>589972.897830018</v>
      </c>
      <c r="Q233" s="180" t="n">
        <f aca="false">MAX(0,IFERROR(INDEX(TAB_IR,MATCH($C233,TAB_IR_DIAS,1),MATCH($B$8,TAB_IR_REGIMES,0)),0)*IF($B$26=2,M233,MAX(0,P233))-O233)</f>
        <v>88495.9346745026</v>
      </c>
      <c r="R233" s="181" t="n">
        <f aca="false">MAX(0,M233-Q233-M233*$B$25)</f>
        <v>651476.963155515</v>
      </c>
      <c r="S233" s="180" t="n">
        <f aca="false">R233/$D233</f>
        <v>371325.293765424</v>
      </c>
      <c r="U233" s="180" t="n">
        <f aca="false">AB232</f>
        <v>584987.605710277</v>
      </c>
      <c r="V233" s="180" t="n">
        <f aca="false">IF($C$9=0,0,IF($A233&gt;IN_PRAZO,0,IF(APORTE_CORRIGIDO="Sim",IN_APORTE*$D233,IN_APORTE))+IF(AND($C$35=1,PGBL_REINVESTE="Sim",$A233&gt;=13,$A233&lt;=IN_PRAZO,MONTH($B233)=5),PGBL_BENEFICIO,0))</f>
        <v>0</v>
      </c>
      <c r="W233" s="180" t="n">
        <f aca="false">V233*$C$24</f>
        <v>0</v>
      </c>
      <c r="X233" s="180" t="n">
        <f aca="false">U233*$C$19</f>
        <v>4771.87578024418</v>
      </c>
      <c r="Y233" s="180" t="n">
        <f aca="false">U233*$C$22</f>
        <v>97.4979342850461</v>
      </c>
      <c r="Z233" s="180" t="n">
        <f aca="false">$C$23*MAX(0,X233-U233*$C$18)</f>
        <v>0</v>
      </c>
      <c r="AA233" s="180" t="n">
        <f aca="false">IF(AND($C$27=1,OR(MONTH($B233)=5,MONTH($B233)=11)),MAX(0,$C$28*MAX(0,(U233+X233-Y233-Z233+V233-W233)+AD232-AC233)-AD232),0)</f>
        <v>0</v>
      </c>
      <c r="AB233" s="181" t="n">
        <f aca="false">U233+X233-Y233-Z233+V233-W233-AA233</f>
        <v>589661.983556236</v>
      </c>
      <c r="AC233" s="180" t="n">
        <f aca="false">AC232+V233-W233</f>
        <v>150000</v>
      </c>
      <c r="AD233" s="180" t="n">
        <f aca="false">AD232+AA233</f>
        <v>0</v>
      </c>
      <c r="AE233" s="180" t="n">
        <f aca="false">AB233+AD233-AC233</f>
        <v>439661.983556236</v>
      </c>
      <c r="AF233" s="180" t="n">
        <f aca="false">MAX(0,IFERROR(INDEX(TAB_IR,MATCH($C233,TAB_IR_DIAS,1),MATCH($C$8,TAB_IR_REGIMES,0)),0)*IF($C$26=2,AB233,MAX(0,AE233))-AD233)</f>
        <v>65949.2975334354</v>
      </c>
      <c r="AG233" s="181" t="n">
        <f aca="false">MAX(0,AB233-AF233-AB233*$C$25)</f>
        <v>523712.6860228</v>
      </c>
      <c r="AH233" s="180" t="n">
        <f aca="false">AG233/$D233</f>
        <v>298502.906448396</v>
      </c>
      <c r="AJ233" s="180" t="n">
        <f aca="false">AQ232</f>
        <v>490506.672615275</v>
      </c>
      <c r="AK233" s="180" t="n">
        <f aca="false">IF($D$9=0,0,IF($A233&gt;IN_PRAZO,0,IF(APORTE_CORRIGIDO="Sim",IN_APORTE*$D233,IN_APORTE))+IF(AND($D$35=1,PGBL_REINVESTE="Sim",$A233&gt;=13,$A233&lt;=IN_PRAZO,MONTH($B233)=5),PGBL_BENEFICIO,0))</f>
        <v>0</v>
      </c>
      <c r="AL233" s="180" t="n">
        <f aca="false">AK233*$D$24</f>
        <v>0</v>
      </c>
      <c r="AM233" s="180" t="n">
        <f aca="false">AJ233*$D$19</f>
        <v>4409.01588091958</v>
      </c>
      <c r="AN233" s="180" t="n">
        <f aca="false">AJ233*$D$22</f>
        <v>408.755560512729</v>
      </c>
      <c r="AO233" s="180" t="n">
        <f aca="false">$D$23*MAX(0,AM233-AJ233*$D$18)</f>
        <v>0</v>
      </c>
      <c r="AP233" s="180" t="n">
        <f aca="false">IF(AND($D$27=1,OR(MONTH($B233)=5,MONTH($B233)=11)),MAX(0,$D$28*MAX(0,(AJ233+AM233-AN233-AO233+AK233-AL233)+AS232-AR233)-AS232),0)</f>
        <v>0</v>
      </c>
      <c r="AQ233" s="181" t="n">
        <f aca="false">AJ233+AM233-AN233-AO233+AK233-AL233-AP233</f>
        <v>494506.932935681</v>
      </c>
      <c r="AR233" s="180" t="n">
        <f aca="false">AR232+AK233-AL233</f>
        <v>150000</v>
      </c>
      <c r="AS233" s="180" t="n">
        <f aca="false">AS232+AP233</f>
        <v>60089.4128144602</v>
      </c>
      <c r="AT233" s="180" t="n">
        <f aca="false">AQ233+AS233-AR233</f>
        <v>404596.345750142</v>
      </c>
      <c r="AU233" s="180" t="n">
        <f aca="false">MAX(0,IFERROR(INDEX(TAB_IR,MATCH($C233,TAB_IR_DIAS,1),MATCH($D$8,TAB_IR_REGIMES,0)),0)*IF($D$26=2,AQ233,MAX(0,AT233))-AS233)</f>
        <v>600.03904806103</v>
      </c>
      <c r="AV233" s="181" t="n">
        <f aca="false">MAX(0,AQ233-AU233-AQ233*$D$25)</f>
        <v>493906.89388762</v>
      </c>
      <c r="AW233" s="180" t="n">
        <f aca="false">AV233/$D233</f>
        <v>281514.363266609</v>
      </c>
      <c r="AY233" s="180" t="n">
        <f aca="false">BF232</f>
        <v>641983.234942685</v>
      </c>
      <c r="AZ233" s="180" t="n">
        <f aca="false">IF($E$9=0,0,IF($A233&gt;IN_PRAZO,0,IF(APORTE_CORRIGIDO="Sim",IN_APORTE*$D233,IN_APORTE))+IF(AND($E$35=1,PGBL_REINVESTE="Sim",$A233&gt;=13,$A233&lt;=IN_PRAZO,MONTH($B233)=5),PGBL_BENEFICIO,0))</f>
        <v>0</v>
      </c>
      <c r="BA233" s="180" t="n">
        <f aca="false">AZ233*$E$24</f>
        <v>0</v>
      </c>
      <c r="BB233" s="180" t="n">
        <f aca="false">AY233*$E$19</f>
        <v>6284.21040597047</v>
      </c>
      <c r="BC233" s="180" t="n">
        <f aca="false">AY233*$E$22</f>
        <v>802.479043678356</v>
      </c>
      <c r="BD233" s="180" t="n">
        <f aca="false">$E$23*MAX(0,BB233-AY233*$E$18)</f>
        <v>0</v>
      </c>
      <c r="BE233" s="180" t="n">
        <f aca="false">IF(AND($E$27=1,OR(MONTH($B233)=5,MONTH($B233)=11)),MAX(0,$E$28*MAX(0,(AY233+BB233-BC233-BD233+AZ233-BA233)+BH232-BG233)-BH232),0)</f>
        <v>0</v>
      </c>
      <c r="BF233" s="181" t="n">
        <f aca="false">AY233+BB233-BC233-BD233+AZ233-BA233-BE233</f>
        <v>647464.966304977</v>
      </c>
      <c r="BG233" s="180" t="n">
        <f aca="false">BG232+AZ233-BA233</f>
        <v>150000</v>
      </c>
      <c r="BH233" s="180" t="n">
        <f aca="false">BH232+BE233</f>
        <v>0</v>
      </c>
      <c r="BI233" s="180" t="n">
        <f aca="false">BF233+BH233-BG233</f>
        <v>497464.966304977</v>
      </c>
      <c r="BJ233" s="180" t="n">
        <f aca="false">MAX(0,IFERROR(INDEX(TAB_IR,MATCH($C233,TAB_IR_DIAS,1),MATCH($E$8,TAB_IR_REGIMES,0)),0)*IF($E$26=2,BF233,MAX(0,BI233))-BH233)</f>
        <v>49746.4966304977</v>
      </c>
      <c r="BK233" s="181" t="n">
        <f aca="false">MAX(0,BF233-BJ233-BF233*$E$25)</f>
        <v>597718.469674479</v>
      </c>
      <c r="BL233" s="180" t="n">
        <f aca="false">BK233/$D233</f>
        <v>340684.320234228</v>
      </c>
      <c r="BN233" s="180" t="n">
        <f aca="false">BU232</f>
        <v>641983.234942685</v>
      </c>
      <c r="BO233" s="180" t="n">
        <f aca="false">IF($F$9=0,0,IF($A233&gt;IN_PRAZO,0,IF(APORTE_CORRIGIDO="Sim",IN_APORTE*$D233,IN_APORTE))+IF(AND($F$35=1,PGBL_REINVESTE="Sim",$A233&gt;=13,$A233&lt;=IN_PRAZO,MONTH($B233)=5),PGBL_BENEFICIO,0))</f>
        <v>0</v>
      </c>
      <c r="BP233" s="180" t="n">
        <f aca="false">BO233*$F$24</f>
        <v>0</v>
      </c>
      <c r="BQ233" s="180" t="n">
        <f aca="false">BN233*$F$19</f>
        <v>6284.21040597047</v>
      </c>
      <c r="BR233" s="180" t="n">
        <f aca="false">BN233*$F$22</f>
        <v>802.479043678356</v>
      </c>
      <c r="BS233" s="180" t="n">
        <f aca="false">$F$23*MAX(0,BQ233-BN233*$F$18)</f>
        <v>0</v>
      </c>
      <c r="BT233" s="180" t="n">
        <f aca="false">IF(AND($F$27=1,OR(MONTH($B233)=5,MONTH($B233)=11)),MAX(0,$F$28*MAX(0,(BN233+BQ233-BR233-BS233+BO233-BP233)+BW232-BV233)-BW232),0)</f>
        <v>0</v>
      </c>
      <c r="BU233" s="181" t="n">
        <f aca="false">BN233+BQ233-BR233-BS233+BO233-BP233-BT233</f>
        <v>647464.966304977</v>
      </c>
      <c r="BV233" s="180" t="n">
        <f aca="false">BV232+BO233-BP233</f>
        <v>150000</v>
      </c>
      <c r="BW233" s="180" t="n">
        <f aca="false">BW232+BT233</f>
        <v>0</v>
      </c>
      <c r="BX233" s="180" t="n">
        <f aca="false">BU233+BW233-BV233</f>
        <v>497464.966304977</v>
      </c>
      <c r="BY233" s="180" t="n">
        <f aca="false">MAX(0,IFERROR(INDEX(TAB_IR,MATCH($C233,TAB_IR_DIAS,1),MATCH($F$8,TAB_IR_REGIMES,0)),0)*IF($F$26=2,BU233,MAX(0,BX233))-BW233)</f>
        <v>64746.4966304977</v>
      </c>
      <c r="BZ233" s="181" t="n">
        <f aca="false">MAX(0,BU233-BY233-BU233*$F$25)</f>
        <v>582718.469674479</v>
      </c>
      <c r="CA233" s="180" t="n">
        <f aca="false">BZ233/$D233</f>
        <v>332134.701872432</v>
      </c>
      <c r="CC233" s="180" t="n">
        <f aca="false">CJ232</f>
        <v>434719.527515293</v>
      </c>
      <c r="CD233" s="180" t="n">
        <f aca="false">IF($G$9=0,0,IF($A233&gt;IN_PRAZO,0,IF(APORTE_CORRIGIDO="Sim",IN_APORTE*$D233,IN_APORTE))+IF(AND($G$35=1,PGBL_REINVESTE="Sim",$A233&gt;=13,$A233&lt;=IN_PRAZO,MONTH($B233)=5),PGBL_BENEFICIO,0))</f>
        <v>0</v>
      </c>
      <c r="CE233" s="180" t="n">
        <f aca="false">CD233*$G$24</f>
        <v>0</v>
      </c>
      <c r="CF233" s="180" t="n">
        <f aca="false">CC233*$G$19</f>
        <v>3546.10518975133</v>
      </c>
      <c r="CG233" s="180" t="n">
        <f aca="false">CC233*$G$22</f>
        <v>362.266272929411</v>
      </c>
      <c r="CH233" s="180" t="n">
        <f aca="false">$G$23*MAX(0,CF233-CC233*$G$18)</f>
        <v>0</v>
      </c>
      <c r="CI233" s="180" t="n">
        <f aca="false">IF(AND($G$27=1,OR(MONTH($B233)=5,MONTH($B233)=11)),MAX(0,$G$28*MAX(0,(CC233+CF233-CG233-CH233+CD233-CE233)+CL232-CK233)-CL232),0)</f>
        <v>0</v>
      </c>
      <c r="CJ233" s="181" t="n">
        <f aca="false">CC233+CF233-CG233-CH233+CD233-CE233-CI233</f>
        <v>437903.366432114</v>
      </c>
      <c r="CK233" s="180" t="n">
        <f aca="false">CK232+CD233-CE233</f>
        <v>150000</v>
      </c>
      <c r="CL233" s="180" t="n">
        <f aca="false">CL232+CI233</f>
        <v>50244.6225026987</v>
      </c>
      <c r="CM233" s="180" t="n">
        <f aca="false">CJ233+CL233-CK233</f>
        <v>338147.988934813</v>
      </c>
      <c r="CN233" s="180" t="n">
        <f aca="false">MAX(0,IFERROR(INDEX(TAB_IR,MATCH($C233,TAB_IR_DIAS,1),MATCH($G$8,TAB_IR_REGIMES,0)),0)*IF($G$26=2,CJ233,MAX(0,CM233))-CL233)</f>
        <v>477.575837523284</v>
      </c>
      <c r="CO233" s="181" t="n">
        <f aca="false">MAX(0,CJ233-CN233-CJ233*$G$25)</f>
        <v>437425.790594591</v>
      </c>
      <c r="CP233" s="180" t="n">
        <f aca="false">CO233/$D233</f>
        <v>249321.571412705</v>
      </c>
    </row>
    <row r="234" customFormat="false" ht="12" hidden="false" customHeight="true" outlineLevel="0" collapsed="false">
      <c r="A234" s="177" t="n">
        <v>173</v>
      </c>
      <c r="B234" s="178" t="n">
        <f aca="false">EDATE(DATA_INICIO,$A234)</f>
        <v>51524</v>
      </c>
      <c r="C234" s="177" t="n">
        <f aca="false">$A234*30</f>
        <v>5190</v>
      </c>
      <c r="D234" s="179" t="n">
        <f aca="false">(1+IPCA_CENARIO)^($A234/12)</f>
        <v>1.76020793676362</v>
      </c>
      <c r="F234" s="180" t="n">
        <f aca="false">M233</f>
        <v>739972.897830018</v>
      </c>
      <c r="G234" s="180" t="n">
        <f aca="false">IF($B$9=0,0,IF($A234&gt;IN_PRAZO,0,IF(APORTE_CORRIGIDO="Sim",IN_APORTE*$D234,IN_APORTE))+IF(AND($B$35=1,PGBL_REINVESTE="Sim",$A234&gt;=13,$A234&lt;=IN_PRAZO,MONTH($B234)=5),PGBL_BENEFICIO,0))</f>
        <v>0</v>
      </c>
      <c r="H234" s="180" t="n">
        <f aca="false">G234*$B$24</f>
        <v>0</v>
      </c>
      <c r="I234" s="180" t="n">
        <f aca="false">F234*$B$19</f>
        <v>7021.44960471241</v>
      </c>
      <c r="J234" s="180" t="n">
        <f aca="false">F234*$B$22</f>
        <v>123.328816305003</v>
      </c>
      <c r="K234" s="180" t="n">
        <f aca="false">$B$23*MAX(0,I234-F234*$B$18)</f>
        <v>0</v>
      </c>
      <c r="L234" s="180" t="n">
        <f aca="false">IF(AND($B$27=1,OR(MONTH($B234)=5,MONTH($B234)=11)),MAX(0,$B$28*MAX(0,(F234+I234-J234-K234+G234-H234)+O233-N234)-O233),0)</f>
        <v>0</v>
      </c>
      <c r="M234" s="181" t="n">
        <f aca="false">F234+I234-J234-K234+G234-H234-L234</f>
        <v>746871.018618425</v>
      </c>
      <c r="N234" s="180" t="n">
        <f aca="false">N233+G234-H234</f>
        <v>150000</v>
      </c>
      <c r="O234" s="180" t="n">
        <f aca="false">O233+L234</f>
        <v>0</v>
      </c>
      <c r="P234" s="180" t="n">
        <f aca="false">M234+O234-N234</f>
        <v>596871.018618425</v>
      </c>
      <c r="Q234" s="180" t="n">
        <f aca="false">MAX(0,IFERROR(INDEX(TAB_IR,MATCH($C234,TAB_IR_DIAS,1),MATCH($B$8,TAB_IR_REGIMES,0)),0)*IF($B$26=2,M234,MAX(0,P234))-O234)</f>
        <v>89530.6527927637</v>
      </c>
      <c r="R234" s="181" t="n">
        <f aca="false">MAX(0,M234-Q234-M234*$B$25)</f>
        <v>657340.365825661</v>
      </c>
      <c r="S234" s="180" t="n">
        <f aca="false">R234/$D234</f>
        <v>373444.72326052</v>
      </c>
      <c r="U234" s="180" t="n">
        <f aca="false">AB233</f>
        <v>589661.983556236</v>
      </c>
      <c r="V234" s="180" t="n">
        <f aca="false">IF($C$9=0,0,IF($A234&gt;IN_PRAZO,0,IF(APORTE_CORRIGIDO="Sim",IN_APORTE*$D234,IN_APORTE))+IF(AND($C$35=1,PGBL_REINVESTE="Sim",$A234&gt;=13,$A234&lt;=IN_PRAZO,MONTH($B234)=5),PGBL_BENEFICIO,0))</f>
        <v>0</v>
      </c>
      <c r="W234" s="180" t="n">
        <f aca="false">V234*$C$24</f>
        <v>0</v>
      </c>
      <c r="X234" s="180" t="n">
        <f aca="false">U234*$C$19</f>
        <v>4810.00573413227</v>
      </c>
      <c r="Y234" s="180" t="n">
        <f aca="false">U234*$C$22</f>
        <v>98.2769972593726</v>
      </c>
      <c r="Z234" s="180" t="n">
        <f aca="false">$C$23*MAX(0,X234-U234*$C$18)</f>
        <v>0</v>
      </c>
      <c r="AA234" s="180" t="n">
        <f aca="false">IF(AND($C$27=1,OR(MONTH($B234)=5,MONTH($B234)=11)),MAX(0,$C$28*MAX(0,(U234+X234-Y234-Z234+V234-W234)+AD233-AC234)-AD233),0)</f>
        <v>0</v>
      </c>
      <c r="AB234" s="181" t="n">
        <f aca="false">U234+X234-Y234-Z234+V234-W234-AA234</f>
        <v>594373.712293109</v>
      </c>
      <c r="AC234" s="180" t="n">
        <f aca="false">AC233+V234-W234</f>
        <v>150000</v>
      </c>
      <c r="AD234" s="180" t="n">
        <f aca="false">AD233+AA234</f>
        <v>0</v>
      </c>
      <c r="AE234" s="180" t="n">
        <f aca="false">AB234+AD234-AC234</f>
        <v>444373.712293109</v>
      </c>
      <c r="AF234" s="180" t="n">
        <f aca="false">MAX(0,IFERROR(INDEX(TAB_IR,MATCH($C234,TAB_IR_DIAS,1),MATCH($C$8,TAB_IR_REGIMES,0)),0)*IF($C$26=2,AB234,MAX(0,AE234))-AD234)</f>
        <v>66656.0568439663</v>
      </c>
      <c r="AG234" s="181" t="n">
        <f aca="false">MAX(0,AB234-AF234-AB234*$C$25)</f>
        <v>527717.655449142</v>
      </c>
      <c r="AH234" s="180" t="n">
        <f aca="false">AG234/$D234</f>
        <v>299804.156331338</v>
      </c>
      <c r="AJ234" s="180" t="n">
        <f aca="false">AQ233</f>
        <v>494506.932935681</v>
      </c>
      <c r="AK234" s="180" t="n">
        <f aca="false">IF($D$9=0,0,IF($A234&gt;IN_PRAZO,0,IF(APORTE_CORRIGIDO="Sim",IN_APORTE*$D234,IN_APORTE))+IF(AND($D$35=1,PGBL_REINVESTE="Sim",$A234&gt;=13,$A234&lt;=IN_PRAZO,MONTH($B234)=5),PGBL_BENEFICIO,0))</f>
        <v>0</v>
      </c>
      <c r="AL234" s="180" t="n">
        <f aca="false">AK234*$D$24</f>
        <v>0</v>
      </c>
      <c r="AM234" s="180" t="n">
        <f aca="false">AJ234*$D$19</f>
        <v>4444.97300905904</v>
      </c>
      <c r="AN234" s="180" t="n">
        <f aca="false">AJ234*$D$22</f>
        <v>412.089110779735</v>
      </c>
      <c r="AO234" s="180" t="n">
        <f aca="false">$D$23*MAX(0,AM234-AJ234*$D$18)</f>
        <v>0</v>
      </c>
      <c r="AP234" s="180" t="n">
        <f aca="false">IF(AND($D$27=1,OR(MONTH($B234)=5,MONTH($B234)=11)),MAX(0,$D$28*MAX(0,(AJ234+AM234-AN234-AO234+AK234-AL234)+AS233-AR234)-AS233),0)</f>
        <v>0</v>
      </c>
      <c r="AQ234" s="181" t="n">
        <f aca="false">AJ234+AM234-AN234-AO234+AK234-AL234-AP234</f>
        <v>498539.816833961</v>
      </c>
      <c r="AR234" s="180" t="n">
        <f aca="false">AR233+AK234-AL234</f>
        <v>150000</v>
      </c>
      <c r="AS234" s="180" t="n">
        <f aca="false">AS233+AP234</f>
        <v>60089.4128144602</v>
      </c>
      <c r="AT234" s="180" t="n">
        <f aca="false">AQ234+AS234-AR234</f>
        <v>408629.229648421</v>
      </c>
      <c r="AU234" s="180" t="n">
        <f aca="false">MAX(0,IFERROR(INDEX(TAB_IR,MATCH($C234,TAB_IR_DIAS,1),MATCH($D$8,TAB_IR_REGIMES,0)),0)*IF($D$26=2,AQ234,MAX(0,AT234))-AS234)</f>
        <v>1204.97163280292</v>
      </c>
      <c r="AV234" s="181" t="n">
        <f aca="false">MAX(0,AQ234-AU234-AQ234*$D$25)</f>
        <v>497334.845201158</v>
      </c>
      <c r="AW234" s="180" t="n">
        <f aca="false">AV234/$D234</f>
        <v>282543.235270019</v>
      </c>
      <c r="AY234" s="180" t="n">
        <f aca="false">BF233</f>
        <v>647464.966304977</v>
      </c>
      <c r="AZ234" s="180" t="n">
        <f aca="false">IF($E$9=0,0,IF($A234&gt;IN_PRAZO,0,IF(APORTE_CORRIGIDO="Sim",IN_APORTE*$D234,IN_APORTE))+IF(AND($E$35=1,PGBL_REINVESTE="Sim",$A234&gt;=13,$A234&lt;=IN_PRAZO,MONTH($B234)=5),PGBL_BENEFICIO,0))</f>
        <v>0</v>
      </c>
      <c r="BA234" s="180" t="n">
        <f aca="false">AZ234*$E$24</f>
        <v>0</v>
      </c>
      <c r="BB234" s="180" t="n">
        <f aca="false">AY234*$E$19</f>
        <v>6337.86967835431</v>
      </c>
      <c r="BC234" s="180" t="n">
        <f aca="false">AY234*$E$22</f>
        <v>809.331207881222</v>
      </c>
      <c r="BD234" s="180" t="n">
        <f aca="false">$E$23*MAX(0,BB234-AY234*$E$18)</f>
        <v>0</v>
      </c>
      <c r="BE234" s="180" t="n">
        <f aca="false">IF(AND($E$27=1,OR(MONTH($B234)=5,MONTH($B234)=11)),MAX(0,$E$28*MAX(0,(AY234+BB234-BC234-BD234+AZ234-BA234)+BH233-BG234)-BH233),0)</f>
        <v>0</v>
      </c>
      <c r="BF234" s="181" t="n">
        <f aca="false">AY234+BB234-BC234-BD234+AZ234-BA234-BE234</f>
        <v>652993.50477545</v>
      </c>
      <c r="BG234" s="180" t="n">
        <f aca="false">BG233+AZ234-BA234</f>
        <v>150000</v>
      </c>
      <c r="BH234" s="180" t="n">
        <f aca="false">BH233+BE234</f>
        <v>0</v>
      </c>
      <c r="BI234" s="180" t="n">
        <f aca="false">BF234+BH234-BG234</f>
        <v>502993.50477545</v>
      </c>
      <c r="BJ234" s="180" t="n">
        <f aca="false">MAX(0,IFERROR(INDEX(TAB_IR,MATCH($C234,TAB_IR_DIAS,1),MATCH($E$8,TAB_IR_REGIMES,0)),0)*IF($E$26=2,BF234,MAX(0,BI234))-BH234)</f>
        <v>50299.350477545</v>
      </c>
      <c r="BK234" s="181" t="n">
        <f aca="false">MAX(0,BF234-BJ234-BF234*$E$25)</f>
        <v>602694.154297905</v>
      </c>
      <c r="BL234" s="180" t="n">
        <f aca="false">BK234/$D234</f>
        <v>342399.407314365</v>
      </c>
      <c r="BN234" s="180" t="n">
        <f aca="false">BU233</f>
        <v>647464.966304977</v>
      </c>
      <c r="BO234" s="180" t="n">
        <f aca="false">IF($F$9=0,0,IF($A234&gt;IN_PRAZO,0,IF(APORTE_CORRIGIDO="Sim",IN_APORTE*$D234,IN_APORTE))+IF(AND($F$35=1,PGBL_REINVESTE="Sim",$A234&gt;=13,$A234&lt;=IN_PRAZO,MONTH($B234)=5),PGBL_BENEFICIO,0))</f>
        <v>0</v>
      </c>
      <c r="BP234" s="180" t="n">
        <f aca="false">BO234*$F$24</f>
        <v>0</v>
      </c>
      <c r="BQ234" s="180" t="n">
        <f aca="false">BN234*$F$19</f>
        <v>6337.86967835431</v>
      </c>
      <c r="BR234" s="180" t="n">
        <f aca="false">BN234*$F$22</f>
        <v>809.331207881222</v>
      </c>
      <c r="BS234" s="180" t="n">
        <f aca="false">$F$23*MAX(0,BQ234-BN234*$F$18)</f>
        <v>0</v>
      </c>
      <c r="BT234" s="180" t="n">
        <f aca="false">IF(AND($F$27=1,OR(MONTH($B234)=5,MONTH($B234)=11)),MAX(0,$F$28*MAX(0,(BN234+BQ234-BR234-BS234+BO234-BP234)+BW233-BV234)-BW233),0)</f>
        <v>0</v>
      </c>
      <c r="BU234" s="181" t="n">
        <f aca="false">BN234+BQ234-BR234-BS234+BO234-BP234-BT234</f>
        <v>652993.50477545</v>
      </c>
      <c r="BV234" s="180" t="n">
        <f aca="false">BV233+BO234-BP234</f>
        <v>150000</v>
      </c>
      <c r="BW234" s="180" t="n">
        <f aca="false">BW233+BT234</f>
        <v>0</v>
      </c>
      <c r="BX234" s="180" t="n">
        <f aca="false">BU234+BW234-BV234</f>
        <v>502993.50477545</v>
      </c>
      <c r="BY234" s="180" t="n">
        <f aca="false">MAX(0,IFERROR(INDEX(TAB_IR,MATCH($C234,TAB_IR_DIAS,1),MATCH($F$8,TAB_IR_REGIMES,0)),0)*IF($F$26=2,BU234,MAX(0,BX234))-BW234)</f>
        <v>65299.350477545</v>
      </c>
      <c r="BZ234" s="181" t="n">
        <f aca="false">MAX(0,BU234-BY234-BU234*$F$25)</f>
        <v>587694.154297905</v>
      </c>
      <c r="CA234" s="180" t="n">
        <f aca="false">BZ234/$D234</f>
        <v>333877.686847873</v>
      </c>
      <c r="CC234" s="180" t="n">
        <f aca="false">CJ233</f>
        <v>437903.366432114</v>
      </c>
      <c r="CD234" s="180" t="n">
        <f aca="false">IF($G$9=0,0,IF($A234&gt;IN_PRAZO,0,IF(APORTE_CORRIGIDO="Sim",IN_APORTE*$D234,IN_APORTE))+IF(AND($G$35=1,PGBL_REINVESTE="Sim",$A234&gt;=13,$A234&lt;=IN_PRAZO,MONTH($B234)=5),PGBL_BENEFICIO,0))</f>
        <v>0</v>
      </c>
      <c r="CE234" s="180" t="n">
        <f aca="false">CD234*$G$24</f>
        <v>0</v>
      </c>
      <c r="CF234" s="180" t="n">
        <f aca="false">CC234*$G$19</f>
        <v>3572.07648156517</v>
      </c>
      <c r="CG234" s="180" t="n">
        <f aca="false">CC234*$G$22</f>
        <v>364.919472026762</v>
      </c>
      <c r="CH234" s="180" t="n">
        <f aca="false">$G$23*MAX(0,CF234-CC234*$G$18)</f>
        <v>0</v>
      </c>
      <c r="CI234" s="180" t="n">
        <f aca="false">IF(AND($G$27=1,OR(MONTH($B234)=5,MONTH($B234)=11)),MAX(0,$G$28*MAX(0,(CC234+CF234-CG234-CH234+CD234-CE234)+CL233-CK234)-CL233),0)</f>
        <v>0</v>
      </c>
      <c r="CJ234" s="181" t="n">
        <f aca="false">CC234+CF234-CG234-CH234+CD234-CE234-CI234</f>
        <v>441110.523441653</v>
      </c>
      <c r="CK234" s="180" t="n">
        <f aca="false">CK233+CD234-CE234</f>
        <v>150000</v>
      </c>
      <c r="CL234" s="180" t="n">
        <f aca="false">CL233+CI234</f>
        <v>50244.6225026987</v>
      </c>
      <c r="CM234" s="180" t="n">
        <f aca="false">CJ234+CL234-CK234</f>
        <v>341355.145944352</v>
      </c>
      <c r="CN234" s="180" t="n">
        <f aca="false">MAX(0,IFERROR(INDEX(TAB_IR,MATCH($C234,TAB_IR_DIAS,1),MATCH($G$8,TAB_IR_REGIMES,0)),0)*IF($G$26=2,CJ234,MAX(0,CM234))-CL234)</f>
        <v>958.649388954043</v>
      </c>
      <c r="CO234" s="181" t="n">
        <f aca="false">MAX(0,CJ234-CN234-CJ234*$G$25)</f>
        <v>440151.874052699</v>
      </c>
      <c r="CP234" s="180" t="n">
        <f aca="false">CO234/$D234</f>
        <v>250056.748898643</v>
      </c>
    </row>
    <row r="235" customFormat="false" ht="12" hidden="false" customHeight="true" outlineLevel="0" collapsed="false">
      <c r="A235" s="177" t="n">
        <v>174</v>
      </c>
      <c r="B235" s="178" t="n">
        <f aca="false">EDATE(DATA_INICIO,$A235)</f>
        <v>51555</v>
      </c>
      <c r="C235" s="177" t="n">
        <f aca="false">$A235*30</f>
        <v>5220</v>
      </c>
      <c r="D235" s="179" t="n">
        <f aca="false">(1+IPCA_CENARIO)^($A235/12)</f>
        <v>1.76597039951115</v>
      </c>
      <c r="F235" s="180" t="n">
        <f aca="false">M234</f>
        <v>746871.018618425</v>
      </c>
      <c r="G235" s="180" t="n">
        <f aca="false">IF($B$9=0,0,IF($A235&gt;IN_PRAZO,0,IF(APORTE_CORRIGIDO="Sim",IN_APORTE*$D235,IN_APORTE))+IF(AND($B$35=1,PGBL_REINVESTE="Sim",$A235&gt;=13,$A235&lt;=IN_PRAZO,MONTH($B235)=5),PGBL_BENEFICIO,0))</f>
        <v>0</v>
      </c>
      <c r="H235" s="180" t="n">
        <f aca="false">G235*$B$24</f>
        <v>0</v>
      </c>
      <c r="I235" s="180" t="n">
        <f aca="false">F235*$B$19</f>
        <v>7086.90444451135</v>
      </c>
      <c r="J235" s="180" t="n">
        <f aca="false">F235*$B$22</f>
        <v>124.478503103071</v>
      </c>
      <c r="K235" s="180" t="n">
        <f aca="false">$B$23*MAX(0,I235-F235*$B$18)</f>
        <v>0</v>
      </c>
      <c r="L235" s="180" t="n">
        <f aca="false">IF(AND($B$27=1,OR(MONTH($B235)=5,MONTH($B235)=11)),MAX(0,$B$28*MAX(0,(F235+I235-J235-K235+G235-H235)+O234-N235)-O234),0)</f>
        <v>0</v>
      </c>
      <c r="M235" s="181" t="n">
        <f aca="false">F235+I235-J235-K235+G235-H235-L235</f>
        <v>753833.444559833</v>
      </c>
      <c r="N235" s="180" t="n">
        <f aca="false">N234+G235-H235</f>
        <v>150000</v>
      </c>
      <c r="O235" s="180" t="n">
        <f aca="false">O234+L235</f>
        <v>0</v>
      </c>
      <c r="P235" s="180" t="n">
        <f aca="false">M235+O235-N235</f>
        <v>603833.444559833</v>
      </c>
      <c r="Q235" s="180" t="n">
        <f aca="false">MAX(0,IFERROR(INDEX(TAB_IR,MATCH($C235,TAB_IR_DIAS,1),MATCH($B$8,TAB_IR_REGIMES,0)),0)*IF($B$26=2,M235,MAX(0,P235))-O235)</f>
        <v>90575.016683975</v>
      </c>
      <c r="R235" s="181" t="n">
        <f aca="false">MAX(0,M235-Q235-M235*$B$25)</f>
        <v>663258.427875858</v>
      </c>
      <c r="S235" s="180" t="n">
        <f aca="false">R235/$D235</f>
        <v>375577.318883409</v>
      </c>
      <c r="U235" s="180" t="n">
        <f aca="false">AB234</f>
        <v>594373.712293109</v>
      </c>
      <c r="V235" s="180" t="n">
        <f aca="false">IF($C$9=0,0,IF($A235&gt;IN_PRAZO,0,IF(APORTE_CORRIGIDO="Sim",IN_APORTE*$D235,IN_APORTE))+IF(AND($C$35=1,PGBL_REINVESTE="Sim",$A235&gt;=13,$A235&lt;=IN_PRAZO,MONTH($B235)=5),PGBL_BENEFICIO,0))</f>
        <v>0</v>
      </c>
      <c r="W235" s="180" t="n">
        <f aca="false">V235*$C$24</f>
        <v>0</v>
      </c>
      <c r="X235" s="180" t="n">
        <f aca="false">U235*$C$19</f>
        <v>4848.440367658</v>
      </c>
      <c r="Y235" s="180" t="n">
        <f aca="false">U235*$C$22</f>
        <v>99.0622853821848</v>
      </c>
      <c r="Z235" s="180" t="n">
        <f aca="false">$C$23*MAX(0,X235-U235*$C$18)</f>
        <v>0</v>
      </c>
      <c r="AA235" s="180" t="n">
        <f aca="false">IF(AND($C$27=1,OR(MONTH($B235)=5,MONTH($B235)=11)),MAX(0,$C$28*MAX(0,(U235+X235-Y235-Z235+V235-W235)+AD234-AC235)-AD234),0)</f>
        <v>0</v>
      </c>
      <c r="AB235" s="181" t="n">
        <f aca="false">U235+X235-Y235-Z235+V235-W235-AA235</f>
        <v>599123.090375384</v>
      </c>
      <c r="AC235" s="180" t="n">
        <f aca="false">AC234+V235-W235</f>
        <v>150000</v>
      </c>
      <c r="AD235" s="180" t="n">
        <f aca="false">AD234+AA235</f>
        <v>0</v>
      </c>
      <c r="AE235" s="180" t="n">
        <f aca="false">AB235+AD235-AC235</f>
        <v>449123.090375384</v>
      </c>
      <c r="AF235" s="180" t="n">
        <f aca="false">MAX(0,IFERROR(INDEX(TAB_IR,MATCH($C235,TAB_IR_DIAS,1),MATCH($C$8,TAB_IR_REGIMES,0)),0)*IF($C$26=2,AB235,MAX(0,AE235))-AD235)</f>
        <v>67368.4635563077</v>
      </c>
      <c r="AG235" s="181" t="n">
        <f aca="false">MAX(0,AB235-AF235-AB235*$C$25)</f>
        <v>531754.626819077</v>
      </c>
      <c r="AH235" s="180" t="n">
        <f aca="false">AG235/$D235</f>
        <v>301111.857235136</v>
      </c>
      <c r="AJ235" s="180" t="n">
        <f aca="false">AQ234</f>
        <v>498539.816833961</v>
      </c>
      <c r="AK235" s="180" t="n">
        <f aca="false">IF($D$9=0,0,IF($A235&gt;IN_PRAZO,0,IF(APORTE_CORRIGIDO="Sim",IN_APORTE*$D235,IN_APORTE))+IF(AND($D$35=1,PGBL_REINVESTE="Sim",$A235&gt;=13,$A235&lt;=IN_PRAZO,MONTH($B235)=5),PGBL_BENEFICIO,0))</f>
        <v>0</v>
      </c>
      <c r="AL235" s="180" t="n">
        <f aca="false">AK235*$D$24</f>
        <v>0</v>
      </c>
      <c r="AM235" s="180" t="n">
        <f aca="false">AJ235*$D$19</f>
        <v>4481.22338065667</v>
      </c>
      <c r="AN235" s="180" t="n">
        <f aca="false">AJ235*$D$22</f>
        <v>415.449847361634</v>
      </c>
      <c r="AO235" s="180" t="n">
        <f aca="false">$D$23*MAX(0,AM235-AJ235*$D$18)</f>
        <v>0</v>
      </c>
      <c r="AP235" s="180" t="n">
        <f aca="false">IF(AND($D$27=1,OR(MONTH($B235)=5,MONTH($B235)=11)),MAX(0,$D$28*MAX(0,(AJ235+AM235-AN235-AO235+AK235-AL235)+AS234-AR235)-AS234),0)</f>
        <v>0</v>
      </c>
      <c r="AQ235" s="181" t="n">
        <f aca="false">AJ235+AM235-AN235-AO235+AK235-AL235-AP235</f>
        <v>502605.590367256</v>
      </c>
      <c r="AR235" s="180" t="n">
        <f aca="false">AR234+AK235-AL235</f>
        <v>150000</v>
      </c>
      <c r="AS235" s="180" t="n">
        <f aca="false">AS234+AP235</f>
        <v>60089.4128144602</v>
      </c>
      <c r="AT235" s="180" t="n">
        <f aca="false">AQ235+AS235-AR235</f>
        <v>412695.003181716</v>
      </c>
      <c r="AU235" s="180" t="n">
        <f aca="false">MAX(0,IFERROR(INDEX(TAB_IR,MATCH($C235,TAB_IR_DIAS,1),MATCH($D$8,TAB_IR_REGIMES,0)),0)*IF($D$26=2,AQ235,MAX(0,AT235))-AS235)</f>
        <v>1814.83766279717</v>
      </c>
      <c r="AV235" s="181" t="n">
        <f aca="false">MAX(0,AQ235-AU235-AQ235*$D$25)</f>
        <v>500790.752704459</v>
      </c>
      <c r="AW235" s="180" t="n">
        <f aca="false">AV235/$D235</f>
        <v>283578.225797605</v>
      </c>
      <c r="AY235" s="180" t="n">
        <f aca="false">BF234</f>
        <v>652993.50477545</v>
      </c>
      <c r="AZ235" s="180" t="n">
        <f aca="false">IF($E$9=0,0,IF($A235&gt;IN_PRAZO,0,IF(APORTE_CORRIGIDO="Sim",IN_APORTE*$D235,IN_APORTE))+IF(AND($E$35=1,PGBL_REINVESTE="Sim",$A235&gt;=13,$A235&lt;=IN_PRAZO,MONTH($B235)=5),PGBL_BENEFICIO,0))</f>
        <v>0</v>
      </c>
      <c r="BA235" s="180" t="n">
        <f aca="false">AZ235*$E$24</f>
        <v>0</v>
      </c>
      <c r="BB235" s="180" t="n">
        <f aca="false">AY235*$E$19</f>
        <v>6391.98713360072</v>
      </c>
      <c r="BC235" s="180" t="n">
        <f aca="false">AY235*$E$22</f>
        <v>816.241880969313</v>
      </c>
      <c r="BD235" s="180" t="n">
        <f aca="false">$E$23*MAX(0,BB235-AY235*$E$18)</f>
        <v>0</v>
      </c>
      <c r="BE235" s="180" t="n">
        <f aca="false">IF(AND($E$27=1,OR(MONTH($B235)=5,MONTH($B235)=11)),MAX(0,$E$28*MAX(0,(AY235+BB235-BC235-BD235+AZ235-BA235)+BH234-BG235)-BH234),0)</f>
        <v>0</v>
      </c>
      <c r="BF235" s="181" t="n">
        <f aca="false">AY235+BB235-BC235-BD235+AZ235-BA235-BE235</f>
        <v>658569.250028082</v>
      </c>
      <c r="BG235" s="180" t="n">
        <f aca="false">BG234+AZ235-BA235</f>
        <v>150000</v>
      </c>
      <c r="BH235" s="180" t="n">
        <f aca="false">BH234+BE235</f>
        <v>0</v>
      </c>
      <c r="BI235" s="180" t="n">
        <f aca="false">BF235+BH235-BG235</f>
        <v>508569.250028082</v>
      </c>
      <c r="BJ235" s="180" t="n">
        <f aca="false">MAX(0,IFERROR(INDEX(TAB_IR,MATCH($C235,TAB_IR_DIAS,1),MATCH($E$8,TAB_IR_REGIMES,0)),0)*IF($E$26=2,BF235,MAX(0,BI235))-BH235)</f>
        <v>50856.9250028082</v>
      </c>
      <c r="BK235" s="181" t="n">
        <f aca="false">MAX(0,BF235-BJ235-BF235*$E$25)</f>
        <v>607712.325025274</v>
      </c>
      <c r="BL235" s="180" t="n">
        <f aca="false">BK235/$D235</f>
        <v>344123.732308027</v>
      </c>
      <c r="BN235" s="180" t="n">
        <f aca="false">BU234</f>
        <v>652993.50477545</v>
      </c>
      <c r="BO235" s="180" t="n">
        <f aca="false">IF($F$9=0,0,IF($A235&gt;IN_PRAZO,0,IF(APORTE_CORRIGIDO="Sim",IN_APORTE*$D235,IN_APORTE))+IF(AND($F$35=1,PGBL_REINVESTE="Sim",$A235&gt;=13,$A235&lt;=IN_PRAZO,MONTH($B235)=5),PGBL_BENEFICIO,0))</f>
        <v>0</v>
      </c>
      <c r="BP235" s="180" t="n">
        <f aca="false">BO235*$F$24</f>
        <v>0</v>
      </c>
      <c r="BQ235" s="180" t="n">
        <f aca="false">BN235*$F$19</f>
        <v>6391.98713360072</v>
      </c>
      <c r="BR235" s="180" t="n">
        <f aca="false">BN235*$F$22</f>
        <v>816.241880969313</v>
      </c>
      <c r="BS235" s="180" t="n">
        <f aca="false">$F$23*MAX(0,BQ235-BN235*$F$18)</f>
        <v>0</v>
      </c>
      <c r="BT235" s="180" t="n">
        <f aca="false">IF(AND($F$27=1,OR(MONTH($B235)=5,MONTH($B235)=11)),MAX(0,$F$28*MAX(0,(BN235+BQ235-BR235-BS235+BO235-BP235)+BW234-BV235)-BW234),0)</f>
        <v>0</v>
      </c>
      <c r="BU235" s="181" t="n">
        <f aca="false">BN235+BQ235-BR235-BS235+BO235-BP235-BT235</f>
        <v>658569.250028082</v>
      </c>
      <c r="BV235" s="180" t="n">
        <f aca="false">BV234+BO235-BP235</f>
        <v>150000</v>
      </c>
      <c r="BW235" s="180" t="n">
        <f aca="false">BW234+BT235</f>
        <v>0</v>
      </c>
      <c r="BX235" s="180" t="n">
        <f aca="false">BU235+BW235-BV235</f>
        <v>508569.250028082</v>
      </c>
      <c r="BY235" s="180" t="n">
        <f aca="false">MAX(0,IFERROR(INDEX(TAB_IR,MATCH($C235,TAB_IR_DIAS,1),MATCH($F$8,TAB_IR_REGIMES,0)),0)*IF($F$26=2,BU235,MAX(0,BX235))-BW235)</f>
        <v>65856.9250028082</v>
      </c>
      <c r="BZ235" s="181" t="n">
        <f aca="false">MAX(0,BU235-BY235-BU235*$F$25)</f>
        <v>592712.325025274</v>
      </c>
      <c r="CA235" s="180" t="n">
        <f aca="false">BZ235/$D235</f>
        <v>335629.818704406</v>
      </c>
      <c r="CC235" s="180" t="n">
        <f aca="false">CJ234</f>
        <v>441110.523441653</v>
      </c>
      <c r="CD235" s="180" t="n">
        <f aca="false">IF($G$9=0,0,IF($A235&gt;IN_PRAZO,0,IF(APORTE_CORRIGIDO="Sim",IN_APORTE*$D235,IN_APORTE))+IF(AND($G$35=1,PGBL_REINVESTE="Sim",$A235&gt;=13,$A235&lt;=IN_PRAZO,MONTH($B235)=5),PGBL_BENEFICIO,0))</f>
        <v>0</v>
      </c>
      <c r="CE235" s="180" t="n">
        <f aca="false">CD235*$G$24</f>
        <v>0</v>
      </c>
      <c r="CF235" s="180" t="n">
        <f aca="false">CC235*$G$19</f>
        <v>3598.23798431816</v>
      </c>
      <c r="CG235" s="180" t="n">
        <f aca="false">CC235*$G$22</f>
        <v>367.592102868044</v>
      </c>
      <c r="CH235" s="180" t="n">
        <f aca="false">$G$23*MAX(0,CF235-CC235*$G$18)</f>
        <v>0</v>
      </c>
      <c r="CI235" s="180" t="n">
        <f aca="false">IF(AND($G$27=1,OR(MONTH($B235)=5,MONTH($B235)=11)),MAX(0,$G$28*MAX(0,(CC235+CF235-CG235-CH235+CD235-CE235)+CL234-CK235)-CL234),0)</f>
        <v>0</v>
      </c>
      <c r="CJ235" s="181" t="n">
        <f aca="false">CC235+CF235-CG235-CH235+CD235-CE235-CI235</f>
        <v>444341.169323103</v>
      </c>
      <c r="CK235" s="180" t="n">
        <f aca="false">CK234+CD235-CE235</f>
        <v>150000</v>
      </c>
      <c r="CL235" s="180" t="n">
        <f aca="false">CL234+CI235</f>
        <v>50244.6225026987</v>
      </c>
      <c r="CM235" s="180" t="n">
        <f aca="false">CJ235+CL235-CK235</f>
        <v>344585.791825802</v>
      </c>
      <c r="CN235" s="180" t="n">
        <f aca="false">MAX(0,IFERROR(INDEX(TAB_IR,MATCH($C235,TAB_IR_DIAS,1),MATCH($G$8,TAB_IR_REGIMES,0)),0)*IF($G$26=2,CJ235,MAX(0,CM235))-CL235)</f>
        <v>1443.24627117157</v>
      </c>
      <c r="CO235" s="181" t="n">
        <f aca="false">MAX(0,CJ235-CN235-CJ235*$G$25)</f>
        <v>442897.923051932</v>
      </c>
      <c r="CP235" s="180" t="n">
        <f aca="false">CO235/$D235</f>
        <v>250795.77957509</v>
      </c>
    </row>
    <row r="236" customFormat="false" ht="12" hidden="false" customHeight="true" outlineLevel="0" collapsed="false">
      <c r="A236" s="177" t="n">
        <v>175</v>
      </c>
      <c r="B236" s="178" t="n">
        <f aca="false">EDATE(DATA_INICIO,$A236)</f>
        <v>51583</v>
      </c>
      <c r="C236" s="177" t="n">
        <f aca="false">$A236*30</f>
        <v>5250</v>
      </c>
      <c r="D236" s="179" t="n">
        <f aca="false">(1+IPCA_CENARIO)^($A236/12)</f>
        <v>1.77175172706221</v>
      </c>
      <c r="F236" s="180" t="n">
        <f aca="false">M235</f>
        <v>753833.444559833</v>
      </c>
      <c r="G236" s="180" t="n">
        <f aca="false">IF($B$9=0,0,IF($A236&gt;IN_PRAZO,0,IF(APORTE_CORRIGIDO="Sim",IN_APORTE*$D236,IN_APORTE))+IF(AND($B$35=1,PGBL_REINVESTE="Sim",$A236&gt;=13,$A236&lt;=IN_PRAZO,MONTH($B236)=5),PGBL_BENEFICIO,0))</f>
        <v>0</v>
      </c>
      <c r="H236" s="180" t="n">
        <f aca="false">G236*$B$24</f>
        <v>0</v>
      </c>
      <c r="I236" s="180" t="n">
        <f aca="false">F236*$B$19</f>
        <v>7152.96946259175</v>
      </c>
      <c r="J236" s="180" t="n">
        <f aca="false">F236*$B$22</f>
        <v>125.638907426639</v>
      </c>
      <c r="K236" s="180" t="n">
        <f aca="false">$B$23*MAX(0,I236-F236*$B$18)</f>
        <v>0</v>
      </c>
      <c r="L236" s="180" t="n">
        <f aca="false">IF(AND($B$27=1,OR(MONTH($B236)=5,MONTH($B236)=11)),MAX(0,$B$28*MAX(0,(F236+I236-J236-K236+G236-H236)+O235-N236)-O235),0)</f>
        <v>0</v>
      </c>
      <c r="M236" s="181" t="n">
        <f aca="false">F236+I236-J236-K236+G236-H236-L236</f>
        <v>760860.775114998</v>
      </c>
      <c r="N236" s="180" t="n">
        <f aca="false">N235+G236-H236</f>
        <v>150000</v>
      </c>
      <c r="O236" s="180" t="n">
        <f aca="false">O235+L236</f>
        <v>0</v>
      </c>
      <c r="P236" s="180" t="n">
        <f aca="false">M236+O236-N236</f>
        <v>610860.775114998</v>
      </c>
      <c r="Q236" s="180" t="n">
        <f aca="false">MAX(0,IFERROR(INDEX(TAB_IR,MATCH($C236,TAB_IR_DIAS,1),MATCH($B$8,TAB_IR_REGIMES,0)),0)*IF($B$26=2,M236,MAX(0,P236))-O236)</f>
        <v>91629.1162672497</v>
      </c>
      <c r="R236" s="181" t="n">
        <f aca="false">MAX(0,M236-Q236-M236*$B$25)</f>
        <v>669231.658847749</v>
      </c>
      <c r="S236" s="180" t="n">
        <f aca="false">R236/$D236</f>
        <v>377723.1587393</v>
      </c>
      <c r="U236" s="180" t="n">
        <f aca="false">AB235</f>
        <v>599123.090375384</v>
      </c>
      <c r="V236" s="180" t="n">
        <f aca="false">IF($C$9=0,0,IF($A236&gt;IN_PRAZO,0,IF(APORTE_CORRIGIDO="Sim",IN_APORTE*$D236,IN_APORTE))+IF(AND($C$35=1,PGBL_REINVESTE="Sim",$A236&gt;=13,$A236&lt;=IN_PRAZO,MONTH($B236)=5),PGBL_BENEFICIO,0))</f>
        <v>0</v>
      </c>
      <c r="W236" s="180" t="n">
        <f aca="false">V236*$C$24</f>
        <v>0</v>
      </c>
      <c r="X236" s="180" t="n">
        <f aca="false">U236*$C$19</f>
        <v>4887.18211538189</v>
      </c>
      <c r="Y236" s="180" t="n">
        <f aca="false">U236*$C$22</f>
        <v>99.8538483958974</v>
      </c>
      <c r="Z236" s="180" t="n">
        <f aca="false">$C$23*MAX(0,X236-U236*$C$18)</f>
        <v>0</v>
      </c>
      <c r="AA236" s="180" t="n">
        <f aca="false">IF(AND($C$27=1,OR(MONTH($B236)=5,MONTH($B236)=11)),MAX(0,$C$28*MAX(0,(U236+X236-Y236-Z236+V236-W236)+AD235-AC236)-AD235),0)</f>
        <v>0</v>
      </c>
      <c r="AB236" s="181" t="n">
        <f aca="false">U236+X236-Y236-Z236+V236-W236-AA236</f>
        <v>603910.418642371</v>
      </c>
      <c r="AC236" s="180" t="n">
        <f aca="false">AC235+V236-W236</f>
        <v>150000</v>
      </c>
      <c r="AD236" s="180" t="n">
        <f aca="false">AD235+AA236</f>
        <v>0</v>
      </c>
      <c r="AE236" s="180" t="n">
        <f aca="false">AB236+AD236-AC236</f>
        <v>453910.418642371</v>
      </c>
      <c r="AF236" s="180" t="n">
        <f aca="false">MAX(0,IFERROR(INDEX(TAB_IR,MATCH($C236,TAB_IR_DIAS,1),MATCH($C$8,TAB_IR_REGIMES,0)),0)*IF($C$26=2,AB236,MAX(0,AE236))-AD236)</f>
        <v>68086.5627963556</v>
      </c>
      <c r="AG236" s="181" t="n">
        <f aca="false">MAX(0,AB236-AF236-AB236*$C$25)</f>
        <v>535823.855846015</v>
      </c>
      <c r="AH236" s="180" t="n">
        <f aca="false">AG236/$D236</f>
        <v>302426.03840126</v>
      </c>
      <c r="AJ236" s="180" t="n">
        <f aca="false">AQ235</f>
        <v>502605.590367256</v>
      </c>
      <c r="AK236" s="180" t="n">
        <f aca="false">IF($D$9=0,0,IF($A236&gt;IN_PRAZO,0,IF(APORTE_CORRIGIDO="Sim",IN_APORTE*$D236,IN_APORTE))+IF(AND($D$35=1,PGBL_REINVESTE="Sim",$A236&gt;=13,$A236&lt;=IN_PRAZO,MONTH($B236)=5),PGBL_BENEFICIO,0))</f>
        <v>0</v>
      </c>
      <c r="AL236" s="180" t="n">
        <f aca="false">AK236*$D$24</f>
        <v>0</v>
      </c>
      <c r="AM236" s="180" t="n">
        <f aca="false">AJ236*$D$19</f>
        <v>4517.76938721952</v>
      </c>
      <c r="AN236" s="180" t="n">
        <f aca="false">AJ236*$D$22</f>
        <v>418.837991972713</v>
      </c>
      <c r="AO236" s="180" t="n">
        <f aca="false">$D$23*MAX(0,AM236-AJ236*$D$18)</f>
        <v>0</v>
      </c>
      <c r="AP236" s="180" t="n">
        <f aca="false">IF(AND($D$27=1,OR(MONTH($B236)=5,MONTH($B236)=11)),MAX(0,$D$28*MAX(0,(AJ236+AM236-AN236-AO236+AK236-AL236)+AS235-AR236)-AS235),0)</f>
        <v>0</v>
      </c>
      <c r="AQ236" s="181" t="n">
        <f aca="false">AJ236+AM236-AN236-AO236+AK236-AL236-AP236</f>
        <v>506704.521762503</v>
      </c>
      <c r="AR236" s="180" t="n">
        <f aca="false">AR235+AK236-AL236</f>
        <v>150000</v>
      </c>
      <c r="AS236" s="180" t="n">
        <f aca="false">AS235+AP236</f>
        <v>60089.4128144602</v>
      </c>
      <c r="AT236" s="180" t="n">
        <f aca="false">AQ236+AS236-AR236</f>
        <v>416793.934576963</v>
      </c>
      <c r="AU236" s="180" t="n">
        <f aca="false">MAX(0,IFERROR(INDEX(TAB_IR,MATCH($C236,TAB_IR_DIAS,1),MATCH($D$8,TAB_IR_REGIMES,0)),0)*IF($D$26=2,AQ236,MAX(0,AT236))-AS236)</f>
        <v>2429.67737208419</v>
      </c>
      <c r="AV236" s="181" t="n">
        <f aca="false">MAX(0,AQ236-AU236-AQ236*$D$25)</f>
        <v>504274.844390418</v>
      </c>
      <c r="AW236" s="180" t="n">
        <f aca="false">AV236/$D236</f>
        <v>284619.360990589</v>
      </c>
      <c r="AY236" s="180" t="n">
        <f aca="false">BF235</f>
        <v>658569.250028082</v>
      </c>
      <c r="AZ236" s="180" t="n">
        <f aca="false">IF($E$9=0,0,IF($A236&gt;IN_PRAZO,0,IF(APORTE_CORRIGIDO="Sim",IN_APORTE*$D236,IN_APORTE))+IF(AND($E$35=1,PGBL_REINVESTE="Sim",$A236&gt;=13,$A236&lt;=IN_PRAZO,MONTH($B236)=5),PGBL_BENEFICIO,0))</f>
        <v>0</v>
      </c>
      <c r="BA236" s="180" t="n">
        <f aca="false">AZ236*$E$24</f>
        <v>0</v>
      </c>
      <c r="BB236" s="180" t="n">
        <f aca="false">AY236*$E$19</f>
        <v>6446.56668401648</v>
      </c>
      <c r="BC236" s="180" t="n">
        <f aca="false">AY236*$E$22</f>
        <v>823.211562535102</v>
      </c>
      <c r="BD236" s="180" t="n">
        <f aca="false">$E$23*MAX(0,BB236-AY236*$E$18)</f>
        <v>0</v>
      </c>
      <c r="BE236" s="180" t="n">
        <f aca="false">IF(AND($E$27=1,OR(MONTH($B236)=5,MONTH($B236)=11)),MAX(0,$E$28*MAX(0,(AY236+BB236-BC236-BD236+AZ236-BA236)+BH235-BG236)-BH235),0)</f>
        <v>0</v>
      </c>
      <c r="BF236" s="181" t="n">
        <f aca="false">AY236+BB236-BC236-BD236+AZ236-BA236-BE236</f>
        <v>664192.605149563</v>
      </c>
      <c r="BG236" s="180" t="n">
        <f aca="false">BG235+AZ236-BA236</f>
        <v>150000</v>
      </c>
      <c r="BH236" s="180" t="n">
        <f aca="false">BH235+BE236</f>
        <v>0</v>
      </c>
      <c r="BI236" s="180" t="n">
        <f aca="false">BF236+BH236-BG236</f>
        <v>514192.605149563</v>
      </c>
      <c r="BJ236" s="180" t="n">
        <f aca="false">MAX(0,IFERROR(INDEX(TAB_IR,MATCH($C236,TAB_IR_DIAS,1),MATCH($E$8,TAB_IR_REGIMES,0)),0)*IF($E$26=2,BF236,MAX(0,BI236))-BH236)</f>
        <v>51419.2605149563</v>
      </c>
      <c r="BK236" s="181" t="n">
        <f aca="false">MAX(0,BF236-BJ236-BF236*$E$25)</f>
        <v>612773.344634607</v>
      </c>
      <c r="BL236" s="180" t="n">
        <f aca="false">BK236/$D236</f>
        <v>345857.342919407</v>
      </c>
      <c r="BN236" s="180" t="n">
        <f aca="false">BU235</f>
        <v>658569.250028082</v>
      </c>
      <c r="BO236" s="180" t="n">
        <f aca="false">IF($F$9=0,0,IF($A236&gt;IN_PRAZO,0,IF(APORTE_CORRIGIDO="Sim",IN_APORTE*$D236,IN_APORTE))+IF(AND($F$35=1,PGBL_REINVESTE="Sim",$A236&gt;=13,$A236&lt;=IN_PRAZO,MONTH($B236)=5),PGBL_BENEFICIO,0))</f>
        <v>0</v>
      </c>
      <c r="BP236" s="180" t="n">
        <f aca="false">BO236*$F$24</f>
        <v>0</v>
      </c>
      <c r="BQ236" s="180" t="n">
        <f aca="false">BN236*$F$19</f>
        <v>6446.56668401648</v>
      </c>
      <c r="BR236" s="180" t="n">
        <f aca="false">BN236*$F$22</f>
        <v>823.211562535102</v>
      </c>
      <c r="BS236" s="180" t="n">
        <f aca="false">$F$23*MAX(0,BQ236-BN236*$F$18)</f>
        <v>0</v>
      </c>
      <c r="BT236" s="180" t="n">
        <f aca="false">IF(AND($F$27=1,OR(MONTH($B236)=5,MONTH($B236)=11)),MAX(0,$F$28*MAX(0,(BN236+BQ236-BR236-BS236+BO236-BP236)+BW235-BV236)-BW235),0)</f>
        <v>0</v>
      </c>
      <c r="BU236" s="181" t="n">
        <f aca="false">BN236+BQ236-BR236-BS236+BO236-BP236-BT236</f>
        <v>664192.605149563</v>
      </c>
      <c r="BV236" s="180" t="n">
        <f aca="false">BV235+BO236-BP236</f>
        <v>150000</v>
      </c>
      <c r="BW236" s="180" t="n">
        <f aca="false">BW235+BT236</f>
        <v>0</v>
      </c>
      <c r="BX236" s="180" t="n">
        <f aca="false">BU236+BW236-BV236</f>
        <v>514192.605149563</v>
      </c>
      <c r="BY236" s="180" t="n">
        <f aca="false">MAX(0,IFERROR(INDEX(TAB_IR,MATCH($C236,TAB_IR_DIAS,1),MATCH($F$8,TAB_IR_REGIMES,0)),0)*IF($F$26=2,BU236,MAX(0,BX236))-BW236)</f>
        <v>66419.2605149563</v>
      </c>
      <c r="BZ236" s="181" t="n">
        <f aca="false">MAX(0,BU236-BY236-BU236*$F$25)</f>
        <v>597773.344634607</v>
      </c>
      <c r="CA236" s="180" t="n">
        <f aca="false">BZ236/$D236</f>
        <v>337391.145443267</v>
      </c>
      <c r="CC236" s="180" t="n">
        <f aca="false">CJ235</f>
        <v>444341.169323103</v>
      </c>
      <c r="CD236" s="180" t="n">
        <f aca="false">IF($G$9=0,0,IF($A236&gt;IN_PRAZO,0,IF(APORTE_CORRIGIDO="Sim",IN_APORTE*$D236,IN_APORTE))+IF(AND($G$35=1,PGBL_REINVESTE="Sim",$A236&gt;=13,$A236&lt;=IN_PRAZO,MONTH($B236)=5),PGBL_BENEFICIO,0))</f>
        <v>0</v>
      </c>
      <c r="CE236" s="180" t="n">
        <f aca="false">CD236*$G$24</f>
        <v>0</v>
      </c>
      <c r="CF236" s="180" t="n">
        <f aca="false">CC236*$G$19</f>
        <v>3624.59109109471</v>
      </c>
      <c r="CG236" s="180" t="n">
        <f aca="false">CC236*$G$22</f>
        <v>370.284307769253</v>
      </c>
      <c r="CH236" s="180" t="n">
        <f aca="false">$G$23*MAX(0,CF236-CC236*$G$18)</f>
        <v>0</v>
      </c>
      <c r="CI236" s="180" t="n">
        <f aca="false">IF(AND($G$27=1,OR(MONTH($B236)=5,MONTH($B236)=11)),MAX(0,$G$28*MAX(0,(CC236+CF236-CG236-CH236+CD236-CE236)+CL235-CK236)-CL235),0)</f>
        <v>0</v>
      </c>
      <c r="CJ236" s="181" t="n">
        <f aca="false">CC236+CF236-CG236-CH236+CD236-CE236-CI236</f>
        <v>447595.476106429</v>
      </c>
      <c r="CK236" s="180" t="n">
        <f aca="false">CK235+CD236-CE236</f>
        <v>150000</v>
      </c>
      <c r="CL236" s="180" t="n">
        <f aca="false">CL235+CI236</f>
        <v>50244.6225026987</v>
      </c>
      <c r="CM236" s="180" t="n">
        <f aca="false">CJ236+CL236-CK236</f>
        <v>347840.098609127</v>
      </c>
      <c r="CN236" s="180" t="n">
        <f aca="false">MAX(0,IFERROR(INDEX(TAB_IR,MATCH($C236,TAB_IR_DIAS,1),MATCH($G$8,TAB_IR_REGIMES,0)),0)*IF($G$26=2,CJ236,MAX(0,CM236))-CL236)</f>
        <v>1931.39228867039</v>
      </c>
      <c r="CO236" s="181" t="n">
        <f aca="false">MAX(0,CJ236-CN236-CJ236*$G$25)</f>
        <v>445664.083817758</v>
      </c>
      <c r="CP236" s="180" t="n">
        <f aca="false">CO236/$D236</f>
        <v>251538.676108263</v>
      </c>
    </row>
    <row r="237" customFormat="false" ht="12" hidden="false" customHeight="true" outlineLevel="0" collapsed="false">
      <c r="A237" s="177" t="n">
        <v>176</v>
      </c>
      <c r="B237" s="178" t="n">
        <f aca="false">EDATE(DATA_INICIO,$A237)</f>
        <v>51614</v>
      </c>
      <c r="C237" s="177" t="n">
        <f aca="false">$A237*30</f>
        <v>5280</v>
      </c>
      <c r="D237" s="179" t="n">
        <f aca="false">(1+IPCA_CENARIO)^($A237/12)</f>
        <v>1.77755198117528</v>
      </c>
      <c r="F237" s="180" t="n">
        <f aca="false">M236</f>
        <v>760860.775114998</v>
      </c>
      <c r="G237" s="180" t="n">
        <f aca="false">IF($B$9=0,0,IF($A237&gt;IN_PRAZO,0,IF(APORTE_CORRIGIDO="Sim",IN_APORTE*$D237,IN_APORTE))+IF(AND($B$35=1,PGBL_REINVESTE="Sim",$A237&gt;=13,$A237&lt;=IN_PRAZO,MONTH($B237)=5),PGBL_BENEFICIO,0))</f>
        <v>0</v>
      </c>
      <c r="H237" s="180" t="n">
        <f aca="false">G237*$B$24</f>
        <v>0</v>
      </c>
      <c r="I237" s="180" t="n">
        <f aca="false">F237*$B$19</f>
        <v>7219.65034711258</v>
      </c>
      <c r="J237" s="180" t="n">
        <f aca="false">F237*$B$22</f>
        <v>126.810129185833</v>
      </c>
      <c r="K237" s="180" t="n">
        <f aca="false">$B$23*MAX(0,I237-F237*$B$18)</f>
        <v>0</v>
      </c>
      <c r="L237" s="180" t="n">
        <f aca="false">IF(AND($B$27=1,OR(MONTH($B237)=5,MONTH($B237)=11)),MAX(0,$B$28*MAX(0,(F237+I237-J237-K237+G237-H237)+O236-N237)-O236),0)</f>
        <v>0</v>
      </c>
      <c r="M237" s="181" t="n">
        <f aca="false">F237+I237-J237-K237+G237-H237-L237</f>
        <v>767953.615332925</v>
      </c>
      <c r="N237" s="180" t="n">
        <f aca="false">N236+G237-H237</f>
        <v>150000</v>
      </c>
      <c r="O237" s="180" t="n">
        <f aca="false">O236+L237</f>
        <v>0</v>
      </c>
      <c r="P237" s="180" t="n">
        <f aca="false">M237+O237-N237</f>
        <v>617953.615332925</v>
      </c>
      <c r="Q237" s="180" t="n">
        <f aca="false">MAX(0,IFERROR(INDEX(TAB_IR,MATCH($C237,TAB_IR_DIAS,1),MATCH($B$8,TAB_IR_REGIMES,0)),0)*IF($B$26=2,M237,MAX(0,P237))-O237)</f>
        <v>92693.0422999388</v>
      </c>
      <c r="R237" s="181" t="n">
        <f aca="false">MAX(0,M237-Q237-M237*$B$25)</f>
        <v>675260.573032986</v>
      </c>
      <c r="S237" s="180" t="n">
        <f aca="false">R237/$D237</f>
        <v>379882.321408413</v>
      </c>
      <c r="U237" s="180" t="n">
        <f aca="false">AB236</f>
        <v>603910.418642371</v>
      </c>
      <c r="V237" s="180" t="n">
        <f aca="false">IF($C$9=0,0,IF($A237&gt;IN_PRAZO,0,IF(APORTE_CORRIGIDO="Sim",IN_APORTE*$D237,IN_APORTE))+IF(AND($C$35=1,PGBL_REINVESTE="Sim",$A237&gt;=13,$A237&lt;=IN_PRAZO,MONTH($B237)=5),PGBL_BENEFICIO,0))</f>
        <v>0</v>
      </c>
      <c r="W237" s="180" t="n">
        <f aca="false">V237*$C$24</f>
        <v>0</v>
      </c>
      <c r="X237" s="180" t="n">
        <f aca="false">U237*$C$19</f>
        <v>4926.23343131802</v>
      </c>
      <c r="Y237" s="180" t="n">
        <f aca="false">U237*$C$22</f>
        <v>100.651736440395</v>
      </c>
      <c r="Z237" s="180" t="n">
        <f aca="false">$C$23*MAX(0,X237-U237*$C$18)</f>
        <v>0</v>
      </c>
      <c r="AA237" s="180" t="n">
        <f aca="false">IF(AND($C$27=1,OR(MONTH($B237)=5,MONTH($B237)=11)),MAX(0,$C$28*MAX(0,(U237+X237-Y237-Z237+V237-W237)+AD236-AC237)-AD236),0)</f>
        <v>0</v>
      </c>
      <c r="AB237" s="181" t="n">
        <f aca="false">U237+X237-Y237-Z237+V237-W237-AA237</f>
        <v>608736.000337248</v>
      </c>
      <c r="AC237" s="180" t="n">
        <f aca="false">AC236+V237-W237</f>
        <v>150000</v>
      </c>
      <c r="AD237" s="180" t="n">
        <f aca="false">AD236+AA237</f>
        <v>0</v>
      </c>
      <c r="AE237" s="180" t="n">
        <f aca="false">AB237+AD237-AC237</f>
        <v>458736.000337248</v>
      </c>
      <c r="AF237" s="180" t="n">
        <f aca="false">MAX(0,IFERROR(INDEX(TAB_IR,MATCH($C237,TAB_IR_DIAS,1),MATCH($C$8,TAB_IR_REGIMES,0)),0)*IF($C$26=2,AB237,MAX(0,AE237))-AD237)</f>
        <v>68810.4000505872</v>
      </c>
      <c r="AG237" s="181" t="n">
        <f aca="false">MAX(0,AB237-AF237-AB237*$C$25)</f>
        <v>539925.600286661</v>
      </c>
      <c r="AH237" s="180" t="n">
        <f aca="false">AG237/$D237</f>
        <v>303746.729212203</v>
      </c>
      <c r="AJ237" s="180" t="n">
        <f aca="false">AQ236</f>
        <v>506704.521762503</v>
      </c>
      <c r="AK237" s="180" t="n">
        <f aca="false">IF($D$9=0,0,IF($A237&gt;IN_PRAZO,0,IF(APORTE_CORRIGIDO="Sim",IN_APORTE*$D237,IN_APORTE))+IF(AND($D$35=1,PGBL_REINVESTE="Sim",$A237&gt;=13,$A237&lt;=IN_PRAZO,MONTH($B237)=5),PGBL_BENEFICIO,0))</f>
        <v>0</v>
      </c>
      <c r="AL237" s="180" t="n">
        <f aca="false">AK237*$D$24</f>
        <v>0</v>
      </c>
      <c r="AM237" s="180" t="n">
        <f aca="false">AJ237*$D$19</f>
        <v>4554.61343975826</v>
      </c>
      <c r="AN237" s="180" t="n">
        <f aca="false">AJ237*$D$22</f>
        <v>422.253768135419</v>
      </c>
      <c r="AO237" s="180" t="n">
        <f aca="false">$D$23*MAX(0,AM237-AJ237*$D$18)</f>
        <v>0</v>
      </c>
      <c r="AP237" s="180" t="n">
        <f aca="false">IF(AND($D$27=1,OR(MONTH($B237)=5,MONTH($B237)=11)),MAX(0,$D$28*MAX(0,(AJ237+AM237-AN237-AO237+AK237-AL237)+AS236-AR237)-AS236),0)</f>
        <v>0</v>
      </c>
      <c r="AQ237" s="181" t="n">
        <f aca="false">AJ237+AM237-AN237-AO237+AK237-AL237-AP237</f>
        <v>510836.881434125</v>
      </c>
      <c r="AR237" s="180" t="n">
        <f aca="false">AR236+AK237-AL237</f>
        <v>150000</v>
      </c>
      <c r="AS237" s="180" t="n">
        <f aca="false">AS236+AP237</f>
        <v>60089.4128144602</v>
      </c>
      <c r="AT237" s="180" t="n">
        <f aca="false">AQ237+AS237-AR237</f>
        <v>420926.294248586</v>
      </c>
      <c r="AU237" s="180" t="n">
        <f aca="false">MAX(0,IFERROR(INDEX(TAB_IR,MATCH($C237,TAB_IR_DIAS,1),MATCH($D$8,TAB_IR_REGIMES,0)),0)*IF($D$26=2,AQ237,MAX(0,AT237))-AS237)</f>
        <v>3049.53132282762</v>
      </c>
      <c r="AV237" s="181" t="n">
        <f aca="false">MAX(0,AQ237-AU237-AQ237*$D$25)</f>
        <v>507787.350111298</v>
      </c>
      <c r="AW237" s="180" t="n">
        <f aca="false">AV237/$D237</f>
        <v>285666.667129228</v>
      </c>
      <c r="AY237" s="180" t="n">
        <f aca="false">BF236</f>
        <v>664192.605149563</v>
      </c>
      <c r="AZ237" s="180" t="n">
        <f aca="false">IF($E$9=0,0,IF($A237&gt;IN_PRAZO,0,IF(APORTE_CORRIGIDO="Sim",IN_APORTE*$D237,IN_APORTE))+IF(AND($E$35=1,PGBL_REINVESTE="Sim",$A237&gt;=13,$A237&lt;=IN_PRAZO,MONTH($B237)=5),PGBL_BENEFICIO,0))</f>
        <v>0</v>
      </c>
      <c r="BA237" s="180" t="n">
        <f aca="false">AZ237*$E$24</f>
        <v>0</v>
      </c>
      <c r="BB237" s="180" t="n">
        <f aca="false">AY237*$E$19</f>
        <v>6501.61227531457</v>
      </c>
      <c r="BC237" s="180" t="n">
        <f aca="false">AY237*$E$22</f>
        <v>830.240756436954</v>
      </c>
      <c r="BD237" s="180" t="n">
        <f aca="false">$E$23*MAX(0,BB237-AY237*$E$18)</f>
        <v>0</v>
      </c>
      <c r="BE237" s="180" t="n">
        <f aca="false">IF(AND($E$27=1,OR(MONTH($B237)=5,MONTH($B237)=11)),MAX(0,$E$28*MAX(0,(AY237+BB237-BC237-BD237+AZ237-BA237)+BH236-BG237)-BH236),0)</f>
        <v>0</v>
      </c>
      <c r="BF237" s="181" t="n">
        <f aca="false">AY237+BB237-BC237-BD237+AZ237-BA237-BE237</f>
        <v>669863.976668441</v>
      </c>
      <c r="BG237" s="180" t="n">
        <f aca="false">BG236+AZ237-BA237</f>
        <v>150000</v>
      </c>
      <c r="BH237" s="180" t="n">
        <f aca="false">BH236+BE237</f>
        <v>0</v>
      </c>
      <c r="BI237" s="180" t="n">
        <f aca="false">BF237+BH237-BG237</f>
        <v>519863.976668441</v>
      </c>
      <c r="BJ237" s="180" t="n">
        <f aca="false">MAX(0,IFERROR(INDEX(TAB_IR,MATCH($C237,TAB_IR_DIAS,1),MATCH($E$8,TAB_IR_REGIMES,0)),0)*IF($E$26=2,BF237,MAX(0,BI237))-BH237)</f>
        <v>51986.3976668441</v>
      </c>
      <c r="BK237" s="181" t="n">
        <f aca="false">MAX(0,BF237-BJ237-BF237*$E$25)</f>
        <v>617877.579001597</v>
      </c>
      <c r="BL237" s="180" t="n">
        <f aca="false">BK237/$D237</f>
        <v>347600.287105568</v>
      </c>
      <c r="BN237" s="180" t="n">
        <f aca="false">BU236</f>
        <v>664192.605149563</v>
      </c>
      <c r="BO237" s="180" t="n">
        <f aca="false">IF($F$9=0,0,IF($A237&gt;IN_PRAZO,0,IF(APORTE_CORRIGIDO="Sim",IN_APORTE*$D237,IN_APORTE))+IF(AND($F$35=1,PGBL_REINVESTE="Sim",$A237&gt;=13,$A237&lt;=IN_PRAZO,MONTH($B237)=5),PGBL_BENEFICIO,0))</f>
        <v>0</v>
      </c>
      <c r="BP237" s="180" t="n">
        <f aca="false">BO237*$F$24</f>
        <v>0</v>
      </c>
      <c r="BQ237" s="180" t="n">
        <f aca="false">BN237*$F$19</f>
        <v>6501.61227531457</v>
      </c>
      <c r="BR237" s="180" t="n">
        <f aca="false">BN237*$F$22</f>
        <v>830.240756436954</v>
      </c>
      <c r="BS237" s="180" t="n">
        <f aca="false">$F$23*MAX(0,BQ237-BN237*$F$18)</f>
        <v>0</v>
      </c>
      <c r="BT237" s="180" t="n">
        <f aca="false">IF(AND($F$27=1,OR(MONTH($B237)=5,MONTH($B237)=11)),MAX(0,$F$28*MAX(0,(BN237+BQ237-BR237-BS237+BO237-BP237)+BW236-BV237)-BW236),0)</f>
        <v>0</v>
      </c>
      <c r="BU237" s="181" t="n">
        <f aca="false">BN237+BQ237-BR237-BS237+BO237-BP237-BT237</f>
        <v>669863.976668441</v>
      </c>
      <c r="BV237" s="180" t="n">
        <f aca="false">BV236+BO237-BP237</f>
        <v>150000</v>
      </c>
      <c r="BW237" s="180" t="n">
        <f aca="false">BW236+BT237</f>
        <v>0</v>
      </c>
      <c r="BX237" s="180" t="n">
        <f aca="false">BU237+BW237-BV237</f>
        <v>519863.976668441</v>
      </c>
      <c r="BY237" s="180" t="n">
        <f aca="false">MAX(0,IFERROR(INDEX(TAB_IR,MATCH($C237,TAB_IR_DIAS,1),MATCH($F$8,TAB_IR_REGIMES,0)),0)*IF($F$26=2,BU237,MAX(0,BX237))-BW237)</f>
        <v>66986.3976668441</v>
      </c>
      <c r="BZ237" s="181" t="n">
        <f aca="false">MAX(0,BU237-BY237-BU237*$F$25)</f>
        <v>602877.579001597</v>
      </c>
      <c r="CA237" s="180" t="n">
        <f aca="false">BZ237/$D237</f>
        <v>339161.715317596</v>
      </c>
      <c r="CC237" s="180" t="n">
        <f aca="false">CJ236</f>
        <v>447595.476106429</v>
      </c>
      <c r="CD237" s="180" t="n">
        <f aca="false">IF($G$9=0,0,IF($A237&gt;IN_PRAZO,0,IF(APORTE_CORRIGIDO="Sim",IN_APORTE*$D237,IN_APORTE))+IF(AND($G$35=1,PGBL_REINVESTE="Sim",$A237&gt;=13,$A237&lt;=IN_PRAZO,MONTH($B237)=5),PGBL_BENEFICIO,0))</f>
        <v>0</v>
      </c>
      <c r="CE237" s="180" t="n">
        <f aca="false">CD237*$G$24</f>
        <v>0</v>
      </c>
      <c r="CF237" s="180" t="n">
        <f aca="false">CC237*$G$19</f>
        <v>3651.137205182</v>
      </c>
      <c r="CG237" s="180" t="n">
        <f aca="false">CC237*$G$22</f>
        <v>372.99623008869</v>
      </c>
      <c r="CH237" s="180" t="n">
        <f aca="false">$G$23*MAX(0,CF237-CC237*$G$18)</f>
        <v>0</v>
      </c>
      <c r="CI237" s="180" t="n">
        <f aca="false">IF(AND($G$27=1,OR(MONTH($B237)=5,MONTH($B237)=11)),MAX(0,$G$28*MAX(0,(CC237+CF237-CG237-CH237+CD237-CE237)+CL236-CK237)-CL236),0)</f>
        <v>0</v>
      </c>
      <c r="CJ237" s="181" t="n">
        <f aca="false">CC237+CF237-CG237-CH237+CD237-CE237-CI237</f>
        <v>450873.617081522</v>
      </c>
      <c r="CK237" s="180" t="n">
        <f aca="false">CK236+CD237-CE237</f>
        <v>150000</v>
      </c>
      <c r="CL237" s="180" t="n">
        <f aca="false">CL236+CI237</f>
        <v>50244.6225026987</v>
      </c>
      <c r="CM237" s="180" t="n">
        <f aca="false">CJ237+CL237-CK237</f>
        <v>351118.23958422</v>
      </c>
      <c r="CN237" s="180" t="n">
        <f aca="false">MAX(0,IFERROR(INDEX(TAB_IR,MATCH($C237,TAB_IR_DIAS,1),MATCH($G$8,TAB_IR_REGIMES,0)),0)*IF($G$26=2,CJ237,MAX(0,CM237))-CL237)</f>
        <v>2423.11343493438</v>
      </c>
      <c r="CO237" s="181" t="n">
        <f aca="false">MAX(0,CJ237-CN237-CJ237*$G$25)</f>
        <v>448450.503646587</v>
      </c>
      <c r="CP237" s="180" t="n">
        <f aca="false">CO237/$D237</f>
        <v>252285.451224938</v>
      </c>
    </row>
    <row r="238" customFormat="false" ht="12" hidden="false" customHeight="true" outlineLevel="0" collapsed="false">
      <c r="A238" s="177" t="n">
        <v>177</v>
      </c>
      <c r="B238" s="178" t="n">
        <f aca="false">EDATE(DATA_INICIO,$A238)</f>
        <v>51644</v>
      </c>
      <c r="C238" s="177" t="n">
        <f aca="false">$A238*30</f>
        <v>5310</v>
      </c>
      <c r="D238" s="179" t="n">
        <f aca="false">(1+IPCA_CENARIO)^($A238/12)</f>
        <v>1.78337122381098</v>
      </c>
      <c r="F238" s="180" t="n">
        <f aca="false">M237</f>
        <v>767953.615332925</v>
      </c>
      <c r="G238" s="180" t="n">
        <f aca="false">IF($B$9=0,0,IF($A238&gt;IN_PRAZO,0,IF(APORTE_CORRIGIDO="Sim",IN_APORTE*$D238,IN_APORTE))+IF(AND($B$35=1,PGBL_REINVESTE="Sim",$A238&gt;=13,$A238&lt;=IN_PRAZO,MONTH($B238)=5),PGBL_BENEFICIO,0))</f>
        <v>0</v>
      </c>
      <c r="H238" s="180" t="n">
        <f aca="false">G238*$B$24</f>
        <v>0</v>
      </c>
      <c r="I238" s="180" t="n">
        <f aca="false">F238*$B$19</f>
        <v>7286.95283925857</v>
      </c>
      <c r="J238" s="180" t="n">
        <f aca="false">F238*$B$22</f>
        <v>127.992269222154</v>
      </c>
      <c r="K238" s="180" t="n">
        <f aca="false">$B$23*MAX(0,I238-F238*$B$18)</f>
        <v>0</v>
      </c>
      <c r="L238" s="180" t="n">
        <f aca="false">IF(AND($B$27=1,OR(MONTH($B238)=5,MONTH($B238)=11)),MAX(0,$B$28*MAX(0,(F238+I238-J238-K238+G238-H238)+O237-N238)-O237),0)</f>
        <v>0</v>
      </c>
      <c r="M238" s="181" t="n">
        <f aca="false">F238+I238-J238-K238+G238-H238-L238</f>
        <v>775112.575902962</v>
      </c>
      <c r="N238" s="180" t="n">
        <f aca="false">N237+G238-H238</f>
        <v>150000</v>
      </c>
      <c r="O238" s="180" t="n">
        <f aca="false">O237+L238</f>
        <v>0</v>
      </c>
      <c r="P238" s="180" t="n">
        <f aca="false">M238+O238-N238</f>
        <v>625112.575902962</v>
      </c>
      <c r="Q238" s="180" t="n">
        <f aca="false">MAX(0,IFERROR(INDEX(TAB_IR,MATCH($C238,TAB_IR_DIAS,1),MATCH($B$8,TAB_IR_REGIMES,0)),0)*IF($B$26=2,M238,MAX(0,P238))-O238)</f>
        <v>93766.8863854442</v>
      </c>
      <c r="R238" s="181" t="n">
        <f aca="false">MAX(0,M238-Q238-M238*$B$25)</f>
        <v>681345.689517517</v>
      </c>
      <c r="S238" s="180" t="n">
        <f aca="false">R238/$D238</f>
        <v>382054.885948824</v>
      </c>
      <c r="U238" s="180" t="n">
        <f aca="false">AB237</f>
        <v>608736.000337248</v>
      </c>
      <c r="V238" s="180" t="n">
        <f aca="false">IF($C$9=0,0,IF($A238&gt;IN_PRAZO,0,IF(APORTE_CORRIGIDO="Sim",IN_APORTE*$D238,IN_APORTE))+IF(AND($C$35=1,PGBL_REINVESTE="Sim",$A238&gt;=13,$A238&lt;=IN_PRAZO,MONTH($B238)=5),PGBL_BENEFICIO,0))</f>
        <v>0</v>
      </c>
      <c r="W238" s="180" t="n">
        <f aca="false">V238*$C$24</f>
        <v>0</v>
      </c>
      <c r="X238" s="180" t="n">
        <f aca="false">U238*$C$19</f>
        <v>4965.59678908936</v>
      </c>
      <c r="Y238" s="180" t="n">
        <f aca="false">U238*$C$22</f>
        <v>101.456000056208</v>
      </c>
      <c r="Z238" s="180" t="n">
        <f aca="false">$C$23*MAX(0,X238-U238*$C$18)</f>
        <v>0</v>
      </c>
      <c r="AA238" s="180" t="n">
        <f aca="false">IF(AND($C$27=1,OR(MONTH($B238)=5,MONTH($B238)=11)),MAX(0,$C$28*MAX(0,(U238+X238-Y238-Z238+V238-W238)+AD237-AC238)-AD237),0)</f>
        <v>0</v>
      </c>
      <c r="AB238" s="181" t="n">
        <f aca="false">U238+X238-Y238-Z238+V238-W238-AA238</f>
        <v>613600.141126281</v>
      </c>
      <c r="AC238" s="180" t="n">
        <f aca="false">AC237+V238-W238</f>
        <v>150000</v>
      </c>
      <c r="AD238" s="180" t="n">
        <f aca="false">AD237+AA238</f>
        <v>0</v>
      </c>
      <c r="AE238" s="180" t="n">
        <f aca="false">AB238+AD238-AC238</f>
        <v>463600.141126281</v>
      </c>
      <c r="AF238" s="180" t="n">
        <f aca="false">MAX(0,IFERROR(INDEX(TAB_IR,MATCH($C238,TAB_IR_DIAS,1),MATCH($C$8,TAB_IR_REGIMES,0)),0)*IF($C$26=2,AB238,MAX(0,AE238))-AD238)</f>
        <v>69540.0211689422</v>
      </c>
      <c r="AG238" s="181" t="n">
        <f aca="false">MAX(0,AB238-AF238-AB238*$C$25)</f>
        <v>544060.119957339</v>
      </c>
      <c r="AH238" s="180" t="n">
        <f aca="false">AG238/$D238</f>
        <v>305073.959192136</v>
      </c>
      <c r="AJ238" s="180" t="n">
        <f aca="false">AQ237</f>
        <v>510836.881434125</v>
      </c>
      <c r="AK238" s="180" t="n">
        <f aca="false">IF($D$9=0,0,IF($A238&gt;IN_PRAZO,0,IF(APORTE_CORRIGIDO="Sim",IN_APORTE*$D238,IN_APORTE))+IF(AND($D$35=1,PGBL_REINVESTE="Sim",$A238&gt;=13,$A238&lt;=IN_PRAZO,MONTH($B238)=5),PGBL_BENEFICIO,0))</f>
        <v>0</v>
      </c>
      <c r="AL238" s="180" t="n">
        <f aca="false">AK238*$D$24</f>
        <v>0</v>
      </c>
      <c r="AM238" s="180" t="n">
        <f aca="false">AJ238*$D$19</f>
        <v>4591.75796894624</v>
      </c>
      <c r="AN238" s="180" t="n">
        <f aca="false">AJ238*$D$22</f>
        <v>425.697401195105</v>
      </c>
      <c r="AO238" s="180" t="n">
        <f aca="false">$D$23*MAX(0,AM238-AJ238*$D$18)</f>
        <v>0</v>
      </c>
      <c r="AP238" s="180" t="n">
        <f aca="false">IF(AND($D$27=1,OR(MONTH($B238)=5,MONTH($B238)=11)),MAX(0,$D$28*MAX(0,(AJ238+AM238-AN238-AO238+AK238-AL238)+AS237-AR238)-AS237),0)</f>
        <v>3674.44040799028</v>
      </c>
      <c r="AQ238" s="181" t="n">
        <f aca="false">AJ238+AM238-AN238-AO238+AK238-AL238-AP238</f>
        <v>511328.501593886</v>
      </c>
      <c r="AR238" s="180" t="n">
        <f aca="false">AR237+AK238-AL238</f>
        <v>150000</v>
      </c>
      <c r="AS238" s="180" t="n">
        <f aca="false">AS237+AP238</f>
        <v>63763.8532224505</v>
      </c>
      <c r="AT238" s="180" t="n">
        <f aca="false">AQ238+AS238-AR238</f>
        <v>425092.354816337</v>
      </c>
      <c r="AU238" s="180" t="n">
        <f aca="false">MAX(0,IFERROR(INDEX(TAB_IR,MATCH($C238,TAB_IR_DIAS,1),MATCH($D$8,TAB_IR_REGIMES,0)),0)*IF($D$26=2,AQ238,MAX(0,AT238))-AS238)</f>
        <v>0</v>
      </c>
      <c r="AV238" s="181" t="n">
        <f aca="false">MAX(0,AQ238-AU238-AQ238*$D$25)</f>
        <v>511328.501593886</v>
      </c>
      <c r="AW238" s="180" t="n">
        <f aca="false">AV238/$D238</f>
        <v>286720.170633461</v>
      </c>
      <c r="AY238" s="180" t="n">
        <f aca="false">BF237</f>
        <v>669863.976668441</v>
      </c>
      <c r="AZ238" s="180" t="n">
        <f aca="false">IF($E$9=0,0,IF($A238&gt;IN_PRAZO,0,IF(APORTE_CORRIGIDO="Sim",IN_APORTE*$D238,IN_APORTE))+IF(AND($E$35=1,PGBL_REINVESTE="Sim",$A238&gt;=13,$A238&lt;=IN_PRAZO,MONTH($B238)=5),PGBL_BENEFICIO,0))</f>
        <v>0</v>
      </c>
      <c r="BA238" s="180" t="n">
        <f aca="false">AZ238*$E$24</f>
        <v>0</v>
      </c>
      <c r="BB238" s="180" t="n">
        <f aca="false">AY238*$E$19</f>
        <v>6557.1278868994</v>
      </c>
      <c r="BC238" s="180" t="n">
        <f aca="false">AY238*$E$22</f>
        <v>837.329970835551</v>
      </c>
      <c r="BD238" s="180" t="n">
        <f aca="false">$E$23*MAX(0,BB238-AY238*$E$18)</f>
        <v>0</v>
      </c>
      <c r="BE238" s="180" t="n">
        <f aca="false">IF(AND($E$27=1,OR(MONTH($B238)=5,MONTH($B238)=11)),MAX(0,$E$28*MAX(0,(AY238+BB238-BC238-BD238+AZ238-BA238)+BH237-BG238)-BH237),0)</f>
        <v>0</v>
      </c>
      <c r="BF238" s="181" t="n">
        <f aca="false">AY238+BB238-BC238-BD238+AZ238-BA238-BE238</f>
        <v>675583.774584505</v>
      </c>
      <c r="BG238" s="180" t="n">
        <f aca="false">BG237+AZ238-BA238</f>
        <v>150000</v>
      </c>
      <c r="BH238" s="180" t="n">
        <f aca="false">BH237+BE238</f>
        <v>0</v>
      </c>
      <c r="BI238" s="180" t="n">
        <f aca="false">BF238+BH238-BG238</f>
        <v>525583.774584505</v>
      </c>
      <c r="BJ238" s="180" t="n">
        <f aca="false">MAX(0,IFERROR(INDEX(TAB_IR,MATCH($C238,TAB_IR_DIAS,1),MATCH($E$8,TAB_IR_REGIMES,0)),0)*IF($E$26=2,BF238,MAX(0,BI238))-BH238)</f>
        <v>52558.3774584505</v>
      </c>
      <c r="BK238" s="181" t="n">
        <f aca="false">MAX(0,BF238-BJ238-BF238*$E$25)</f>
        <v>623025.397126054</v>
      </c>
      <c r="BL238" s="180" t="n">
        <f aca="false">BK238/$D238</f>
        <v>349352.613077764</v>
      </c>
      <c r="BN238" s="180" t="n">
        <f aca="false">BU237</f>
        <v>669863.976668441</v>
      </c>
      <c r="BO238" s="180" t="n">
        <f aca="false">IF($F$9=0,0,IF($A238&gt;IN_PRAZO,0,IF(APORTE_CORRIGIDO="Sim",IN_APORTE*$D238,IN_APORTE))+IF(AND($F$35=1,PGBL_REINVESTE="Sim",$A238&gt;=13,$A238&lt;=IN_PRAZO,MONTH($B238)=5),PGBL_BENEFICIO,0))</f>
        <v>0</v>
      </c>
      <c r="BP238" s="180" t="n">
        <f aca="false">BO238*$F$24</f>
        <v>0</v>
      </c>
      <c r="BQ238" s="180" t="n">
        <f aca="false">BN238*$F$19</f>
        <v>6557.1278868994</v>
      </c>
      <c r="BR238" s="180" t="n">
        <f aca="false">BN238*$F$22</f>
        <v>837.329970835551</v>
      </c>
      <c r="BS238" s="180" t="n">
        <f aca="false">$F$23*MAX(0,BQ238-BN238*$F$18)</f>
        <v>0</v>
      </c>
      <c r="BT238" s="180" t="n">
        <f aca="false">IF(AND($F$27=1,OR(MONTH($B238)=5,MONTH($B238)=11)),MAX(0,$F$28*MAX(0,(BN238+BQ238-BR238-BS238+BO238-BP238)+BW237-BV238)-BW237),0)</f>
        <v>0</v>
      </c>
      <c r="BU238" s="181" t="n">
        <f aca="false">BN238+BQ238-BR238-BS238+BO238-BP238-BT238</f>
        <v>675583.774584505</v>
      </c>
      <c r="BV238" s="180" t="n">
        <f aca="false">BV237+BO238-BP238</f>
        <v>150000</v>
      </c>
      <c r="BW238" s="180" t="n">
        <f aca="false">BW237+BT238</f>
        <v>0</v>
      </c>
      <c r="BX238" s="180" t="n">
        <f aca="false">BU238+BW238-BV238</f>
        <v>525583.774584505</v>
      </c>
      <c r="BY238" s="180" t="n">
        <f aca="false">MAX(0,IFERROR(INDEX(TAB_IR,MATCH($C238,TAB_IR_DIAS,1),MATCH($F$8,TAB_IR_REGIMES,0)),0)*IF($F$26=2,BU238,MAX(0,BX238))-BW238)</f>
        <v>67558.3774584505</v>
      </c>
      <c r="BZ238" s="181" t="n">
        <f aca="false">MAX(0,BU238-BY238-BU238*$F$25)</f>
        <v>608025.397126054</v>
      </c>
      <c r="CA238" s="180" t="n">
        <f aca="false">BZ238/$D238</f>
        <v>340941.576833753</v>
      </c>
      <c r="CC238" s="180" t="n">
        <f aca="false">CJ237</f>
        <v>450873.617081522</v>
      </c>
      <c r="CD238" s="180" t="n">
        <f aca="false">IF($G$9=0,0,IF($A238&gt;IN_PRAZO,0,IF(APORTE_CORRIGIDO="Sim",IN_APORTE*$D238,IN_APORTE))+IF(AND($G$35=1,PGBL_REINVESTE="Sim",$A238&gt;=13,$A238&lt;=IN_PRAZO,MONTH($B238)=5),PGBL_BENEFICIO,0))</f>
        <v>0</v>
      </c>
      <c r="CE238" s="180" t="n">
        <f aca="false">CD238*$G$24</f>
        <v>0</v>
      </c>
      <c r="CF238" s="180" t="n">
        <f aca="false">CC238*$G$19</f>
        <v>3677.87774014475</v>
      </c>
      <c r="CG238" s="180" t="n">
        <f aca="false">CC238*$G$22</f>
        <v>375.728014234602</v>
      </c>
      <c r="CH238" s="180" t="n">
        <f aca="false">$G$23*MAX(0,CF238-CC238*$G$18)</f>
        <v>0</v>
      </c>
      <c r="CI238" s="180" t="n">
        <f aca="false">IF(AND($G$27=1,OR(MONTH($B238)=5,MONTH($B238)=11)),MAX(0,$G$28*MAX(0,(CC238+CF238-CG238-CH238+CD238-CE238)+CL237-CK238)-CL237),0)</f>
        <v>2918.4358938209</v>
      </c>
      <c r="CJ238" s="181" t="n">
        <f aca="false">CC238+CF238-CG238-CH238+CD238-CE238-CI238</f>
        <v>451257.330913611</v>
      </c>
      <c r="CK238" s="180" t="n">
        <f aca="false">CK237+CD238-CE238</f>
        <v>150000</v>
      </c>
      <c r="CL238" s="180" t="n">
        <f aca="false">CL237+CI238</f>
        <v>53163.0583965196</v>
      </c>
      <c r="CM238" s="180" t="n">
        <f aca="false">CJ238+CL238-CK238</f>
        <v>354420.389310131</v>
      </c>
      <c r="CN238" s="180" t="n">
        <f aca="false">MAX(0,IFERROR(INDEX(TAB_IR,MATCH($C238,TAB_IR_DIAS,1),MATCH($G$8,TAB_IR_REGIMES,0)),0)*IF($G$26=2,CJ238,MAX(0,CM238))-CL238)</f>
        <v>0</v>
      </c>
      <c r="CO238" s="181" t="n">
        <f aca="false">MAX(0,CJ238-CN238-CJ238*$G$25)</f>
        <v>451257.330913611</v>
      </c>
      <c r="CP238" s="180" t="n">
        <f aca="false">CO238/$D238</f>
        <v>253036.117712664</v>
      </c>
    </row>
    <row r="239" customFormat="false" ht="12" hidden="false" customHeight="true" outlineLevel="0" collapsed="false">
      <c r="A239" s="177" t="n">
        <v>178</v>
      </c>
      <c r="B239" s="178" t="n">
        <f aca="false">EDATE(DATA_INICIO,$A239)</f>
        <v>51675</v>
      </c>
      <c r="C239" s="177" t="n">
        <f aca="false">$A239*30</f>
        <v>5340</v>
      </c>
      <c r="D239" s="179" t="n">
        <f aca="false">(1+IPCA_CENARIO)^($A239/12)</f>
        <v>1.78920951713279</v>
      </c>
      <c r="F239" s="180" t="n">
        <f aca="false">M238</f>
        <v>775112.575902962</v>
      </c>
      <c r="G239" s="180" t="n">
        <f aca="false">IF($B$9=0,0,IF($A239&gt;IN_PRAZO,0,IF(APORTE_CORRIGIDO="Sim",IN_APORTE*$D239,IN_APORTE))+IF(AND($B$35=1,PGBL_REINVESTE="Sim",$A239&gt;=13,$A239&lt;=IN_PRAZO,MONTH($B239)=5),PGBL_BENEFICIO,0))</f>
        <v>0</v>
      </c>
      <c r="H239" s="180" t="n">
        <f aca="false">G239*$B$24</f>
        <v>0</v>
      </c>
      <c r="I239" s="180" t="n">
        <f aca="false">F239*$B$19</f>
        <v>7354.88273373449</v>
      </c>
      <c r="J239" s="180" t="n">
        <f aca="false">F239*$B$22</f>
        <v>129.18542931716</v>
      </c>
      <c r="K239" s="180" t="n">
        <f aca="false">$B$23*MAX(0,I239-F239*$B$18)</f>
        <v>0</v>
      </c>
      <c r="L239" s="180" t="n">
        <f aca="false">IF(AND($B$27=1,OR(MONTH($B239)=5,MONTH($B239)=11)),MAX(0,$B$28*MAX(0,(F239+I239-J239-K239+G239-H239)+O238-N239)-O238),0)</f>
        <v>0</v>
      </c>
      <c r="M239" s="181" t="n">
        <f aca="false">F239+I239-J239-K239+G239-H239-L239</f>
        <v>782338.273207379</v>
      </c>
      <c r="N239" s="180" t="n">
        <f aca="false">N238+G239-H239</f>
        <v>150000</v>
      </c>
      <c r="O239" s="180" t="n">
        <f aca="false">O238+L239</f>
        <v>0</v>
      </c>
      <c r="P239" s="180" t="n">
        <f aca="false">M239+O239-N239</f>
        <v>632338.273207379</v>
      </c>
      <c r="Q239" s="180" t="n">
        <f aca="false">MAX(0,IFERROR(INDEX(TAB_IR,MATCH($C239,TAB_IR_DIAS,1),MATCH($B$8,TAB_IR_REGIMES,0)),0)*IF($B$26=2,M239,MAX(0,P239))-O239)</f>
        <v>94850.7409811068</v>
      </c>
      <c r="R239" s="181" t="n">
        <f aca="false">MAX(0,M239-Q239-M239*$B$25)</f>
        <v>687487.532226272</v>
      </c>
      <c r="S239" s="180" t="n">
        <f aca="false">R239/$D239</f>
        <v>384240.93189934</v>
      </c>
      <c r="U239" s="180" t="n">
        <f aca="false">AB238</f>
        <v>613600.141126281</v>
      </c>
      <c r="V239" s="180" t="n">
        <f aca="false">IF($C$9=0,0,IF($A239&gt;IN_PRAZO,0,IF(APORTE_CORRIGIDO="Sim",IN_APORTE*$D239,IN_APORTE))+IF(AND($C$35=1,PGBL_REINVESTE="Sim",$A239&gt;=13,$A239&lt;=IN_PRAZO,MONTH($B239)=5),PGBL_BENEFICIO,0))</f>
        <v>0</v>
      </c>
      <c r="W239" s="180" t="n">
        <f aca="false">V239*$C$24</f>
        <v>0</v>
      </c>
      <c r="X239" s="180" t="n">
        <f aca="false">U239*$C$19</f>
        <v>5005.27468208456</v>
      </c>
      <c r="Y239" s="180" t="n">
        <f aca="false">U239*$C$22</f>
        <v>102.266690187714</v>
      </c>
      <c r="Z239" s="180" t="n">
        <f aca="false">$C$23*MAX(0,X239-U239*$C$18)</f>
        <v>0</v>
      </c>
      <c r="AA239" s="180" t="n">
        <f aca="false">IF(AND($C$27=1,OR(MONTH($B239)=5,MONTH($B239)=11)),MAX(0,$C$28*MAX(0,(U239+X239-Y239-Z239+V239-W239)+AD238-AC239)-AD238),0)</f>
        <v>0</v>
      </c>
      <c r="AB239" s="181" t="n">
        <f aca="false">U239+X239-Y239-Z239+V239-W239-AA239</f>
        <v>618503.149118178</v>
      </c>
      <c r="AC239" s="180" t="n">
        <f aca="false">AC238+V239-W239</f>
        <v>150000</v>
      </c>
      <c r="AD239" s="180" t="n">
        <f aca="false">AD238+AA239</f>
        <v>0</v>
      </c>
      <c r="AE239" s="180" t="n">
        <f aca="false">AB239+AD239-AC239</f>
        <v>468503.149118178</v>
      </c>
      <c r="AF239" s="180" t="n">
        <f aca="false">MAX(0,IFERROR(INDEX(TAB_IR,MATCH($C239,TAB_IR_DIAS,1),MATCH($C$8,TAB_IR_REGIMES,0)),0)*IF($C$26=2,AB239,MAX(0,AE239))-AD239)</f>
        <v>70275.4723677267</v>
      </c>
      <c r="AG239" s="181" t="n">
        <f aca="false">MAX(0,AB239-AF239-AB239*$C$25)</f>
        <v>548227.676750451</v>
      </c>
      <c r="AH239" s="180" t="n">
        <f aca="false">AG239/$D239</f>
        <v>306407.758007562</v>
      </c>
      <c r="AJ239" s="180" t="n">
        <f aca="false">AQ238</f>
        <v>511328.501593886</v>
      </c>
      <c r="AK239" s="180" t="n">
        <f aca="false">IF($D$9=0,0,IF($A239&gt;IN_PRAZO,0,IF(APORTE_CORRIGIDO="Sim",IN_APORTE*$D239,IN_APORTE))+IF(AND($D$35=1,PGBL_REINVESTE="Sim",$A239&gt;=13,$A239&lt;=IN_PRAZO,MONTH($B239)=5),PGBL_BENEFICIO,0))</f>
        <v>0</v>
      </c>
      <c r="AL239" s="180" t="n">
        <f aca="false">AK239*$D$24</f>
        <v>0</v>
      </c>
      <c r="AM239" s="180" t="n">
        <f aca="false">AJ239*$D$19</f>
        <v>4596.17699362578</v>
      </c>
      <c r="AN239" s="180" t="n">
        <f aca="false">AJ239*$D$22</f>
        <v>426.107084661572</v>
      </c>
      <c r="AO239" s="180" t="n">
        <f aca="false">$D$23*MAX(0,AM239-AJ239*$D$18)</f>
        <v>0</v>
      </c>
      <c r="AP239" s="180" t="n">
        <f aca="false">IF(AND($D$27=1,OR(MONTH($B239)=5,MONTH($B239)=11)),MAX(0,$D$28*MAX(0,(AJ239+AM239-AN239-AO239+AK239-AL239)+AS238-AR239)-AS238),0)</f>
        <v>0</v>
      </c>
      <c r="AQ239" s="181" t="n">
        <f aca="false">AJ239+AM239-AN239-AO239+AK239-AL239-AP239</f>
        <v>515498.57150285</v>
      </c>
      <c r="AR239" s="180" t="n">
        <f aca="false">AR238+AK239-AL239</f>
        <v>150000</v>
      </c>
      <c r="AS239" s="180" t="n">
        <f aca="false">AS238+AP239</f>
        <v>63763.8532224505</v>
      </c>
      <c r="AT239" s="180" t="n">
        <f aca="false">AQ239+AS239-AR239</f>
        <v>429262.424725301</v>
      </c>
      <c r="AU239" s="180" t="n">
        <f aca="false">MAX(0,IFERROR(INDEX(TAB_IR,MATCH($C239,TAB_IR_DIAS,1),MATCH($D$8,TAB_IR_REGIMES,0)),0)*IF($D$26=2,AQ239,MAX(0,AT239))-AS239)</f>
        <v>625.510486344632</v>
      </c>
      <c r="AV239" s="181" t="n">
        <f aca="false">MAX(0,AQ239-AU239-AQ239*$D$25)</f>
        <v>514873.061016506</v>
      </c>
      <c r="AW239" s="180" t="n">
        <f aca="false">AV239/$D239</f>
        <v>287765.66192292</v>
      </c>
      <c r="AY239" s="180" t="n">
        <f aca="false">BF238</f>
        <v>675583.774584505</v>
      </c>
      <c r="AZ239" s="180" t="n">
        <f aca="false">IF($E$9=0,0,IF($A239&gt;IN_PRAZO,0,IF(APORTE_CORRIGIDO="Sim",IN_APORTE*$D239,IN_APORTE))+IF(AND($E$35=1,PGBL_REINVESTE="Sim",$A239&gt;=13,$A239&lt;=IN_PRAZO,MONTH($B239)=5),PGBL_BENEFICIO,0))</f>
        <v>0</v>
      </c>
      <c r="BA239" s="180" t="n">
        <f aca="false">AZ239*$E$24</f>
        <v>0</v>
      </c>
      <c r="BB239" s="180" t="n">
        <f aca="false">AY239*$E$19</f>
        <v>6613.11753215453</v>
      </c>
      <c r="BC239" s="180" t="n">
        <f aca="false">AY239*$E$22</f>
        <v>844.479718230631</v>
      </c>
      <c r="BD239" s="180" t="n">
        <f aca="false">$E$23*MAX(0,BB239-AY239*$E$18)</f>
        <v>0</v>
      </c>
      <c r="BE239" s="180" t="n">
        <f aca="false">IF(AND($E$27=1,OR(MONTH($B239)=5,MONTH($B239)=11)),MAX(0,$E$28*MAX(0,(AY239+BB239-BC239-BD239+AZ239-BA239)+BH238-BG239)-BH238),0)</f>
        <v>0</v>
      </c>
      <c r="BF239" s="181" t="n">
        <f aca="false">AY239+BB239-BC239-BD239+AZ239-BA239-BE239</f>
        <v>681352.412398428</v>
      </c>
      <c r="BG239" s="180" t="n">
        <f aca="false">BG238+AZ239-BA239</f>
        <v>150000</v>
      </c>
      <c r="BH239" s="180" t="n">
        <f aca="false">BH238+BE239</f>
        <v>0</v>
      </c>
      <c r="BI239" s="180" t="n">
        <f aca="false">BF239+BH239-BG239</f>
        <v>531352.412398428</v>
      </c>
      <c r="BJ239" s="180" t="n">
        <f aca="false">MAX(0,IFERROR(INDEX(TAB_IR,MATCH($C239,TAB_IR_DIAS,1),MATCH($E$8,TAB_IR_REGIMES,0)),0)*IF($E$26=2,BF239,MAX(0,BI239))-BH239)</f>
        <v>53135.2412398428</v>
      </c>
      <c r="BK239" s="181" t="n">
        <f aca="false">MAX(0,BF239-BJ239-BF239*$E$25)</f>
        <v>628217.171158586</v>
      </c>
      <c r="BL239" s="180" t="n">
        <f aca="false">BK239/$D239</f>
        <v>351114.369302765</v>
      </c>
      <c r="BN239" s="180" t="n">
        <f aca="false">BU238</f>
        <v>675583.774584505</v>
      </c>
      <c r="BO239" s="180" t="n">
        <f aca="false">IF($F$9=0,0,IF($A239&gt;IN_PRAZO,0,IF(APORTE_CORRIGIDO="Sim",IN_APORTE*$D239,IN_APORTE))+IF(AND($F$35=1,PGBL_REINVESTE="Sim",$A239&gt;=13,$A239&lt;=IN_PRAZO,MONTH($B239)=5),PGBL_BENEFICIO,0))</f>
        <v>0</v>
      </c>
      <c r="BP239" s="180" t="n">
        <f aca="false">BO239*$F$24</f>
        <v>0</v>
      </c>
      <c r="BQ239" s="180" t="n">
        <f aca="false">BN239*$F$19</f>
        <v>6613.11753215453</v>
      </c>
      <c r="BR239" s="180" t="n">
        <f aca="false">BN239*$F$22</f>
        <v>844.479718230631</v>
      </c>
      <c r="BS239" s="180" t="n">
        <f aca="false">$F$23*MAX(0,BQ239-BN239*$F$18)</f>
        <v>0</v>
      </c>
      <c r="BT239" s="180" t="n">
        <f aca="false">IF(AND($F$27=1,OR(MONTH($B239)=5,MONTH($B239)=11)),MAX(0,$F$28*MAX(0,(BN239+BQ239-BR239-BS239+BO239-BP239)+BW238-BV239)-BW238),0)</f>
        <v>0</v>
      </c>
      <c r="BU239" s="181" t="n">
        <f aca="false">BN239+BQ239-BR239-BS239+BO239-BP239-BT239</f>
        <v>681352.412398428</v>
      </c>
      <c r="BV239" s="180" t="n">
        <f aca="false">BV238+BO239-BP239</f>
        <v>150000</v>
      </c>
      <c r="BW239" s="180" t="n">
        <f aca="false">BW238+BT239</f>
        <v>0</v>
      </c>
      <c r="BX239" s="180" t="n">
        <f aca="false">BU239+BW239-BV239</f>
        <v>531352.412398428</v>
      </c>
      <c r="BY239" s="180" t="n">
        <f aca="false">MAX(0,IFERROR(INDEX(TAB_IR,MATCH($C239,TAB_IR_DIAS,1),MATCH($F$8,TAB_IR_REGIMES,0)),0)*IF($F$26=2,BU239,MAX(0,BX239))-BW239)</f>
        <v>68135.2412398428</v>
      </c>
      <c r="BZ239" s="181" t="n">
        <f aca="false">MAX(0,BU239-BY239-BU239*$F$25)</f>
        <v>613217.171158586</v>
      </c>
      <c r="CA239" s="180" t="n">
        <f aca="false">BZ239/$D239</f>
        <v>342730.778752656</v>
      </c>
      <c r="CC239" s="180" t="n">
        <f aca="false">CJ238</f>
        <v>451257.330913611</v>
      </c>
      <c r="CD239" s="180" t="n">
        <f aca="false">IF($G$9=0,0,IF($A239&gt;IN_PRAZO,0,IF(APORTE_CORRIGIDO="Sim",IN_APORTE*$D239,IN_APORTE))+IF(AND($G$35=1,PGBL_REINVESTE="Sim",$A239&gt;=13,$A239&lt;=IN_PRAZO,MONTH($B239)=5),PGBL_BENEFICIO,0))</f>
        <v>0</v>
      </c>
      <c r="CE239" s="180" t="n">
        <f aca="false">CD239*$G$24</f>
        <v>0</v>
      </c>
      <c r="CF239" s="180" t="n">
        <f aca="false">CC239*$G$19</f>
        <v>3681.00778037811</v>
      </c>
      <c r="CG239" s="180" t="n">
        <f aca="false">CC239*$G$22</f>
        <v>376.047775761343</v>
      </c>
      <c r="CH239" s="180" t="n">
        <f aca="false">$G$23*MAX(0,CF239-CC239*$G$18)</f>
        <v>0</v>
      </c>
      <c r="CI239" s="180" t="n">
        <f aca="false">IF(AND($G$27=1,OR(MONTH($B239)=5,MONTH($B239)=11)),MAX(0,$G$28*MAX(0,(CC239+CF239-CG239-CH239+CD239-CE239)+CL238-CK239)-CL238),0)</f>
        <v>0</v>
      </c>
      <c r="CJ239" s="181" t="n">
        <f aca="false">CC239+CF239-CG239-CH239+CD239-CE239-CI239</f>
        <v>454562.290918228</v>
      </c>
      <c r="CK239" s="180" t="n">
        <f aca="false">CK238+CD239-CE239</f>
        <v>150000</v>
      </c>
      <c r="CL239" s="180" t="n">
        <f aca="false">CL238+CI239</f>
        <v>53163.0583965196</v>
      </c>
      <c r="CM239" s="180" t="n">
        <f aca="false">CJ239+CL239-CK239</f>
        <v>357725.349314747</v>
      </c>
      <c r="CN239" s="180" t="n">
        <f aca="false">MAX(0,IFERROR(INDEX(TAB_IR,MATCH($C239,TAB_IR_DIAS,1),MATCH($G$8,TAB_IR_REGIMES,0)),0)*IF($G$26=2,CJ239,MAX(0,CM239))-CL239)</f>
        <v>495.74400069251</v>
      </c>
      <c r="CO239" s="181" t="n">
        <f aca="false">MAX(0,CJ239-CN239-CJ239*$G$25)</f>
        <v>454066.546917535</v>
      </c>
      <c r="CP239" s="180" t="n">
        <f aca="false">CO239/$D239</f>
        <v>253780.534123905</v>
      </c>
    </row>
    <row r="240" customFormat="false" ht="12" hidden="false" customHeight="true" outlineLevel="0" collapsed="false">
      <c r="A240" s="177" t="n">
        <v>179</v>
      </c>
      <c r="B240" s="178" t="n">
        <f aca="false">EDATE(DATA_INICIO,$A240)</f>
        <v>51705</v>
      </c>
      <c r="C240" s="177" t="n">
        <f aca="false">$A240*30</f>
        <v>5370</v>
      </c>
      <c r="D240" s="179" t="n">
        <f aca="false">(1+IPCA_CENARIO)^($A240/12)</f>
        <v>1.79506692350772</v>
      </c>
      <c r="F240" s="180" t="n">
        <f aca="false">M239</f>
        <v>782338.273207379</v>
      </c>
      <c r="G240" s="180" t="n">
        <f aca="false">IF($B$9=0,0,IF($A240&gt;IN_PRAZO,0,IF(APORTE_CORRIGIDO="Sim",IN_APORTE*$D240,IN_APORTE))+IF(AND($B$35=1,PGBL_REINVESTE="Sim",$A240&gt;=13,$A240&lt;=IN_PRAZO,MONTH($B240)=5),PGBL_BENEFICIO,0))</f>
        <v>0</v>
      </c>
      <c r="H240" s="180" t="n">
        <f aca="false">G240*$B$24</f>
        <v>0</v>
      </c>
      <c r="I240" s="180" t="n">
        <f aca="false">F240*$B$19</f>
        <v>7423.44587926408</v>
      </c>
      <c r="J240" s="180" t="n">
        <f aca="false">F240*$B$22</f>
        <v>130.38971220123</v>
      </c>
      <c r="K240" s="180" t="n">
        <f aca="false">$B$23*MAX(0,I240-F240*$B$18)</f>
        <v>0</v>
      </c>
      <c r="L240" s="180" t="n">
        <f aca="false">IF(AND($B$27=1,OR(MONTH($B240)=5,MONTH($B240)=11)),MAX(0,$B$28*MAX(0,(F240+I240-J240-K240+G240-H240)+O239-N240)-O239),0)</f>
        <v>0</v>
      </c>
      <c r="M240" s="181" t="n">
        <f aca="false">F240+I240-J240-K240+G240-H240-L240</f>
        <v>789631.329374442</v>
      </c>
      <c r="N240" s="180" t="n">
        <f aca="false">N239+G240-H240</f>
        <v>150000</v>
      </c>
      <c r="O240" s="180" t="n">
        <f aca="false">O239+L240</f>
        <v>0</v>
      </c>
      <c r="P240" s="180" t="n">
        <f aca="false">M240+O240-N240</f>
        <v>639631.329374442</v>
      </c>
      <c r="Q240" s="180" t="n">
        <f aca="false">MAX(0,IFERROR(INDEX(TAB_IR,MATCH($C240,TAB_IR_DIAS,1),MATCH($B$8,TAB_IR_REGIMES,0)),0)*IF($B$26=2,M240,MAX(0,P240))-O240)</f>
        <v>95944.6994061662</v>
      </c>
      <c r="R240" s="181" t="n">
        <f aca="false">MAX(0,M240-Q240-M240*$B$25)</f>
        <v>693686.629968275</v>
      </c>
      <c r="S240" s="180" t="n">
        <f aca="false">R240/$D240</f>
        <v>386440.539282374</v>
      </c>
      <c r="U240" s="180" t="n">
        <f aca="false">AB239</f>
        <v>618503.149118178</v>
      </c>
      <c r="V240" s="180" t="n">
        <f aca="false">IF($C$9=0,0,IF($A240&gt;IN_PRAZO,0,IF(APORTE_CORRIGIDO="Sim",IN_APORTE*$D240,IN_APORTE))+IF(AND($C$35=1,PGBL_REINVESTE="Sim",$A240&gt;=13,$A240&lt;=IN_PRAZO,MONTH($B240)=5),PGBL_BENEFICIO,0))</f>
        <v>0</v>
      </c>
      <c r="W240" s="180" t="n">
        <f aca="false">V240*$C$24</f>
        <v>0</v>
      </c>
      <c r="X240" s="180" t="n">
        <f aca="false">U240*$C$19</f>
        <v>5045.26962361578</v>
      </c>
      <c r="Y240" s="180" t="n">
        <f aca="false">U240*$C$22</f>
        <v>103.083858186363</v>
      </c>
      <c r="Z240" s="180" t="n">
        <f aca="false">$C$23*MAX(0,X240-U240*$C$18)</f>
        <v>0</v>
      </c>
      <c r="AA240" s="180" t="n">
        <f aca="false">IF(AND($C$27=1,OR(MONTH($B240)=5,MONTH($B240)=11)),MAX(0,$C$28*MAX(0,(U240+X240-Y240-Z240+V240-W240)+AD239-AC240)-AD239),0)</f>
        <v>0</v>
      </c>
      <c r="AB240" s="181" t="n">
        <f aca="false">U240+X240-Y240-Z240+V240-W240-AA240</f>
        <v>623445.334883608</v>
      </c>
      <c r="AC240" s="180" t="n">
        <f aca="false">AC239+V240-W240</f>
        <v>150000</v>
      </c>
      <c r="AD240" s="180" t="n">
        <f aca="false">AD239+AA240</f>
        <v>0</v>
      </c>
      <c r="AE240" s="180" t="n">
        <f aca="false">AB240+AD240-AC240</f>
        <v>473445.334883608</v>
      </c>
      <c r="AF240" s="180" t="n">
        <f aca="false">MAX(0,IFERROR(INDEX(TAB_IR,MATCH($C240,TAB_IR_DIAS,1),MATCH($C$8,TAB_IR_REGIMES,0)),0)*IF($C$26=2,AB240,MAX(0,AE240))-AD240)</f>
        <v>71016.8002325411</v>
      </c>
      <c r="AG240" s="181" t="n">
        <f aca="false">MAX(0,AB240-AF240-AB240*$C$25)</f>
        <v>552428.534651066</v>
      </c>
      <c r="AH240" s="180" t="n">
        <f aca="false">AG240/$D240</f>
        <v>307748.155467971</v>
      </c>
      <c r="AJ240" s="180" t="n">
        <f aca="false">AQ239</f>
        <v>515498.57150285</v>
      </c>
      <c r="AK240" s="180" t="n">
        <f aca="false">IF($D$9=0,0,IF($A240&gt;IN_PRAZO,0,IF(APORTE_CORRIGIDO="Sim",IN_APORTE*$D240,IN_APORTE))+IF(AND($D$35=1,PGBL_REINVESTE="Sim",$A240&gt;=13,$A240&lt;=IN_PRAZO,MONTH($B240)=5),PGBL_BENEFICIO,0))</f>
        <v>0</v>
      </c>
      <c r="AL240" s="180" t="n">
        <f aca="false">AK240*$D$24</f>
        <v>0</v>
      </c>
      <c r="AM240" s="180" t="n">
        <f aca="false">AJ240*$D$19</f>
        <v>4633.66048871289</v>
      </c>
      <c r="AN240" s="180" t="n">
        <f aca="false">AJ240*$D$22</f>
        <v>429.582142919042</v>
      </c>
      <c r="AO240" s="180" t="n">
        <f aca="false">$D$23*MAX(0,AM240-AJ240*$D$18)</f>
        <v>0</v>
      </c>
      <c r="AP240" s="180" t="n">
        <f aca="false">IF(AND($D$27=1,OR(MONTH($B240)=5,MONTH($B240)=11)),MAX(0,$D$28*MAX(0,(AJ240+AM240-AN240-AO240+AK240-AL240)+AS239-AR240)-AS239),0)</f>
        <v>0</v>
      </c>
      <c r="AQ240" s="181" t="n">
        <f aca="false">AJ240+AM240-AN240-AO240+AK240-AL240-AP240</f>
        <v>519702.649848644</v>
      </c>
      <c r="AR240" s="180" t="n">
        <f aca="false">AR239+AK240-AL240</f>
        <v>150000</v>
      </c>
      <c r="AS240" s="180" t="n">
        <f aca="false">AS239+AP240</f>
        <v>63763.8532224505</v>
      </c>
      <c r="AT240" s="180" t="n">
        <f aca="false">AQ240+AS240-AR240</f>
        <v>433466.503071095</v>
      </c>
      <c r="AU240" s="180" t="n">
        <f aca="false">MAX(0,IFERROR(INDEX(TAB_IR,MATCH($C240,TAB_IR_DIAS,1),MATCH($D$8,TAB_IR_REGIMES,0)),0)*IF($D$26=2,AQ240,MAX(0,AT240))-AS240)</f>
        <v>1256.12223821371</v>
      </c>
      <c r="AV240" s="181" t="n">
        <f aca="false">MAX(0,AQ240-AU240-AQ240*$D$25)</f>
        <v>518446.527610431</v>
      </c>
      <c r="AW240" s="180" t="n">
        <f aca="false">AV240/$D240</f>
        <v>288817.381024068</v>
      </c>
      <c r="AY240" s="180" t="n">
        <f aca="false">BF239</f>
        <v>681352.412398428</v>
      </c>
      <c r="AZ240" s="180" t="n">
        <f aca="false">IF($E$9=0,0,IF($A240&gt;IN_PRAZO,0,IF(APORTE_CORRIGIDO="Sim",IN_APORTE*$D240,IN_APORTE))+IF(AND($E$35=1,PGBL_REINVESTE="Sim",$A240&gt;=13,$A240&lt;=IN_PRAZO,MONTH($B240)=5),PGBL_BENEFICIO,0))</f>
        <v>0</v>
      </c>
      <c r="BA240" s="180" t="n">
        <f aca="false">AZ240*$E$24</f>
        <v>0</v>
      </c>
      <c r="BB240" s="180" t="n">
        <f aca="false">AY240*$E$19</f>
        <v>6669.58525873273</v>
      </c>
      <c r="BC240" s="180" t="n">
        <f aca="false">AY240*$E$22</f>
        <v>851.690515498036</v>
      </c>
      <c r="BD240" s="180" t="n">
        <f aca="false">$E$23*MAX(0,BB240-AY240*$E$18)</f>
        <v>0</v>
      </c>
      <c r="BE240" s="180" t="n">
        <f aca="false">IF(AND($E$27=1,OR(MONTH($B240)=5,MONTH($B240)=11)),MAX(0,$E$28*MAX(0,(AY240+BB240-BC240-BD240+AZ240-BA240)+BH239-BG240)-BH239),0)</f>
        <v>0</v>
      </c>
      <c r="BF240" s="181" t="n">
        <f aca="false">AY240+BB240-BC240-BD240+AZ240-BA240-BE240</f>
        <v>687170.307141663</v>
      </c>
      <c r="BG240" s="180" t="n">
        <f aca="false">BG239+AZ240-BA240</f>
        <v>150000</v>
      </c>
      <c r="BH240" s="180" t="n">
        <f aca="false">BH239+BE240</f>
        <v>0</v>
      </c>
      <c r="BI240" s="180" t="n">
        <f aca="false">BF240+BH240-BG240</f>
        <v>537170.307141663</v>
      </c>
      <c r="BJ240" s="180" t="n">
        <f aca="false">MAX(0,IFERROR(INDEX(TAB_IR,MATCH($C240,TAB_IR_DIAS,1),MATCH($E$8,TAB_IR_REGIMES,0)),0)*IF($E$26=2,BF240,MAX(0,BI240))-BH240)</f>
        <v>53717.0307141663</v>
      </c>
      <c r="BK240" s="181" t="n">
        <f aca="false">MAX(0,BF240-BJ240-BF240*$E$25)</f>
        <v>633453.276427497</v>
      </c>
      <c r="BL240" s="180" t="n">
        <f aca="false">BK240/$D240</f>
        <v>352885.604504189</v>
      </c>
      <c r="BN240" s="180" t="n">
        <f aca="false">BU239</f>
        <v>681352.412398428</v>
      </c>
      <c r="BO240" s="180" t="n">
        <f aca="false">IF($F$9=0,0,IF($A240&gt;IN_PRAZO,0,IF(APORTE_CORRIGIDO="Sim",IN_APORTE*$D240,IN_APORTE))+IF(AND($F$35=1,PGBL_REINVESTE="Sim",$A240&gt;=13,$A240&lt;=IN_PRAZO,MONTH($B240)=5),PGBL_BENEFICIO,0))</f>
        <v>0</v>
      </c>
      <c r="BP240" s="180" t="n">
        <f aca="false">BO240*$F$24</f>
        <v>0</v>
      </c>
      <c r="BQ240" s="180" t="n">
        <f aca="false">BN240*$F$19</f>
        <v>6669.58525873273</v>
      </c>
      <c r="BR240" s="180" t="n">
        <f aca="false">BN240*$F$22</f>
        <v>851.690515498036</v>
      </c>
      <c r="BS240" s="180" t="n">
        <f aca="false">$F$23*MAX(0,BQ240-BN240*$F$18)</f>
        <v>0</v>
      </c>
      <c r="BT240" s="180" t="n">
        <f aca="false">IF(AND($F$27=1,OR(MONTH($B240)=5,MONTH($B240)=11)),MAX(0,$F$28*MAX(0,(BN240+BQ240-BR240-BS240+BO240-BP240)+BW239-BV240)-BW239),0)</f>
        <v>0</v>
      </c>
      <c r="BU240" s="181" t="n">
        <f aca="false">BN240+BQ240-BR240-BS240+BO240-BP240-BT240</f>
        <v>687170.307141663</v>
      </c>
      <c r="BV240" s="180" t="n">
        <f aca="false">BV239+BO240-BP240</f>
        <v>150000</v>
      </c>
      <c r="BW240" s="180" t="n">
        <f aca="false">BW239+BT240</f>
        <v>0</v>
      </c>
      <c r="BX240" s="180" t="n">
        <f aca="false">BU240+BW240-BV240</f>
        <v>537170.307141663</v>
      </c>
      <c r="BY240" s="180" t="n">
        <f aca="false">MAX(0,IFERROR(INDEX(TAB_IR,MATCH($C240,TAB_IR_DIAS,1),MATCH($F$8,TAB_IR_REGIMES,0)),0)*IF($F$26=2,BU240,MAX(0,BX240))-BW240)</f>
        <v>68717.0307141663</v>
      </c>
      <c r="BZ240" s="181" t="n">
        <f aca="false">MAX(0,BU240-BY240-BU240*$F$25)</f>
        <v>618453.276427497</v>
      </c>
      <c r="CA240" s="180" t="n">
        <f aca="false">BZ240/$D240</f>
        <v>344529.370091107</v>
      </c>
      <c r="CC240" s="180" t="n">
        <f aca="false">CJ239</f>
        <v>454562.290918228</v>
      </c>
      <c r="CD240" s="180" t="n">
        <f aca="false">IF($G$9=0,0,IF($A240&gt;IN_PRAZO,0,IF(APORTE_CORRIGIDO="Sim",IN_APORTE*$D240,IN_APORTE))+IF(AND($G$35=1,PGBL_REINVESTE="Sim",$A240&gt;=13,$A240&lt;=IN_PRAZO,MONTH($B240)=5),PGBL_BENEFICIO,0))</f>
        <v>0</v>
      </c>
      <c r="CE240" s="180" t="n">
        <f aca="false">CD240*$G$24</f>
        <v>0</v>
      </c>
      <c r="CF240" s="180" t="n">
        <f aca="false">CC240*$G$19</f>
        <v>3707.96708421081</v>
      </c>
      <c r="CG240" s="180" t="n">
        <f aca="false">CC240*$G$22</f>
        <v>378.801909098523</v>
      </c>
      <c r="CH240" s="180" t="n">
        <f aca="false">$G$23*MAX(0,CF240-CC240*$G$18)</f>
        <v>0</v>
      </c>
      <c r="CI240" s="180" t="n">
        <f aca="false">IF(AND($G$27=1,OR(MONTH($B240)=5,MONTH($B240)=11)),MAX(0,$G$28*MAX(0,(CC240+CF240-CG240-CH240+CD240-CE240)+CL239-CK240)-CL239),0)</f>
        <v>0</v>
      </c>
      <c r="CJ240" s="181" t="n">
        <f aca="false">CC240+CF240-CG240-CH240+CD240-CE240-CI240</f>
        <v>457891.45609334</v>
      </c>
      <c r="CK240" s="180" t="n">
        <f aca="false">CK239+CD240-CE240</f>
        <v>150000</v>
      </c>
      <c r="CL240" s="180" t="n">
        <f aca="false">CL239+CI240</f>
        <v>53163.0583965196</v>
      </c>
      <c r="CM240" s="180" t="n">
        <f aca="false">CJ240+CL240-CK240</f>
        <v>361054.51448986</v>
      </c>
      <c r="CN240" s="180" t="n">
        <f aca="false">MAX(0,IFERROR(INDEX(TAB_IR,MATCH($C240,TAB_IR_DIAS,1),MATCH($G$8,TAB_IR_REGIMES,0)),0)*IF($G$26=2,CJ240,MAX(0,CM240))-CL240)</f>
        <v>995.11877695936</v>
      </c>
      <c r="CO240" s="181" t="n">
        <f aca="false">MAX(0,CJ240-CN240-CJ240*$G$25)</f>
        <v>456896.337316381</v>
      </c>
      <c r="CP240" s="180" t="n">
        <f aca="false">CO240/$D240</f>
        <v>254528.859806277</v>
      </c>
    </row>
    <row r="241" customFormat="false" ht="12" hidden="false" customHeight="true" outlineLevel="0" collapsed="false">
      <c r="A241" s="177" t="n">
        <v>180</v>
      </c>
      <c r="B241" s="178" t="n">
        <f aca="false">EDATE(DATA_INICIO,$A241)</f>
        <v>51736</v>
      </c>
      <c r="C241" s="177" t="n">
        <f aca="false">$A241*30</f>
        <v>5400</v>
      </c>
      <c r="D241" s="179" t="n">
        <f aca="false">(1+IPCA_CENARIO)^($A241/12)</f>
        <v>1.80094350550692</v>
      </c>
      <c r="F241" s="180" t="n">
        <f aca="false">M240</f>
        <v>789631.329374442</v>
      </c>
      <c r="G241" s="180" t="n">
        <f aca="false">IF($B$9=0,0,IF($A241&gt;IN_PRAZO,0,IF(APORTE_CORRIGIDO="Sim",IN_APORTE*$D241,IN_APORTE))+IF(AND($B$35=1,PGBL_REINVESTE="Sim",$A241&gt;=13,$A241&lt;=IN_PRAZO,MONTH($B241)=5),PGBL_BENEFICIO,0))</f>
        <v>0</v>
      </c>
      <c r="H241" s="180" t="n">
        <f aca="false">G241*$B$24</f>
        <v>0</v>
      </c>
      <c r="I241" s="180" t="n">
        <f aca="false">F241*$B$19</f>
        <v>7492.64817909362</v>
      </c>
      <c r="J241" s="180" t="n">
        <f aca="false">F241*$B$22</f>
        <v>131.605221562407</v>
      </c>
      <c r="K241" s="180" t="n">
        <f aca="false">$B$23*MAX(0,I241-F241*$B$18)</f>
        <v>0</v>
      </c>
      <c r="L241" s="180" t="n">
        <f aca="false">IF(AND($B$27=1,OR(MONTH($B241)=5,MONTH($B241)=11)),MAX(0,$B$28*MAX(0,(F241+I241-J241-K241+G241-H241)+O240-N241)-O240),0)</f>
        <v>0</v>
      </c>
      <c r="M241" s="181" t="n">
        <f aca="false">F241+I241-J241-K241+G241-H241-L241</f>
        <v>796992.372331973</v>
      </c>
      <c r="N241" s="180" t="n">
        <f aca="false">N240+G241-H241</f>
        <v>150000</v>
      </c>
      <c r="O241" s="180" t="n">
        <f aca="false">O240+L241</f>
        <v>0</v>
      </c>
      <c r="P241" s="180" t="n">
        <f aca="false">M241+O241-N241</f>
        <v>646992.372331973</v>
      </c>
      <c r="Q241" s="180" t="n">
        <f aca="false">MAX(0,IFERROR(INDEX(TAB_IR,MATCH($C241,TAB_IR_DIAS,1),MATCH($B$8,TAB_IR_REGIMES,0)),0)*IF($B$26=2,M241,MAX(0,P241))-O241)</f>
        <v>97048.8558497959</v>
      </c>
      <c r="R241" s="181" t="n">
        <f aca="false">MAX(0,M241-Q241-M241*$B$25)</f>
        <v>699943.516482177</v>
      </c>
      <c r="S241" s="180" t="n">
        <f aca="false">R241/$D241</f>
        <v>388653.788606857</v>
      </c>
      <c r="U241" s="180" t="n">
        <f aca="false">AB240</f>
        <v>623445.334883608</v>
      </c>
      <c r="V241" s="180" t="n">
        <f aca="false">IF($C$9=0,0,IF($A241&gt;IN_PRAZO,0,IF(APORTE_CORRIGIDO="Sim",IN_APORTE*$D241,IN_APORTE))+IF(AND($C$35=1,PGBL_REINVESTE="Sim",$A241&gt;=13,$A241&lt;=IN_PRAZO,MONTH($B241)=5),PGBL_BENEFICIO,0))</f>
        <v>0</v>
      </c>
      <c r="W241" s="180" t="n">
        <f aca="false">V241*$C$24</f>
        <v>0</v>
      </c>
      <c r="X241" s="180" t="n">
        <f aca="false">U241*$C$19</f>
        <v>5085.58414707801</v>
      </c>
      <c r="Y241" s="180" t="n">
        <f aca="false">U241*$C$22</f>
        <v>103.907555813935</v>
      </c>
      <c r="Z241" s="180" t="n">
        <f aca="false">$C$23*MAX(0,X241-U241*$C$18)</f>
        <v>0</v>
      </c>
      <c r="AA241" s="180" t="n">
        <f aca="false">IF(AND($C$27=1,OR(MONTH($B241)=5,MONTH($B241)=11)),MAX(0,$C$28*MAX(0,(U241+X241-Y241-Z241+V241-W241)+AD240-AC241)-AD240),0)</f>
        <v>0</v>
      </c>
      <c r="AB241" s="181" t="n">
        <f aca="false">U241+X241-Y241-Z241+V241-W241-AA241</f>
        <v>628427.011474872</v>
      </c>
      <c r="AC241" s="180" t="n">
        <f aca="false">AC240+V241-W241</f>
        <v>150000</v>
      </c>
      <c r="AD241" s="180" t="n">
        <f aca="false">AD240+AA241</f>
        <v>0</v>
      </c>
      <c r="AE241" s="180" t="n">
        <f aca="false">AB241+AD241-AC241</f>
        <v>478427.011474872</v>
      </c>
      <c r="AF241" s="180" t="n">
        <f aca="false">MAX(0,IFERROR(INDEX(TAB_IR,MATCH($C241,TAB_IR_DIAS,1),MATCH($C$8,TAB_IR_REGIMES,0)),0)*IF($C$26=2,AB241,MAX(0,AE241))-AD241)</f>
        <v>71764.0517212308</v>
      </c>
      <c r="AG241" s="181" t="n">
        <f aca="false">MAX(0,AB241-AF241-AB241*$C$25)</f>
        <v>556662.959753641</v>
      </c>
      <c r="AH241" s="180" t="n">
        <f aca="false">AG241/$D241</f>
        <v>309095.181526505</v>
      </c>
      <c r="AJ241" s="180" t="n">
        <f aca="false">AQ240</f>
        <v>519702.649848644</v>
      </c>
      <c r="AK241" s="180" t="n">
        <f aca="false">IF($D$9=0,0,IF($A241&gt;IN_PRAZO,0,IF(APORTE_CORRIGIDO="Sim",IN_APORTE*$D241,IN_APORTE))+IF(AND($D$35=1,PGBL_REINVESTE="Sim",$A241&gt;=13,$A241&lt;=IN_PRAZO,MONTH($B241)=5),PGBL_BENEFICIO,0))</f>
        <v>0</v>
      </c>
      <c r="AL241" s="180" t="n">
        <f aca="false">AK241*$D$24</f>
        <v>0</v>
      </c>
      <c r="AM241" s="180" t="n">
        <f aca="false">AJ241*$D$19</f>
        <v>4671.44967533579</v>
      </c>
      <c r="AN241" s="180" t="n">
        <f aca="false">AJ241*$D$22</f>
        <v>433.085541540537</v>
      </c>
      <c r="AO241" s="180" t="n">
        <f aca="false">$D$23*MAX(0,AM241-AJ241*$D$18)</f>
        <v>0</v>
      </c>
      <c r="AP241" s="180" t="n">
        <f aca="false">IF(AND($D$27=1,OR(MONTH($B241)=5,MONTH($B241)=11)),MAX(0,$D$28*MAX(0,(AJ241+AM241-AN241-AO241+AK241-AL241)+AS240-AR241)-AS240),0)</f>
        <v>0</v>
      </c>
      <c r="AQ241" s="181" t="n">
        <f aca="false">AJ241+AM241-AN241-AO241+AK241-AL241-AP241</f>
        <v>523941.01398244</v>
      </c>
      <c r="AR241" s="180" t="n">
        <f aca="false">AR240+AK241-AL241</f>
        <v>150000</v>
      </c>
      <c r="AS241" s="180" t="n">
        <f aca="false">AS240+AP241</f>
        <v>63763.8532224505</v>
      </c>
      <c r="AT241" s="180" t="n">
        <f aca="false">AQ241+AS241-AR241</f>
        <v>437704.86720489</v>
      </c>
      <c r="AU241" s="180" t="n">
        <f aca="false">MAX(0,IFERROR(INDEX(TAB_IR,MATCH($C241,TAB_IR_DIAS,1),MATCH($D$8,TAB_IR_REGIMES,0)),0)*IF($D$26=2,AQ241,MAX(0,AT241))-AS241)</f>
        <v>1891.876858283</v>
      </c>
      <c r="AV241" s="181" t="n">
        <f aca="false">MAX(0,AQ241-AU241-AQ241*$D$25)</f>
        <v>522049.137124157</v>
      </c>
      <c r="AW241" s="180" t="n">
        <f aca="false">AV241/$D241</f>
        <v>289875.354517139</v>
      </c>
      <c r="AY241" s="180" t="n">
        <f aca="false">BF240</f>
        <v>687170.307141663</v>
      </c>
      <c r="AZ241" s="180" t="n">
        <f aca="false">IF($E$9=0,0,IF($A241&gt;IN_PRAZO,0,IF(APORTE_CORRIGIDO="Sim",IN_APORTE*$D241,IN_APORTE))+IF(AND($E$35=1,PGBL_REINVESTE="Sim",$A241&gt;=13,$A241&lt;=IN_PRAZO,MONTH($B241)=5),PGBL_BENEFICIO,0))</f>
        <v>0</v>
      </c>
      <c r="BA241" s="180" t="n">
        <f aca="false">AZ241*$E$24</f>
        <v>0</v>
      </c>
      <c r="BB241" s="180" t="n">
        <f aca="false">AY241*$E$19</f>
        <v>6726.53514884869</v>
      </c>
      <c r="BC241" s="180" t="n">
        <f aca="false">AY241*$E$22</f>
        <v>858.962883927079</v>
      </c>
      <c r="BD241" s="180" t="n">
        <f aca="false">$E$23*MAX(0,BB241-AY241*$E$18)</f>
        <v>0</v>
      </c>
      <c r="BE241" s="180" t="n">
        <f aca="false">IF(AND($E$27=1,OR(MONTH($B241)=5,MONTH($B241)=11)),MAX(0,$E$28*MAX(0,(AY241+BB241-BC241-BD241+AZ241-BA241)+BH240-BG241)-BH240),0)</f>
        <v>0</v>
      </c>
      <c r="BF241" s="181" t="n">
        <f aca="false">AY241+BB241-BC241-BD241+AZ241-BA241-BE241</f>
        <v>693037.879406585</v>
      </c>
      <c r="BG241" s="180" t="n">
        <f aca="false">BG240+AZ241-BA241</f>
        <v>150000</v>
      </c>
      <c r="BH241" s="180" t="n">
        <f aca="false">BH240+BE241</f>
        <v>0</v>
      </c>
      <c r="BI241" s="180" t="n">
        <f aca="false">BF241+BH241-BG241</f>
        <v>543037.879406585</v>
      </c>
      <c r="BJ241" s="180" t="n">
        <f aca="false">MAX(0,IFERROR(INDEX(TAB_IR,MATCH($C241,TAB_IR_DIAS,1),MATCH($E$8,TAB_IR_REGIMES,0)),0)*IF($E$26=2,BF241,MAX(0,BI241))-BH241)</f>
        <v>54303.7879406585</v>
      </c>
      <c r="BK241" s="181" t="n">
        <f aca="false">MAX(0,BF241-BJ241-BF241*$E$25)</f>
        <v>638734.091465926</v>
      </c>
      <c r="BL241" s="180" t="n">
        <f aca="false">BK241/$D241</f>
        <v>354666.367663843</v>
      </c>
      <c r="BN241" s="180" t="n">
        <f aca="false">BU240</f>
        <v>687170.307141663</v>
      </c>
      <c r="BO241" s="180" t="n">
        <f aca="false">IF($F$9=0,0,IF($A241&gt;IN_PRAZO,0,IF(APORTE_CORRIGIDO="Sim",IN_APORTE*$D241,IN_APORTE))+IF(AND($F$35=1,PGBL_REINVESTE="Sim",$A241&gt;=13,$A241&lt;=IN_PRAZO,MONTH($B241)=5),PGBL_BENEFICIO,0))</f>
        <v>0</v>
      </c>
      <c r="BP241" s="180" t="n">
        <f aca="false">BO241*$F$24</f>
        <v>0</v>
      </c>
      <c r="BQ241" s="180" t="n">
        <f aca="false">BN241*$F$19</f>
        <v>6726.53514884869</v>
      </c>
      <c r="BR241" s="180" t="n">
        <f aca="false">BN241*$F$22</f>
        <v>858.962883927079</v>
      </c>
      <c r="BS241" s="180" t="n">
        <f aca="false">$F$23*MAX(0,BQ241-BN241*$F$18)</f>
        <v>0</v>
      </c>
      <c r="BT241" s="180" t="n">
        <f aca="false">IF(AND($F$27=1,OR(MONTH($B241)=5,MONTH($B241)=11)),MAX(0,$F$28*MAX(0,(BN241+BQ241-BR241-BS241+BO241-BP241)+BW240-BV241)-BW240),0)</f>
        <v>0</v>
      </c>
      <c r="BU241" s="181" t="n">
        <f aca="false">BN241+BQ241-BR241-BS241+BO241-BP241-BT241</f>
        <v>693037.879406585</v>
      </c>
      <c r="BV241" s="180" t="n">
        <f aca="false">BV240+BO241-BP241</f>
        <v>150000</v>
      </c>
      <c r="BW241" s="180" t="n">
        <f aca="false">BW240+BT241</f>
        <v>0</v>
      </c>
      <c r="BX241" s="180" t="n">
        <f aca="false">BU241+BW241-BV241</f>
        <v>543037.879406585</v>
      </c>
      <c r="BY241" s="180" t="n">
        <f aca="false">MAX(0,IFERROR(INDEX(TAB_IR,MATCH($C241,TAB_IR_DIAS,1),MATCH($F$8,TAB_IR_REGIMES,0)),0)*IF($F$26=2,BU241,MAX(0,BX241))-BW241)</f>
        <v>69303.7879406585</v>
      </c>
      <c r="BZ241" s="181" t="n">
        <f aca="false">MAX(0,BU241-BY241-BU241*$F$25)</f>
        <v>623734.091465926</v>
      </c>
      <c r="CA241" s="180" t="n">
        <f aca="false">BZ241/$D241</f>
        <v>346337.400123144</v>
      </c>
      <c r="CC241" s="180" t="n">
        <f aca="false">CJ240</f>
        <v>457891.45609334</v>
      </c>
      <c r="CD241" s="180" t="n">
        <f aca="false">IF($G$9=0,0,IF($A241&gt;IN_PRAZO,0,IF(APORTE_CORRIGIDO="Sim",IN_APORTE*$D241,IN_APORTE))+IF(AND($G$35=1,PGBL_REINVESTE="Sim",$A241&gt;=13,$A241&lt;=IN_PRAZO,MONTH($B241)=5),PGBL_BENEFICIO,0))</f>
        <v>0</v>
      </c>
      <c r="CE241" s="180" t="n">
        <f aca="false">CD241*$G$24</f>
        <v>0</v>
      </c>
      <c r="CF241" s="180" t="n">
        <f aca="false">CC241*$G$19</f>
        <v>3735.12383507609</v>
      </c>
      <c r="CG241" s="180" t="n">
        <f aca="false">CC241*$G$22</f>
        <v>381.576213411117</v>
      </c>
      <c r="CH241" s="180" t="n">
        <f aca="false">$G$23*MAX(0,CF241-CC241*$G$18)</f>
        <v>0</v>
      </c>
      <c r="CI241" s="180" t="n">
        <f aca="false">IF(AND($G$27=1,OR(MONTH($B241)=5,MONTH($B241)=11)),MAX(0,$G$28*MAX(0,(CC241+CF241-CG241-CH241+CD241-CE241)+CL240-CK241)-CL240),0)</f>
        <v>0</v>
      </c>
      <c r="CJ241" s="181" t="n">
        <f aca="false">CC241+CF241-CG241-CH241+CD241-CE241-CI241</f>
        <v>461245.003715005</v>
      </c>
      <c r="CK241" s="180" t="n">
        <f aca="false">CK240+CD241-CE241</f>
        <v>150000</v>
      </c>
      <c r="CL241" s="180" t="n">
        <f aca="false">CL240+CI241</f>
        <v>53163.0583965196</v>
      </c>
      <c r="CM241" s="180" t="n">
        <f aca="false">CJ241+CL241-CK241</f>
        <v>364408.062111525</v>
      </c>
      <c r="CN241" s="180" t="n">
        <f aca="false">MAX(0,IFERROR(INDEX(TAB_IR,MATCH($C241,TAB_IR_DIAS,1),MATCH($G$8,TAB_IR_REGIMES,0)),0)*IF($G$26=2,CJ241,MAX(0,CM241))-CL241)</f>
        <v>1498.15092020911</v>
      </c>
      <c r="CO241" s="181" t="n">
        <f aca="false">MAX(0,CJ241-CN241-CJ241*$G$25)</f>
        <v>459746.852794796</v>
      </c>
      <c r="CP241" s="180" t="n">
        <f aca="false">CO241/$D241</f>
        <v>255281.107591096</v>
      </c>
    </row>
    <row r="242" customFormat="false" ht="12" hidden="false" customHeight="true" outlineLevel="0" collapsed="false">
      <c r="A242" s="177" t="n">
        <v>181</v>
      </c>
      <c r="B242" s="178" t="n">
        <f aca="false">EDATE(DATA_INICIO,$A242)</f>
        <v>51767</v>
      </c>
      <c r="C242" s="177" t="n">
        <f aca="false">$A242*30</f>
        <v>5430</v>
      </c>
      <c r="D242" s="179" t="n">
        <f aca="false">(1+IPCA_CENARIO)^($A242/12)</f>
        <v>1.80683932590639</v>
      </c>
      <c r="F242" s="180" t="n">
        <f aca="false">M241</f>
        <v>796992.372331973</v>
      </c>
      <c r="G242" s="180" t="n">
        <f aca="false">IF($B$9=0,0,IF($A242&gt;IN_PRAZO,0,IF(APORTE_CORRIGIDO="Sim",IN_APORTE*$D242,IN_APORTE))+IF(AND($B$35=1,PGBL_REINVESTE="Sim",$A242&gt;=13,$A242&lt;=IN_PRAZO,MONTH($B242)=5),PGBL_BENEFICIO,0))</f>
        <v>0</v>
      </c>
      <c r="H242" s="180" t="n">
        <f aca="false">G242*$B$24</f>
        <v>0</v>
      </c>
      <c r="I242" s="180" t="n">
        <f aca="false">F242*$B$19</f>
        <v>7562.4955915002</v>
      </c>
      <c r="J242" s="180" t="n">
        <f aca="false">F242*$B$22</f>
        <v>132.832062055329</v>
      </c>
      <c r="K242" s="180" t="n">
        <f aca="false">$B$23*MAX(0,I242-F242*$B$18)</f>
        <v>0</v>
      </c>
      <c r="L242" s="180" t="n">
        <f aca="false">IF(AND($B$27=1,OR(MONTH($B242)=5,MONTH($B242)=11)),MAX(0,$B$28*MAX(0,(F242+I242-J242-K242+G242-H242)+O241-N242)-O241),0)</f>
        <v>0</v>
      </c>
      <c r="M242" s="181" t="n">
        <f aca="false">F242+I242-J242-K242+G242-H242-L242</f>
        <v>804422.035861418</v>
      </c>
      <c r="N242" s="180" t="n">
        <f aca="false">N241+G242-H242</f>
        <v>150000</v>
      </c>
      <c r="O242" s="180" t="n">
        <f aca="false">O241+L242</f>
        <v>0</v>
      </c>
      <c r="P242" s="180" t="n">
        <f aca="false">M242+O242-N242</f>
        <v>654422.035861418</v>
      </c>
      <c r="Q242" s="180" t="n">
        <f aca="false">MAX(0,IFERROR(INDEX(TAB_IR,MATCH($C242,TAB_IR_DIAS,1),MATCH($B$8,TAB_IR_REGIMES,0)),0)*IF($B$26=2,M242,MAX(0,P242))-O242)</f>
        <v>98163.3053792126</v>
      </c>
      <c r="R242" s="181" t="n">
        <f aca="false">MAX(0,M242-Q242-M242*$B$25)</f>
        <v>706258.730482205</v>
      </c>
      <c r="S242" s="180" t="n">
        <f aca="false">R242/$D242</f>
        <v>390880.76087115</v>
      </c>
      <c r="U242" s="180" t="n">
        <f aca="false">AB241</f>
        <v>628427.011474872</v>
      </c>
      <c r="V242" s="180" t="n">
        <f aca="false">IF($C$9=0,0,IF($A242&gt;IN_PRAZO,0,IF(APORTE_CORRIGIDO="Sim",IN_APORTE*$D242,IN_APORTE))+IF(AND($C$35=1,PGBL_REINVESTE="Sim",$A242&gt;=13,$A242&lt;=IN_PRAZO,MONTH($B242)=5),PGBL_BENEFICIO,0))</f>
        <v>0</v>
      </c>
      <c r="W242" s="180" t="n">
        <f aca="false">V242*$C$24</f>
        <v>0</v>
      </c>
      <c r="X242" s="180" t="n">
        <f aca="false">U242*$C$19</f>
        <v>5126.22080610945</v>
      </c>
      <c r="Y242" s="180" t="n">
        <f aca="false">U242*$C$22</f>
        <v>104.737835245812</v>
      </c>
      <c r="Z242" s="180" t="n">
        <f aca="false">$C$23*MAX(0,X242-U242*$C$18)</f>
        <v>0</v>
      </c>
      <c r="AA242" s="180" t="n">
        <f aca="false">IF(AND($C$27=1,OR(MONTH($B242)=5,MONTH($B242)=11)),MAX(0,$C$28*MAX(0,(U242+X242-Y242-Z242+V242-W242)+AD241-AC242)-AD241),0)</f>
        <v>0</v>
      </c>
      <c r="AB242" s="181" t="n">
        <f aca="false">U242+X242-Y242-Z242+V242-W242-AA242</f>
        <v>633448.494445735</v>
      </c>
      <c r="AC242" s="180" t="n">
        <f aca="false">AC241+V242-W242</f>
        <v>150000</v>
      </c>
      <c r="AD242" s="180" t="n">
        <f aca="false">AD241+AA242</f>
        <v>0</v>
      </c>
      <c r="AE242" s="180" t="n">
        <f aca="false">AB242+AD242-AC242</f>
        <v>483448.494445735</v>
      </c>
      <c r="AF242" s="180" t="n">
        <f aca="false">MAX(0,IFERROR(INDEX(TAB_IR,MATCH($C242,TAB_IR_DIAS,1),MATCH($C$8,TAB_IR_REGIMES,0)),0)*IF($C$26=2,AB242,MAX(0,AE242))-AD242)</f>
        <v>72517.2741668603</v>
      </c>
      <c r="AG242" s="181" t="n">
        <f aca="false">MAX(0,AB242-AF242-AB242*$C$25)</f>
        <v>560931.220278875</v>
      </c>
      <c r="AH242" s="180" t="n">
        <f aca="false">AG242/$D242</f>
        <v>310448.866280619</v>
      </c>
      <c r="AJ242" s="180" t="n">
        <f aca="false">AQ241</f>
        <v>523941.01398244</v>
      </c>
      <c r="AK242" s="180" t="n">
        <f aca="false">IF($D$9=0,0,IF($A242&gt;IN_PRAZO,0,IF(APORTE_CORRIGIDO="Sim",IN_APORTE*$D242,IN_APORTE))+IF(AND($D$35=1,PGBL_REINVESTE="Sim",$A242&gt;=13,$A242&lt;=IN_PRAZO,MONTH($B242)=5),PGBL_BENEFICIO,0))</f>
        <v>0</v>
      </c>
      <c r="AL242" s="180" t="n">
        <f aca="false">AK242*$D$24</f>
        <v>0</v>
      </c>
      <c r="AM242" s="180" t="n">
        <f aca="false">AJ242*$D$19</f>
        <v>4709.54704652014</v>
      </c>
      <c r="AN242" s="180" t="n">
        <f aca="false">AJ242*$D$22</f>
        <v>436.617511652033</v>
      </c>
      <c r="AO242" s="180" t="n">
        <f aca="false">$D$23*MAX(0,AM242-AJ242*$D$18)</f>
        <v>0</v>
      </c>
      <c r="AP242" s="180" t="n">
        <f aca="false">IF(AND($D$27=1,OR(MONTH($B242)=5,MONTH($B242)=11)),MAX(0,$D$28*MAX(0,(AJ242+AM242-AN242-AO242+AK242-AL242)+AS241-AR242)-AS241),0)</f>
        <v>0</v>
      </c>
      <c r="AQ242" s="181" t="n">
        <f aca="false">AJ242+AM242-AN242-AO242+AK242-AL242-AP242</f>
        <v>528213.943517308</v>
      </c>
      <c r="AR242" s="180" t="n">
        <f aca="false">AR241+AK242-AL242</f>
        <v>150000</v>
      </c>
      <c r="AS242" s="180" t="n">
        <f aca="false">AS241+AP242</f>
        <v>63763.8532224505</v>
      </c>
      <c r="AT242" s="180" t="n">
        <f aca="false">AQ242+AS242-AR242</f>
        <v>441977.796739758</v>
      </c>
      <c r="AU242" s="180" t="n">
        <f aca="false">MAX(0,IFERROR(INDEX(TAB_IR,MATCH($C242,TAB_IR_DIAS,1),MATCH($D$8,TAB_IR_REGIMES,0)),0)*IF($D$26=2,AQ242,MAX(0,AT242))-AS242)</f>
        <v>2532.81628851321</v>
      </c>
      <c r="AV242" s="181" t="n">
        <f aca="false">MAX(0,AQ242-AU242-AQ242*$D$25)</f>
        <v>525681.127228794</v>
      </c>
      <c r="AW242" s="180" t="n">
        <f aca="false">AV242/$D242</f>
        <v>290939.609123844</v>
      </c>
      <c r="AY242" s="180" t="n">
        <f aca="false">BF241</f>
        <v>693037.879406585</v>
      </c>
      <c r="AZ242" s="180" t="n">
        <f aca="false">IF($E$9=0,0,IF($A242&gt;IN_PRAZO,0,IF(APORTE_CORRIGIDO="Sim",IN_APORTE*$D242,IN_APORTE))+IF(AND($E$35=1,PGBL_REINVESTE="Sim",$A242&gt;=13,$A242&lt;=IN_PRAZO,MONTH($B242)=5),PGBL_BENEFICIO,0))</f>
        <v>0</v>
      </c>
      <c r="BA242" s="180" t="n">
        <f aca="false">AZ242*$E$24</f>
        <v>0</v>
      </c>
      <c r="BB242" s="180" t="n">
        <f aca="false">AY242*$E$19</f>
        <v>6783.97131957408</v>
      </c>
      <c r="BC242" s="180" t="n">
        <f aca="false">AY242*$E$22</f>
        <v>866.297349258231</v>
      </c>
      <c r="BD242" s="180" t="n">
        <f aca="false">$E$23*MAX(0,BB242-AY242*$E$18)</f>
        <v>0</v>
      </c>
      <c r="BE242" s="180" t="n">
        <f aca="false">IF(AND($E$27=1,OR(MONTH($B242)=5,MONTH($B242)=11)),MAX(0,$E$28*MAX(0,(AY242+BB242-BC242-BD242+AZ242-BA242)+BH241-BG242)-BH241),0)</f>
        <v>0</v>
      </c>
      <c r="BF242" s="181" t="n">
        <f aca="false">AY242+BB242-BC242-BD242+AZ242-BA242-BE242</f>
        <v>698955.553376901</v>
      </c>
      <c r="BG242" s="180" t="n">
        <f aca="false">BG241+AZ242-BA242</f>
        <v>150000</v>
      </c>
      <c r="BH242" s="180" t="n">
        <f aca="false">BH241+BE242</f>
        <v>0</v>
      </c>
      <c r="BI242" s="180" t="n">
        <f aca="false">BF242+BH242-BG242</f>
        <v>548955.553376901</v>
      </c>
      <c r="BJ242" s="180" t="n">
        <f aca="false">MAX(0,IFERROR(INDEX(TAB_IR,MATCH($C242,TAB_IR_DIAS,1),MATCH($E$8,TAB_IR_REGIMES,0)),0)*IF($E$26=2,BF242,MAX(0,BI242))-BH242)</f>
        <v>54895.5553376901</v>
      </c>
      <c r="BK242" s="181" t="n">
        <f aca="false">MAX(0,BF242-BJ242-BF242*$E$25)</f>
        <v>644059.998039211</v>
      </c>
      <c r="BL242" s="180" t="n">
        <f aca="false">BK242/$D242</f>
        <v>356456.708023068</v>
      </c>
      <c r="BN242" s="180" t="n">
        <f aca="false">BU241</f>
        <v>693037.879406585</v>
      </c>
      <c r="BO242" s="180" t="n">
        <f aca="false">IF($F$9=0,0,IF($A242&gt;IN_PRAZO,0,IF(APORTE_CORRIGIDO="Sim",IN_APORTE*$D242,IN_APORTE))+IF(AND($F$35=1,PGBL_REINVESTE="Sim",$A242&gt;=13,$A242&lt;=IN_PRAZO,MONTH($B242)=5),PGBL_BENEFICIO,0))</f>
        <v>0</v>
      </c>
      <c r="BP242" s="180" t="n">
        <f aca="false">BO242*$F$24</f>
        <v>0</v>
      </c>
      <c r="BQ242" s="180" t="n">
        <f aca="false">BN242*$F$19</f>
        <v>6783.97131957408</v>
      </c>
      <c r="BR242" s="180" t="n">
        <f aca="false">BN242*$F$22</f>
        <v>866.297349258231</v>
      </c>
      <c r="BS242" s="180" t="n">
        <f aca="false">$F$23*MAX(0,BQ242-BN242*$F$18)</f>
        <v>0</v>
      </c>
      <c r="BT242" s="180" t="n">
        <f aca="false">IF(AND($F$27=1,OR(MONTH($B242)=5,MONTH($B242)=11)),MAX(0,$F$28*MAX(0,(BN242+BQ242-BR242-BS242+BO242-BP242)+BW241-BV242)-BW241),0)</f>
        <v>0</v>
      </c>
      <c r="BU242" s="181" t="n">
        <f aca="false">BN242+BQ242-BR242-BS242+BO242-BP242-BT242</f>
        <v>698955.553376901</v>
      </c>
      <c r="BV242" s="180" t="n">
        <f aca="false">BV241+BO242-BP242</f>
        <v>150000</v>
      </c>
      <c r="BW242" s="180" t="n">
        <f aca="false">BW241+BT242</f>
        <v>0</v>
      </c>
      <c r="BX242" s="180" t="n">
        <f aca="false">BU242+BW242-BV242</f>
        <v>548955.553376901</v>
      </c>
      <c r="BY242" s="180" t="n">
        <f aca="false">MAX(0,IFERROR(INDEX(TAB_IR,MATCH($C242,TAB_IR_DIAS,1),MATCH($F$8,TAB_IR_REGIMES,0)),0)*IF($F$26=2,BU242,MAX(0,BX242))-BW242)</f>
        <v>69895.5553376901</v>
      </c>
      <c r="BZ242" s="181" t="n">
        <f aca="false">MAX(0,BU242-BY242-BU242*$F$25)</f>
        <v>629059.998039211</v>
      </c>
      <c r="CA242" s="180" t="n">
        <f aca="false">BZ242/$D242</f>
        <v>348154.918381383</v>
      </c>
      <c r="CC242" s="180" t="n">
        <f aca="false">CJ241</f>
        <v>461245.003715005</v>
      </c>
      <c r="CD242" s="180" t="n">
        <f aca="false">IF($G$9=0,0,IF($A242&gt;IN_PRAZO,0,IF(APORTE_CORRIGIDO="Sim",IN_APORTE*$D242,IN_APORTE))+IF(AND($G$35=1,PGBL_REINVESTE="Sim",$A242&gt;=13,$A242&lt;=IN_PRAZO,MONTH($B242)=5),PGBL_BENEFICIO,0))</f>
        <v>0</v>
      </c>
      <c r="CE242" s="180" t="n">
        <f aca="false">CD242*$G$24</f>
        <v>0</v>
      </c>
      <c r="CF242" s="180" t="n">
        <f aca="false">CC242*$G$19</f>
        <v>3762.47947905472</v>
      </c>
      <c r="CG242" s="180" t="n">
        <f aca="false">CC242*$G$22</f>
        <v>384.370836429171</v>
      </c>
      <c r="CH242" s="180" t="n">
        <f aca="false">$G$23*MAX(0,CF242-CC242*$G$18)</f>
        <v>0</v>
      </c>
      <c r="CI242" s="180" t="n">
        <f aca="false">IF(AND($G$27=1,OR(MONTH($B242)=5,MONTH($B242)=11)),MAX(0,$G$28*MAX(0,(CC242+CF242-CG242-CH242+CD242-CE242)+CL241-CK242)-CL241),0)</f>
        <v>0</v>
      </c>
      <c r="CJ242" s="181" t="n">
        <f aca="false">CC242+CF242-CG242-CH242+CD242-CE242-CI242</f>
        <v>464623.112357631</v>
      </c>
      <c r="CK242" s="180" t="n">
        <f aca="false">CK241+CD242-CE242</f>
        <v>150000</v>
      </c>
      <c r="CL242" s="180" t="n">
        <f aca="false">CL241+CI242</f>
        <v>53163.0583965196</v>
      </c>
      <c r="CM242" s="180" t="n">
        <f aca="false">CJ242+CL242-CK242</f>
        <v>367786.17075415</v>
      </c>
      <c r="CN242" s="180" t="n">
        <f aca="false">MAX(0,IFERROR(INDEX(TAB_IR,MATCH($C242,TAB_IR_DIAS,1),MATCH($G$8,TAB_IR_REGIMES,0)),0)*IF($G$26=2,CJ242,MAX(0,CM242))-CL242)</f>
        <v>2004.86721660294</v>
      </c>
      <c r="CO242" s="181" t="n">
        <f aca="false">MAX(0,CJ242-CN242-CJ242*$G$25)</f>
        <v>462618.245141028</v>
      </c>
      <c r="CP242" s="180" t="n">
        <f aca="false">CO242/$D242</f>
        <v>256037.290371106</v>
      </c>
    </row>
    <row r="243" customFormat="false" ht="12" hidden="false" customHeight="true" outlineLevel="0" collapsed="false">
      <c r="A243" s="177" t="n">
        <v>182</v>
      </c>
      <c r="B243" s="178" t="n">
        <f aca="false">EDATE(DATA_INICIO,$A243)</f>
        <v>51797</v>
      </c>
      <c r="C243" s="177" t="n">
        <f aca="false">$A243*30</f>
        <v>5460</v>
      </c>
      <c r="D243" s="179" t="n">
        <f aca="false">(1+IPCA_CENARIO)^($A243/12)</f>
        <v>1.81275444768765</v>
      </c>
      <c r="F243" s="180" t="n">
        <f aca="false">M242</f>
        <v>804422.035861418</v>
      </c>
      <c r="G243" s="180" t="n">
        <f aca="false">IF($B$9=0,0,IF($A243&gt;IN_PRAZO,0,IF(APORTE_CORRIGIDO="Sim",IN_APORTE*$D243,IN_APORTE))+IF(AND($B$35=1,PGBL_REINVESTE="Sim",$A243&gt;=13,$A243&lt;=IN_PRAZO,MONTH($B243)=5),PGBL_BENEFICIO,0))</f>
        <v>0</v>
      </c>
      <c r="H243" s="180" t="n">
        <f aca="false">G243*$B$24</f>
        <v>0</v>
      </c>
      <c r="I243" s="180" t="n">
        <f aca="false">F243*$B$19</f>
        <v>7632.99413030473</v>
      </c>
      <c r="J243" s="180" t="n">
        <f aca="false">F243*$B$22</f>
        <v>134.070339310236</v>
      </c>
      <c r="K243" s="180" t="n">
        <f aca="false">$B$23*MAX(0,I243-F243*$B$18)</f>
        <v>0</v>
      </c>
      <c r="L243" s="180" t="n">
        <f aca="false">IF(AND($B$27=1,OR(MONTH($B243)=5,MONTH($B243)=11)),MAX(0,$B$28*MAX(0,(F243+I243-J243-K243+G243-H243)+O242-N243)-O242),0)</f>
        <v>0</v>
      </c>
      <c r="M243" s="181" t="n">
        <f aca="false">F243+I243-J243-K243+G243-H243-L243</f>
        <v>811920.959652412</v>
      </c>
      <c r="N243" s="180" t="n">
        <f aca="false">N242+G243-H243</f>
        <v>150000</v>
      </c>
      <c r="O243" s="180" t="n">
        <f aca="false">O242+L243</f>
        <v>0</v>
      </c>
      <c r="P243" s="180" t="n">
        <f aca="false">M243+O243-N243</f>
        <v>661920.959652412</v>
      </c>
      <c r="Q243" s="180" t="n">
        <f aca="false">MAX(0,IFERROR(INDEX(TAB_IR,MATCH($C243,TAB_IR_DIAS,1),MATCH($B$8,TAB_IR_REGIMES,0)),0)*IF($B$26=2,M243,MAX(0,P243))-O243)</f>
        <v>99288.1439478618</v>
      </c>
      <c r="R243" s="181" t="n">
        <f aca="false">MAX(0,M243-Q243-M243*$B$25)</f>
        <v>712632.81570455</v>
      </c>
      <c r="S243" s="180" t="n">
        <f aca="false">R243/$D243</f>
        <v>393121.537565987</v>
      </c>
      <c r="U243" s="180" t="n">
        <f aca="false">AB242</f>
        <v>633448.494445735</v>
      </c>
      <c r="V243" s="180" t="n">
        <f aca="false">IF($C$9=0,0,IF($A243&gt;IN_PRAZO,0,IF(APORTE_CORRIGIDO="Sim",IN_APORTE*$D243,IN_APORTE))+IF(AND($C$35=1,PGBL_REINVESTE="Sim",$A243&gt;=13,$A243&lt;=IN_PRAZO,MONTH($B243)=5),PGBL_BENEFICIO,0))</f>
        <v>0</v>
      </c>
      <c r="W243" s="180" t="n">
        <f aca="false">V243*$C$24</f>
        <v>0</v>
      </c>
      <c r="X243" s="180" t="n">
        <f aca="false">U243*$C$19</f>
        <v>5167.18217475328</v>
      </c>
      <c r="Y243" s="180" t="n">
        <f aca="false">U243*$C$22</f>
        <v>105.574749074289</v>
      </c>
      <c r="Z243" s="180" t="n">
        <f aca="false">$C$23*MAX(0,X243-U243*$C$18)</f>
        <v>0</v>
      </c>
      <c r="AA243" s="180" t="n">
        <f aca="false">IF(AND($C$27=1,OR(MONTH($B243)=5,MONTH($B243)=11)),MAX(0,$C$28*MAX(0,(U243+X243-Y243-Z243+V243-W243)+AD242-AC243)-AD242),0)</f>
        <v>0</v>
      </c>
      <c r="AB243" s="181" t="n">
        <f aca="false">U243+X243-Y243-Z243+V243-W243-AA243</f>
        <v>638510.101871414</v>
      </c>
      <c r="AC243" s="180" t="n">
        <f aca="false">AC242+V243-W243</f>
        <v>150000</v>
      </c>
      <c r="AD243" s="180" t="n">
        <f aca="false">AD242+AA243</f>
        <v>0</v>
      </c>
      <c r="AE243" s="180" t="n">
        <f aca="false">AB243+AD243-AC243</f>
        <v>488510.101871414</v>
      </c>
      <c r="AF243" s="180" t="n">
        <f aca="false">MAX(0,IFERROR(INDEX(TAB_IR,MATCH($C243,TAB_IR_DIAS,1),MATCH($C$8,TAB_IR_REGIMES,0)),0)*IF($C$26=2,AB243,MAX(0,AE243))-AD243)</f>
        <v>73276.5152807122</v>
      </c>
      <c r="AG243" s="181" t="n">
        <f aca="false">MAX(0,AB243-AF243-AB243*$C$25)</f>
        <v>565233.586590702</v>
      </c>
      <c r="AH243" s="180" t="n">
        <f aca="false">AG243/$D243</f>
        <v>311809.239972747</v>
      </c>
      <c r="AJ243" s="180" t="n">
        <f aca="false">AQ242</f>
        <v>528213.943517308</v>
      </c>
      <c r="AK243" s="180" t="n">
        <f aca="false">IF($D$9=0,0,IF($A243&gt;IN_PRAZO,0,IF(APORTE_CORRIGIDO="Sim",IN_APORTE*$D243,IN_APORTE))+IF(AND($D$35=1,PGBL_REINVESTE="Sim",$A243&gt;=13,$A243&lt;=IN_PRAZO,MONTH($B243)=5),PGBL_BENEFICIO,0))</f>
        <v>0</v>
      </c>
      <c r="AL243" s="180" t="n">
        <f aca="false">AK243*$D$24</f>
        <v>0</v>
      </c>
      <c r="AM243" s="180" t="n">
        <f aca="false">AJ243*$D$19</f>
        <v>4747.95511562312</v>
      </c>
      <c r="AN243" s="180" t="n">
        <f aca="false">AJ243*$D$22</f>
        <v>440.178286264423</v>
      </c>
      <c r="AO243" s="180" t="n">
        <f aca="false">$D$23*MAX(0,AM243-AJ243*$D$18)</f>
        <v>0</v>
      </c>
      <c r="AP243" s="180" t="n">
        <f aca="false">IF(AND($D$27=1,OR(MONTH($B243)=5,MONTH($B243)=11)),MAX(0,$D$28*MAX(0,(AJ243+AM243-AN243-AO243+AK243-AL243)+AS242-AR243)-AS242),0)</f>
        <v>0</v>
      </c>
      <c r="AQ243" s="181" t="n">
        <f aca="false">AJ243+AM243-AN243-AO243+AK243-AL243-AP243</f>
        <v>532521.720346666</v>
      </c>
      <c r="AR243" s="180" t="n">
        <f aca="false">AR242+AK243-AL243</f>
        <v>150000</v>
      </c>
      <c r="AS243" s="180" t="n">
        <f aca="false">AS242+AP243</f>
        <v>63763.8532224505</v>
      </c>
      <c r="AT243" s="180" t="n">
        <f aca="false">AQ243+AS243-AR243</f>
        <v>446285.573569117</v>
      </c>
      <c r="AU243" s="180" t="n">
        <f aca="false">MAX(0,IFERROR(INDEX(TAB_IR,MATCH($C243,TAB_IR_DIAS,1),MATCH($D$8,TAB_IR_REGIMES,0)),0)*IF($D$26=2,AQ243,MAX(0,AT243))-AS243)</f>
        <v>3178.98281291701</v>
      </c>
      <c r="AV243" s="181" t="n">
        <f aca="false">MAX(0,AQ243-AU243-AQ243*$D$25)</f>
        <v>529342.737533749</v>
      </c>
      <c r="AW243" s="180" t="n">
        <f aca="false">AV243/$D243</f>
        <v>292010.171708021</v>
      </c>
      <c r="AY243" s="180" t="n">
        <f aca="false">BF242</f>
        <v>698955.553376901</v>
      </c>
      <c r="AZ243" s="180" t="n">
        <f aca="false">IF($E$9=0,0,IF($A243&gt;IN_PRAZO,0,IF(APORTE_CORRIGIDO="Sim",IN_APORTE*$D243,IN_APORTE))+IF(AND($E$35=1,PGBL_REINVESTE="Sim",$A243&gt;=13,$A243&lt;=IN_PRAZO,MONTH($B243)=5),PGBL_BENEFICIO,0))</f>
        <v>0</v>
      </c>
      <c r="BA243" s="180" t="n">
        <f aca="false">AZ243*$E$24</f>
        <v>0</v>
      </c>
      <c r="BB243" s="180" t="n">
        <f aca="false">AY243*$E$19</f>
        <v>6841.89792313518</v>
      </c>
      <c r="BC243" s="180" t="n">
        <f aca="false">AY243*$E$22</f>
        <v>873.694441721126</v>
      </c>
      <c r="BD243" s="180" t="n">
        <f aca="false">$E$23*MAX(0,BB243-AY243*$E$18)</f>
        <v>0</v>
      </c>
      <c r="BE243" s="180" t="n">
        <f aca="false">IF(AND($E$27=1,OR(MONTH($B243)=5,MONTH($B243)=11)),MAX(0,$E$28*MAX(0,(AY243+BB243-BC243-BD243+AZ243-BA243)+BH242-BG243)-BH242),0)</f>
        <v>0</v>
      </c>
      <c r="BF243" s="181" t="n">
        <f aca="false">AY243+BB243-BC243-BD243+AZ243-BA243-BE243</f>
        <v>704923.756858315</v>
      </c>
      <c r="BG243" s="180" t="n">
        <f aca="false">BG242+AZ243-BA243</f>
        <v>150000</v>
      </c>
      <c r="BH243" s="180" t="n">
        <f aca="false">BH242+BE243</f>
        <v>0</v>
      </c>
      <c r="BI243" s="180" t="n">
        <f aca="false">BF243+BH243-BG243</f>
        <v>554923.756858315</v>
      </c>
      <c r="BJ243" s="180" t="n">
        <f aca="false">MAX(0,IFERROR(INDEX(TAB_IR,MATCH($C243,TAB_IR_DIAS,1),MATCH($E$8,TAB_IR_REGIMES,0)),0)*IF($E$26=2,BF243,MAX(0,BI243))-BH243)</f>
        <v>55492.3756858315</v>
      </c>
      <c r="BK243" s="181" t="n">
        <f aca="false">MAX(0,BF243-BJ243-BF243*$E$25)</f>
        <v>649431.381172483</v>
      </c>
      <c r="BL243" s="180" t="n">
        <f aca="false">BK243/$D243</f>
        <v>358256.675084096</v>
      </c>
      <c r="BN243" s="180" t="n">
        <f aca="false">BU242</f>
        <v>698955.553376901</v>
      </c>
      <c r="BO243" s="180" t="n">
        <f aca="false">IF($F$9=0,0,IF($A243&gt;IN_PRAZO,0,IF(APORTE_CORRIGIDO="Sim",IN_APORTE*$D243,IN_APORTE))+IF(AND($F$35=1,PGBL_REINVESTE="Sim",$A243&gt;=13,$A243&lt;=IN_PRAZO,MONTH($B243)=5),PGBL_BENEFICIO,0))</f>
        <v>0</v>
      </c>
      <c r="BP243" s="180" t="n">
        <f aca="false">BO243*$F$24</f>
        <v>0</v>
      </c>
      <c r="BQ243" s="180" t="n">
        <f aca="false">BN243*$F$19</f>
        <v>6841.89792313518</v>
      </c>
      <c r="BR243" s="180" t="n">
        <f aca="false">BN243*$F$22</f>
        <v>873.694441721126</v>
      </c>
      <c r="BS243" s="180" t="n">
        <f aca="false">$F$23*MAX(0,BQ243-BN243*$F$18)</f>
        <v>0</v>
      </c>
      <c r="BT243" s="180" t="n">
        <f aca="false">IF(AND($F$27=1,OR(MONTH($B243)=5,MONTH($B243)=11)),MAX(0,$F$28*MAX(0,(BN243+BQ243-BR243-BS243+BO243-BP243)+BW242-BV243)-BW242),0)</f>
        <v>0</v>
      </c>
      <c r="BU243" s="181" t="n">
        <f aca="false">BN243+BQ243-BR243-BS243+BO243-BP243-BT243</f>
        <v>704923.756858315</v>
      </c>
      <c r="BV243" s="180" t="n">
        <f aca="false">BV242+BO243-BP243</f>
        <v>150000</v>
      </c>
      <c r="BW243" s="180" t="n">
        <f aca="false">BW242+BT243</f>
        <v>0</v>
      </c>
      <c r="BX243" s="180" t="n">
        <f aca="false">BU243+BW243-BV243</f>
        <v>554923.756858315</v>
      </c>
      <c r="BY243" s="180" t="n">
        <f aca="false">MAX(0,IFERROR(INDEX(TAB_IR,MATCH($C243,TAB_IR_DIAS,1),MATCH($F$8,TAB_IR_REGIMES,0)),0)*IF($F$26=2,BU243,MAX(0,BX243))-BW243)</f>
        <v>70492.3756858315</v>
      </c>
      <c r="BZ243" s="181" t="n">
        <f aca="false">MAX(0,BU243-BY243-BU243*$F$25)</f>
        <v>634431.381172483</v>
      </c>
      <c r="CA243" s="180" t="n">
        <f aca="false">BZ243/$D243</f>
        <v>349981.97465838</v>
      </c>
      <c r="CC243" s="180" t="n">
        <f aca="false">CJ242</f>
        <v>464623.112357631</v>
      </c>
      <c r="CD243" s="180" t="n">
        <f aca="false">IF($G$9=0,0,IF($A243&gt;IN_PRAZO,0,IF(APORTE_CORRIGIDO="Sim",IN_APORTE*$D243,IN_APORTE))+IF(AND($G$35=1,PGBL_REINVESTE="Sim",$A243&gt;=13,$A243&lt;=IN_PRAZO,MONTH($B243)=5),PGBL_BENEFICIO,0))</f>
        <v>0</v>
      </c>
      <c r="CE243" s="180" t="n">
        <f aca="false">CD243*$G$24</f>
        <v>0</v>
      </c>
      <c r="CF243" s="180" t="n">
        <f aca="false">CC243*$G$19</f>
        <v>3790.03547281839</v>
      </c>
      <c r="CG243" s="180" t="n">
        <f aca="false">CC243*$G$22</f>
        <v>387.185926964692</v>
      </c>
      <c r="CH243" s="180" t="n">
        <f aca="false">$G$23*MAX(0,CF243-CC243*$G$18)</f>
        <v>0</v>
      </c>
      <c r="CI243" s="180" t="n">
        <f aca="false">IF(AND($G$27=1,OR(MONTH($B243)=5,MONTH($B243)=11)),MAX(0,$G$28*MAX(0,(CC243+CF243-CG243-CH243+CD243-CE243)+CL242-CK243)-CL242),0)</f>
        <v>0</v>
      </c>
      <c r="CJ243" s="181" t="n">
        <f aca="false">CC243+CF243-CG243-CH243+CD243-CE243-CI243</f>
        <v>468025.961903484</v>
      </c>
      <c r="CK243" s="180" t="n">
        <f aca="false">CK242+CD243-CE243</f>
        <v>150000</v>
      </c>
      <c r="CL243" s="180" t="n">
        <f aca="false">CL242+CI243</f>
        <v>53163.0583965196</v>
      </c>
      <c r="CM243" s="180" t="n">
        <f aca="false">CJ243+CL243-CK243</f>
        <v>371189.020300004</v>
      </c>
      <c r="CN243" s="180" t="n">
        <f aca="false">MAX(0,IFERROR(INDEX(TAB_IR,MATCH($C243,TAB_IR_DIAS,1),MATCH($G$8,TAB_IR_REGIMES,0)),0)*IF($G$26=2,CJ243,MAX(0,CM243))-CL243)</f>
        <v>2515.29464848099</v>
      </c>
      <c r="CO243" s="181" t="n">
        <f aca="false">MAX(0,CJ243-CN243-CJ243*$G$25)</f>
        <v>465510.667255003</v>
      </c>
      <c r="CP243" s="180" t="n">
        <f aca="false">CO243/$D243</f>
        <v>256797.421100695</v>
      </c>
    </row>
    <row r="244" customFormat="false" ht="12" hidden="false" customHeight="true" outlineLevel="0" collapsed="false">
      <c r="A244" s="177" t="n">
        <v>183</v>
      </c>
      <c r="B244" s="178" t="n">
        <f aca="false">EDATE(DATA_INICIO,$A244)</f>
        <v>51828</v>
      </c>
      <c r="C244" s="177" t="n">
        <f aca="false">$A244*30</f>
        <v>5490</v>
      </c>
      <c r="D244" s="179" t="n">
        <f aca="false">(1+IPCA_CENARIO)^($A244/12)</f>
        <v>1.8186889340384</v>
      </c>
      <c r="F244" s="180" t="n">
        <f aca="false">M243</f>
        <v>811920.959652412</v>
      </c>
      <c r="G244" s="180" t="n">
        <f aca="false">IF($B$9=0,0,IF($A244&gt;IN_PRAZO,0,IF(APORTE_CORRIGIDO="Sim",IN_APORTE*$D244,IN_APORTE))+IF(AND($B$35=1,PGBL_REINVESTE="Sim",$A244&gt;=13,$A244&lt;=IN_PRAZO,MONTH($B244)=5),PGBL_BENEFICIO,0))</f>
        <v>0</v>
      </c>
      <c r="H244" s="180" t="n">
        <f aca="false">G244*$B$24</f>
        <v>0</v>
      </c>
      <c r="I244" s="180" t="n">
        <f aca="false">F244*$B$19</f>
        <v>7704.1498653897</v>
      </c>
      <c r="J244" s="180" t="n">
        <f aca="false">F244*$B$22</f>
        <v>135.320159942069</v>
      </c>
      <c r="K244" s="180" t="n">
        <f aca="false">$B$23*MAX(0,I244-F244*$B$18)</f>
        <v>0</v>
      </c>
      <c r="L244" s="180" t="n">
        <f aca="false">IF(AND($B$27=1,OR(MONTH($B244)=5,MONTH($B244)=11)),MAX(0,$B$28*MAX(0,(F244+I244-J244-K244+G244-H244)+O243-N244)-O243),0)</f>
        <v>0</v>
      </c>
      <c r="M244" s="181" t="n">
        <f aca="false">F244+I244-J244-K244+G244-H244-L244</f>
        <v>819489.78935786</v>
      </c>
      <c r="N244" s="180" t="n">
        <f aca="false">N243+G244-H244</f>
        <v>150000</v>
      </c>
      <c r="O244" s="180" t="n">
        <f aca="false">O243+L244</f>
        <v>0</v>
      </c>
      <c r="P244" s="180" t="n">
        <f aca="false">M244+O244-N244</f>
        <v>669489.78935786</v>
      </c>
      <c r="Q244" s="180" t="n">
        <f aca="false">MAX(0,IFERROR(INDEX(TAB_IR,MATCH($C244,TAB_IR_DIAS,1),MATCH($B$8,TAB_IR_REGIMES,0)),0)*IF($B$26=2,M244,MAX(0,P244))-O244)</f>
        <v>100423.468403679</v>
      </c>
      <c r="R244" s="181" t="n">
        <f aca="false">MAX(0,M244-Q244-M244*$B$25)</f>
        <v>719066.320954181</v>
      </c>
      <c r="S244" s="180" t="n">
        <f aca="false">R244/$D244</f>
        <v>395376.200677426</v>
      </c>
      <c r="U244" s="180" t="n">
        <f aca="false">AB243</f>
        <v>638510.101871414</v>
      </c>
      <c r="V244" s="180" t="n">
        <f aca="false">IF($C$9=0,0,IF($A244&gt;IN_PRAZO,0,IF(APORTE_CORRIGIDO="Sim",IN_APORTE*$D244,IN_APORTE))+IF(AND($C$35=1,PGBL_REINVESTE="Sim",$A244&gt;=13,$A244&lt;=IN_PRAZO,MONTH($B244)=5),PGBL_BENEFICIO,0))</f>
        <v>0</v>
      </c>
      <c r="W244" s="180" t="n">
        <f aca="false">V244*$C$24</f>
        <v>0</v>
      </c>
      <c r="X244" s="180" t="n">
        <f aca="false">U244*$C$19</f>
        <v>5208.47084762076</v>
      </c>
      <c r="Y244" s="180" t="n">
        <f aca="false">U244*$C$22</f>
        <v>106.418350311902</v>
      </c>
      <c r="Z244" s="180" t="n">
        <f aca="false">$C$23*MAX(0,X244-U244*$C$18)</f>
        <v>0</v>
      </c>
      <c r="AA244" s="180" t="n">
        <f aca="false">IF(AND($C$27=1,OR(MONTH($B244)=5,MONTH($B244)=11)),MAX(0,$C$28*MAX(0,(U244+X244-Y244-Z244+V244-W244)+AD243-AC244)-AD243),0)</f>
        <v>0</v>
      </c>
      <c r="AB244" s="181" t="n">
        <f aca="false">U244+X244-Y244-Z244+V244-W244-AA244</f>
        <v>643612.154368723</v>
      </c>
      <c r="AC244" s="180" t="n">
        <f aca="false">AC243+V244-W244</f>
        <v>150000</v>
      </c>
      <c r="AD244" s="180" t="n">
        <f aca="false">AD243+AA244</f>
        <v>0</v>
      </c>
      <c r="AE244" s="180" t="n">
        <f aca="false">AB244+AD244-AC244</f>
        <v>493612.154368723</v>
      </c>
      <c r="AF244" s="180" t="n">
        <f aca="false">MAX(0,IFERROR(INDEX(TAB_IR,MATCH($C244,TAB_IR_DIAS,1),MATCH($C$8,TAB_IR_REGIMES,0)),0)*IF($C$26=2,AB244,MAX(0,AE244))-AD244)</f>
        <v>74041.8231553085</v>
      </c>
      <c r="AG244" s="181" t="n">
        <f aca="false">MAX(0,AB244-AF244-AB244*$C$25)</f>
        <v>569570.331213415</v>
      </c>
      <c r="AH244" s="180" t="n">
        <f aca="false">AG244/$D244</f>
        <v>313176.332990977</v>
      </c>
      <c r="AJ244" s="180" t="n">
        <f aca="false">AQ243</f>
        <v>532521.720346666</v>
      </c>
      <c r="AK244" s="180" t="n">
        <f aca="false">IF($D$9=0,0,IF($A244&gt;IN_PRAZO,0,IF(APORTE_CORRIGIDO="Sim",IN_APORTE*$D244,IN_APORTE))+IF(AND($D$35=1,PGBL_REINVESTE="Sim",$A244&gt;=13,$A244&lt;=IN_PRAZO,MONTH($B244)=5),PGBL_BENEFICIO,0))</f>
        <v>0</v>
      </c>
      <c r="AL244" s="180" t="n">
        <f aca="false">AK244*$D$24</f>
        <v>0</v>
      </c>
      <c r="AM244" s="180" t="n">
        <f aca="false">AJ244*$D$19</f>
        <v>4786.67641649928</v>
      </c>
      <c r="AN244" s="180" t="n">
        <f aca="false">AJ244*$D$22</f>
        <v>443.768100288889</v>
      </c>
      <c r="AO244" s="180" t="n">
        <f aca="false">$D$23*MAX(0,AM244-AJ244*$D$18)</f>
        <v>0</v>
      </c>
      <c r="AP244" s="180" t="n">
        <f aca="false">IF(AND($D$27=1,OR(MONTH($B244)=5,MONTH($B244)=11)),MAX(0,$D$28*MAX(0,(AJ244+AM244-AN244-AO244+AK244-AL244)+AS243-AR244)-AS243),0)</f>
        <v>3830.41906034857</v>
      </c>
      <c r="AQ244" s="181" t="n">
        <f aca="false">AJ244+AM244-AN244-AO244+AK244-AL244-AP244</f>
        <v>533034.209602528</v>
      </c>
      <c r="AR244" s="180" t="n">
        <f aca="false">AR243+AK244-AL244</f>
        <v>150000</v>
      </c>
      <c r="AS244" s="180" t="n">
        <f aca="false">AS243+AP244</f>
        <v>67594.2722827991</v>
      </c>
      <c r="AT244" s="180" t="n">
        <f aca="false">AQ244+AS244-AR244</f>
        <v>450628.481885327</v>
      </c>
      <c r="AU244" s="180" t="n">
        <f aca="false">MAX(0,IFERROR(INDEX(TAB_IR,MATCH($C244,TAB_IR_DIAS,1),MATCH($D$8,TAB_IR_REGIMES,0)),0)*IF($D$26=2,AQ244,MAX(0,AT244))-AS244)</f>
        <v>0</v>
      </c>
      <c r="AV244" s="181" t="n">
        <f aca="false">MAX(0,AQ244-AU244-AQ244*$D$25)</f>
        <v>533034.209602528</v>
      </c>
      <c r="AW244" s="180" t="n">
        <f aca="false">AV244/$D244</f>
        <v>293087.069276286</v>
      </c>
      <c r="AY244" s="180" t="n">
        <f aca="false">BF243</f>
        <v>704923.756858315</v>
      </c>
      <c r="AZ244" s="180" t="n">
        <f aca="false">IF($E$9=0,0,IF($A244&gt;IN_PRAZO,0,IF(APORTE_CORRIGIDO="Sim",IN_APORTE*$D244,IN_APORTE))+IF(AND($E$35=1,PGBL_REINVESTE="Sim",$A244&gt;=13,$A244&lt;=IN_PRAZO,MONTH($B244)=5),PGBL_BENEFICIO,0))</f>
        <v>0</v>
      </c>
      <c r="BA244" s="180" t="n">
        <f aca="false">AZ244*$E$24</f>
        <v>0</v>
      </c>
      <c r="BB244" s="180" t="n">
        <f aca="false">AY244*$E$19</f>
        <v>6900.3191472131</v>
      </c>
      <c r="BC244" s="180" t="n">
        <f aca="false">AY244*$E$22</f>
        <v>881.154696072893</v>
      </c>
      <c r="BD244" s="180" t="n">
        <f aca="false">$E$23*MAX(0,BB244-AY244*$E$18)</f>
        <v>0</v>
      </c>
      <c r="BE244" s="180" t="n">
        <f aca="false">IF(AND($E$27=1,OR(MONTH($B244)=5,MONTH($B244)=11)),MAX(0,$E$28*MAX(0,(AY244+BB244-BC244-BD244+AZ244-BA244)+BH243-BG244)-BH243),0)</f>
        <v>0</v>
      </c>
      <c r="BF244" s="181" t="n">
        <f aca="false">AY244+BB244-BC244-BD244+AZ244-BA244-BE244</f>
        <v>710942.921309455</v>
      </c>
      <c r="BG244" s="180" t="n">
        <f aca="false">BG243+AZ244-BA244</f>
        <v>150000</v>
      </c>
      <c r="BH244" s="180" t="n">
        <f aca="false">BH243+BE244</f>
        <v>0</v>
      </c>
      <c r="BI244" s="180" t="n">
        <f aca="false">BF244+BH244-BG244</f>
        <v>560942.921309455</v>
      </c>
      <c r="BJ244" s="180" t="n">
        <f aca="false">MAX(0,IFERROR(INDEX(TAB_IR,MATCH($C244,TAB_IR_DIAS,1),MATCH($E$8,TAB_IR_REGIMES,0)),0)*IF($E$26=2,BF244,MAX(0,BI244))-BH244)</f>
        <v>56094.2921309455</v>
      </c>
      <c r="BK244" s="181" t="n">
        <f aca="false">MAX(0,BF244-BJ244-BF244*$E$25)</f>
        <v>654848.62917851</v>
      </c>
      <c r="BL244" s="180" t="n">
        <f aca="false">BK244/$D244</f>
        <v>360066.318611406</v>
      </c>
      <c r="BN244" s="180" t="n">
        <f aca="false">BU243</f>
        <v>704923.756858315</v>
      </c>
      <c r="BO244" s="180" t="n">
        <f aca="false">IF($F$9=0,0,IF($A244&gt;IN_PRAZO,0,IF(APORTE_CORRIGIDO="Sim",IN_APORTE*$D244,IN_APORTE))+IF(AND($F$35=1,PGBL_REINVESTE="Sim",$A244&gt;=13,$A244&lt;=IN_PRAZO,MONTH($B244)=5),PGBL_BENEFICIO,0))</f>
        <v>0</v>
      </c>
      <c r="BP244" s="180" t="n">
        <f aca="false">BO244*$F$24</f>
        <v>0</v>
      </c>
      <c r="BQ244" s="180" t="n">
        <f aca="false">BN244*$F$19</f>
        <v>6900.3191472131</v>
      </c>
      <c r="BR244" s="180" t="n">
        <f aca="false">BN244*$F$22</f>
        <v>881.154696072893</v>
      </c>
      <c r="BS244" s="180" t="n">
        <f aca="false">$F$23*MAX(0,BQ244-BN244*$F$18)</f>
        <v>0</v>
      </c>
      <c r="BT244" s="180" t="n">
        <f aca="false">IF(AND($F$27=1,OR(MONTH($B244)=5,MONTH($B244)=11)),MAX(0,$F$28*MAX(0,(BN244+BQ244-BR244-BS244+BO244-BP244)+BW243-BV244)-BW243),0)</f>
        <v>0</v>
      </c>
      <c r="BU244" s="181" t="n">
        <f aca="false">BN244+BQ244-BR244-BS244+BO244-BP244-BT244</f>
        <v>710942.921309455</v>
      </c>
      <c r="BV244" s="180" t="n">
        <f aca="false">BV243+BO244-BP244</f>
        <v>150000</v>
      </c>
      <c r="BW244" s="180" t="n">
        <f aca="false">BW243+BT244</f>
        <v>0</v>
      </c>
      <c r="BX244" s="180" t="n">
        <f aca="false">BU244+BW244-BV244</f>
        <v>560942.921309455</v>
      </c>
      <c r="BY244" s="180" t="n">
        <f aca="false">MAX(0,IFERROR(INDEX(TAB_IR,MATCH($C244,TAB_IR_DIAS,1),MATCH($F$8,TAB_IR_REGIMES,0)),0)*IF($F$26=2,BU244,MAX(0,BX244))-BW244)</f>
        <v>71094.2921309455</v>
      </c>
      <c r="BZ244" s="181" t="n">
        <f aca="false">MAX(0,BU244-BY244-BU244*$F$25)</f>
        <v>639848.62917851</v>
      </c>
      <c r="CA244" s="180" t="n">
        <f aca="false">BZ244/$D244</f>
        <v>351818.619007993</v>
      </c>
      <c r="CC244" s="180" t="n">
        <f aca="false">CJ243</f>
        <v>468025.961903484</v>
      </c>
      <c r="CD244" s="180" t="n">
        <f aca="false">IF($G$9=0,0,IF($A244&gt;IN_PRAZO,0,IF(APORTE_CORRIGIDO="Sim",IN_APORTE*$D244,IN_APORTE))+IF(AND($G$35=1,PGBL_REINVESTE="Sim",$A244&gt;=13,$A244&lt;=IN_PRAZO,MONTH($B244)=5),PGBL_BENEFICIO,0))</f>
        <v>0</v>
      </c>
      <c r="CE244" s="180" t="n">
        <f aca="false">CD244*$G$24</f>
        <v>0</v>
      </c>
      <c r="CF244" s="180" t="n">
        <f aca="false">CC244*$G$19</f>
        <v>3817.79328370732</v>
      </c>
      <c r="CG244" s="180" t="n">
        <f aca="false">CC244*$G$22</f>
        <v>390.02163491957</v>
      </c>
      <c r="CH244" s="180" t="n">
        <f aca="false">$G$23*MAX(0,CF244-CC244*$G$18)</f>
        <v>0</v>
      </c>
      <c r="CI244" s="180" t="n">
        <f aca="false">IF(AND($G$27=1,OR(MONTH($B244)=5,MONTH($B244)=11)),MAX(0,$G$28*MAX(0,(CC244+CF244-CG244-CH244+CD244-CE244)+CL243-CK244)-CL243),0)</f>
        <v>3029.46039579916</v>
      </c>
      <c r="CJ244" s="181" t="n">
        <f aca="false">CC244+CF244-CG244-CH244+CD244-CE244-CI244</f>
        <v>468424.273156473</v>
      </c>
      <c r="CK244" s="180" t="n">
        <f aca="false">CK243+CD244-CE244</f>
        <v>150000</v>
      </c>
      <c r="CL244" s="180" t="n">
        <f aca="false">CL243+CI244</f>
        <v>56192.5187923187</v>
      </c>
      <c r="CM244" s="180" t="n">
        <f aca="false">CJ244+CL244-CK244</f>
        <v>374616.791948792</v>
      </c>
      <c r="CN244" s="180" t="n">
        <f aca="false">MAX(0,IFERROR(INDEX(TAB_IR,MATCH($C244,TAB_IR_DIAS,1),MATCH($G$8,TAB_IR_REGIMES,0)),0)*IF($G$26=2,CJ244,MAX(0,CM244))-CL244)</f>
        <v>0</v>
      </c>
      <c r="CO244" s="181" t="n">
        <f aca="false">MAX(0,CJ244-CN244-CJ244*$G$25)</f>
        <v>468424.273156473</v>
      </c>
      <c r="CP244" s="180" t="n">
        <f aca="false">CO244/$D244</f>
        <v>257561.512796109</v>
      </c>
    </row>
    <row r="245" customFormat="false" ht="12" hidden="false" customHeight="true" outlineLevel="0" collapsed="false">
      <c r="A245" s="177" t="n">
        <v>184</v>
      </c>
      <c r="B245" s="178" t="n">
        <f aca="false">EDATE(DATA_INICIO,$A245)</f>
        <v>51858</v>
      </c>
      <c r="C245" s="177" t="n">
        <f aca="false">$A245*30</f>
        <v>5520</v>
      </c>
      <c r="D245" s="179" t="n">
        <f aca="false">(1+IPCA_CENARIO)^($A245/12)</f>
        <v>1.82464284835321</v>
      </c>
      <c r="F245" s="180" t="n">
        <f aca="false">M244</f>
        <v>819489.78935786</v>
      </c>
      <c r="G245" s="180" t="n">
        <f aca="false">IF($B$9=0,0,IF($A245&gt;IN_PRAZO,0,IF(APORTE_CORRIGIDO="Sim",IN_APORTE*$D245,IN_APORTE))+IF(AND($B$35=1,PGBL_REINVESTE="Sim",$A245&gt;=13,$A245&lt;=IN_PRAZO,MONTH($B245)=5),PGBL_BENEFICIO,0))</f>
        <v>0</v>
      </c>
      <c r="H245" s="180" t="n">
        <f aca="false">G245*$B$24</f>
        <v>0</v>
      </c>
      <c r="I245" s="180" t="n">
        <f aca="false">F245*$B$19</f>
        <v>7775.96892322181</v>
      </c>
      <c r="J245" s="180" t="n">
        <f aca="false">F245*$B$22</f>
        <v>136.581631559643</v>
      </c>
      <c r="K245" s="180" t="n">
        <f aca="false">$B$23*MAX(0,I245-F245*$B$18)</f>
        <v>0</v>
      </c>
      <c r="L245" s="180" t="n">
        <f aca="false">IF(AND($B$27=1,OR(MONTH($B245)=5,MONTH($B245)=11)),MAX(0,$B$28*MAX(0,(F245+I245-J245-K245+G245-H245)+O244-N245)-O244),0)</f>
        <v>0</v>
      </c>
      <c r="M245" s="181" t="n">
        <f aca="false">F245+I245-J245-K245+G245-H245-L245</f>
        <v>827129.176649522</v>
      </c>
      <c r="N245" s="180" t="n">
        <f aca="false">N244+G245-H245</f>
        <v>150000</v>
      </c>
      <c r="O245" s="180" t="n">
        <f aca="false">O244+L245</f>
        <v>0</v>
      </c>
      <c r="P245" s="180" t="n">
        <f aca="false">M245+O245-N245</f>
        <v>677129.176649522</v>
      </c>
      <c r="Q245" s="180" t="n">
        <f aca="false">MAX(0,IFERROR(INDEX(TAB_IR,MATCH($C245,TAB_IR_DIAS,1),MATCH($B$8,TAB_IR_REGIMES,0)),0)*IF($B$26=2,M245,MAX(0,P245))-O245)</f>
        <v>101569.376497428</v>
      </c>
      <c r="R245" s="181" t="n">
        <f aca="false">MAX(0,M245-Q245-M245*$B$25)</f>
        <v>725559.800152094</v>
      </c>
      <c r="S245" s="180" t="n">
        <f aca="false">R245/$D245</f>
        <v>397644.832689823</v>
      </c>
      <c r="U245" s="180" t="n">
        <f aca="false">AB244</f>
        <v>643612.154368723</v>
      </c>
      <c r="V245" s="180" t="n">
        <f aca="false">IF($C$9=0,0,IF($A245&gt;IN_PRAZO,0,IF(APORTE_CORRIGIDO="Sim",IN_APORTE*$D245,IN_APORTE))+IF(AND($C$35=1,PGBL_REINVESTE="Sim",$A245&gt;=13,$A245&lt;=IN_PRAZO,MONTH($B245)=5),PGBL_BENEFICIO,0))</f>
        <v>0</v>
      </c>
      <c r="W245" s="180" t="n">
        <f aca="false">V245*$C$24</f>
        <v>0</v>
      </c>
      <c r="X245" s="180" t="n">
        <f aca="false">U245*$C$19</f>
        <v>5250.08944005552</v>
      </c>
      <c r="Y245" s="180" t="n">
        <f aca="false">U245*$C$22</f>
        <v>107.268692394787</v>
      </c>
      <c r="Z245" s="180" t="n">
        <f aca="false">$C$23*MAX(0,X245-U245*$C$18)</f>
        <v>0</v>
      </c>
      <c r="AA245" s="180" t="n">
        <f aca="false">IF(AND($C$27=1,OR(MONTH($B245)=5,MONTH($B245)=11)),MAX(0,$C$28*MAX(0,(U245+X245-Y245-Z245+V245-W245)+AD244-AC245)-AD244),0)</f>
        <v>0</v>
      </c>
      <c r="AB245" s="181" t="n">
        <f aca="false">U245+X245-Y245-Z245+V245-W245-AA245</f>
        <v>648754.975116384</v>
      </c>
      <c r="AC245" s="180" t="n">
        <f aca="false">AC244+V245-W245</f>
        <v>150000</v>
      </c>
      <c r="AD245" s="180" t="n">
        <f aca="false">AD244+AA245</f>
        <v>0</v>
      </c>
      <c r="AE245" s="180" t="n">
        <f aca="false">AB245+AD245-AC245</f>
        <v>498754.975116384</v>
      </c>
      <c r="AF245" s="180" t="n">
        <f aca="false">MAX(0,IFERROR(INDEX(TAB_IR,MATCH($C245,TAB_IR_DIAS,1),MATCH($C$8,TAB_IR_REGIMES,0)),0)*IF($C$26=2,AB245,MAX(0,AE245))-AD245)</f>
        <v>74813.2462674576</v>
      </c>
      <c r="AG245" s="181" t="n">
        <f aca="false">MAX(0,AB245-AF245-AB245*$C$25)</f>
        <v>573941.728848926</v>
      </c>
      <c r="AH245" s="180" t="n">
        <f aca="false">AG245/$D245</f>
        <v>314550.175869719</v>
      </c>
      <c r="AJ245" s="180" t="n">
        <f aca="false">AQ244</f>
        <v>533034.209602528</v>
      </c>
      <c r="AK245" s="180" t="n">
        <f aca="false">IF($D$9=0,0,IF($A245&gt;IN_PRAZO,0,IF(APORTE_CORRIGIDO="Sim",IN_APORTE*$D245,IN_APORTE))+IF(AND($D$35=1,PGBL_REINVESTE="Sim",$A245&gt;=13,$A245&lt;=IN_PRAZO,MONTH($B245)=5),PGBL_BENEFICIO,0))</f>
        <v>0</v>
      </c>
      <c r="AL245" s="180" t="n">
        <f aca="false">AK245*$D$24</f>
        <v>0</v>
      </c>
      <c r="AM245" s="180" t="n">
        <f aca="false">AJ245*$D$19</f>
        <v>4791.28302716137</v>
      </c>
      <c r="AN245" s="180" t="n">
        <f aca="false">AJ245*$D$22</f>
        <v>444.195174668773</v>
      </c>
      <c r="AO245" s="180" t="n">
        <f aca="false">$D$23*MAX(0,AM245-AJ245*$D$18)</f>
        <v>0</v>
      </c>
      <c r="AP245" s="180" t="n">
        <f aca="false">IF(AND($D$27=1,OR(MONTH($B245)=5,MONTH($B245)=11)),MAX(0,$D$28*MAX(0,(AJ245+AM245-AN245-AO245+AK245-AL245)+AS244-AR245)-AS244),0)</f>
        <v>0</v>
      </c>
      <c r="AQ245" s="181" t="n">
        <f aca="false">AJ245+AM245-AN245-AO245+AK245-AL245-AP245</f>
        <v>537381.297455021</v>
      </c>
      <c r="AR245" s="180" t="n">
        <f aca="false">AR244+AK245-AL245</f>
        <v>150000</v>
      </c>
      <c r="AS245" s="180" t="n">
        <f aca="false">AS244+AP245</f>
        <v>67594.2722827991</v>
      </c>
      <c r="AT245" s="180" t="n">
        <f aca="false">AQ245+AS245-AR245</f>
        <v>454975.56973782</v>
      </c>
      <c r="AU245" s="180" t="n">
        <f aca="false">MAX(0,IFERROR(INDEX(TAB_IR,MATCH($C245,TAB_IR_DIAS,1),MATCH($D$8,TAB_IR_REGIMES,0)),0)*IF($D$26=2,AQ245,MAX(0,AT245))-AS245)</f>
        <v>652.06317787389</v>
      </c>
      <c r="AV245" s="181" t="n">
        <f aca="false">MAX(0,AQ245-AU245-AQ245*$D$25)</f>
        <v>536729.234277147</v>
      </c>
      <c r="AW245" s="180" t="n">
        <f aca="false">AV245/$D245</f>
        <v>294155.776710801</v>
      </c>
      <c r="AY245" s="180" t="n">
        <f aca="false">BF244</f>
        <v>710942.921309455</v>
      </c>
      <c r="AZ245" s="180" t="n">
        <f aca="false">IF($E$9=0,0,IF($A245&gt;IN_PRAZO,0,IF(APORTE_CORRIGIDO="Sim",IN_APORTE*$D245,IN_APORTE))+IF(AND($E$35=1,PGBL_REINVESTE="Sim",$A245&gt;=13,$A245&lt;=IN_PRAZO,MONTH($B245)=5),PGBL_BENEFICIO,0))</f>
        <v>0</v>
      </c>
      <c r="BA245" s="180" t="n">
        <f aca="false">AZ245*$E$24</f>
        <v>0</v>
      </c>
      <c r="BB245" s="180" t="n">
        <f aca="false">AY245*$E$19</f>
        <v>6959.23921524646</v>
      </c>
      <c r="BC245" s="180" t="n">
        <f aca="false">AY245*$E$22</f>
        <v>888.678651636819</v>
      </c>
      <c r="BD245" s="180" t="n">
        <f aca="false">$E$23*MAX(0,BB245-AY245*$E$18)</f>
        <v>0</v>
      </c>
      <c r="BE245" s="180" t="n">
        <f aca="false">IF(AND($E$27=1,OR(MONTH($B245)=5,MONTH($B245)=11)),MAX(0,$E$28*MAX(0,(AY245+BB245-BC245-BD245+AZ245-BA245)+BH244-BG245)-BH244),0)</f>
        <v>0</v>
      </c>
      <c r="BF245" s="181" t="n">
        <f aca="false">AY245+BB245-BC245-BD245+AZ245-BA245-BE245</f>
        <v>717013.481873065</v>
      </c>
      <c r="BG245" s="180" t="n">
        <f aca="false">BG244+AZ245-BA245</f>
        <v>150000</v>
      </c>
      <c r="BH245" s="180" t="n">
        <f aca="false">BH244+BE245</f>
        <v>0</v>
      </c>
      <c r="BI245" s="180" t="n">
        <f aca="false">BF245+BH245-BG245</f>
        <v>567013.481873065</v>
      </c>
      <c r="BJ245" s="180" t="n">
        <f aca="false">MAX(0,IFERROR(INDEX(TAB_IR,MATCH($C245,TAB_IR_DIAS,1),MATCH($E$8,TAB_IR_REGIMES,0)),0)*IF($E$26=2,BF245,MAX(0,BI245))-BH245)</f>
        <v>56701.3481873065</v>
      </c>
      <c r="BK245" s="181" t="n">
        <f aca="false">MAX(0,BF245-BJ245-BF245*$E$25)</f>
        <v>660312.133685758</v>
      </c>
      <c r="BL245" s="180" t="n">
        <f aca="false">BK245/$D245</f>
        <v>361885.688633098</v>
      </c>
      <c r="BN245" s="180" t="n">
        <f aca="false">BU244</f>
        <v>710942.921309455</v>
      </c>
      <c r="BO245" s="180" t="n">
        <f aca="false">IF($F$9=0,0,IF($A245&gt;IN_PRAZO,0,IF(APORTE_CORRIGIDO="Sim",IN_APORTE*$D245,IN_APORTE))+IF(AND($F$35=1,PGBL_REINVESTE="Sim",$A245&gt;=13,$A245&lt;=IN_PRAZO,MONTH($B245)=5),PGBL_BENEFICIO,0))</f>
        <v>0</v>
      </c>
      <c r="BP245" s="180" t="n">
        <f aca="false">BO245*$F$24</f>
        <v>0</v>
      </c>
      <c r="BQ245" s="180" t="n">
        <f aca="false">BN245*$F$19</f>
        <v>6959.23921524646</v>
      </c>
      <c r="BR245" s="180" t="n">
        <f aca="false">BN245*$F$22</f>
        <v>888.678651636819</v>
      </c>
      <c r="BS245" s="180" t="n">
        <f aca="false">$F$23*MAX(0,BQ245-BN245*$F$18)</f>
        <v>0</v>
      </c>
      <c r="BT245" s="180" t="n">
        <f aca="false">IF(AND($F$27=1,OR(MONTH($B245)=5,MONTH($B245)=11)),MAX(0,$F$28*MAX(0,(BN245+BQ245-BR245-BS245+BO245-BP245)+BW244-BV245)-BW244),0)</f>
        <v>0</v>
      </c>
      <c r="BU245" s="181" t="n">
        <f aca="false">BN245+BQ245-BR245-BS245+BO245-BP245-BT245</f>
        <v>717013.481873065</v>
      </c>
      <c r="BV245" s="180" t="n">
        <f aca="false">BV244+BO245-BP245</f>
        <v>150000</v>
      </c>
      <c r="BW245" s="180" t="n">
        <f aca="false">BW244+BT245</f>
        <v>0</v>
      </c>
      <c r="BX245" s="180" t="n">
        <f aca="false">BU245+BW245-BV245</f>
        <v>567013.481873065</v>
      </c>
      <c r="BY245" s="180" t="n">
        <f aca="false">MAX(0,IFERROR(INDEX(TAB_IR,MATCH($C245,TAB_IR_DIAS,1),MATCH($F$8,TAB_IR_REGIMES,0)),0)*IF($F$26=2,BU245,MAX(0,BX245))-BW245)</f>
        <v>71701.3481873065</v>
      </c>
      <c r="BZ245" s="181" t="n">
        <f aca="false">MAX(0,BU245-BY245-BU245*$F$25)</f>
        <v>645312.133685758</v>
      </c>
      <c r="CA245" s="180" t="n">
        <f aca="false">BZ245/$D245</f>
        <v>353664.901746756</v>
      </c>
      <c r="CC245" s="180" t="n">
        <f aca="false">CJ244</f>
        <v>468424.273156473</v>
      </c>
      <c r="CD245" s="180" t="n">
        <f aca="false">IF($G$9=0,0,IF($A245&gt;IN_PRAZO,0,IF(APORTE_CORRIGIDO="Sim",IN_APORTE*$D245,IN_APORTE))+IF(AND($G$35=1,PGBL_REINVESTE="Sim",$A245&gt;=13,$A245&lt;=IN_PRAZO,MONTH($B245)=5),PGBL_BENEFICIO,0))</f>
        <v>0</v>
      </c>
      <c r="CE245" s="180" t="n">
        <f aca="false">CD245*$G$24</f>
        <v>0</v>
      </c>
      <c r="CF245" s="180" t="n">
        <f aca="false">CC245*$G$19</f>
        <v>3821.04239839382</v>
      </c>
      <c r="CG245" s="180" t="n">
        <f aca="false">CC245*$G$22</f>
        <v>390.353560963727</v>
      </c>
      <c r="CH245" s="180" t="n">
        <f aca="false">$G$23*MAX(0,CF245-CC245*$G$18)</f>
        <v>0</v>
      </c>
      <c r="CI245" s="180" t="n">
        <f aca="false">IF(AND($G$27=1,OR(MONTH($B245)=5,MONTH($B245)=11)),MAX(0,$G$28*MAX(0,(CC245+CF245-CG245-CH245+CD245-CE245)+CL244-CK245)-CL244),0)</f>
        <v>0</v>
      </c>
      <c r="CJ245" s="181" t="n">
        <f aca="false">CC245+CF245-CG245-CH245+CD245-CE245-CI245</f>
        <v>471854.961993903</v>
      </c>
      <c r="CK245" s="180" t="n">
        <f aca="false">CK244+CD245-CE245</f>
        <v>150000</v>
      </c>
      <c r="CL245" s="180" t="n">
        <f aca="false">CL244+CI245</f>
        <v>56192.5187923187</v>
      </c>
      <c r="CM245" s="180" t="n">
        <f aca="false">CJ245+CL245-CK245</f>
        <v>378047.480786222</v>
      </c>
      <c r="CN245" s="180" t="n">
        <f aca="false">MAX(0,IFERROR(INDEX(TAB_IR,MATCH($C245,TAB_IR_DIAS,1),MATCH($G$8,TAB_IR_REGIMES,0)),0)*IF($G$26=2,CJ245,MAX(0,CM245))-CL245)</f>
        <v>514.603325614509</v>
      </c>
      <c r="CO245" s="181" t="n">
        <f aca="false">MAX(0,CJ245-CN245-CJ245*$G$25)</f>
        <v>471340.358668288</v>
      </c>
      <c r="CP245" s="180" t="n">
        <f aca="false">CO245/$D245</f>
        <v>258319.242636271</v>
      </c>
    </row>
    <row r="246" customFormat="false" ht="12" hidden="false" customHeight="true" outlineLevel="0" collapsed="false">
      <c r="A246" s="177" t="n">
        <v>185</v>
      </c>
      <c r="B246" s="178" t="n">
        <f aca="false">EDATE(DATA_INICIO,$A246)</f>
        <v>51889</v>
      </c>
      <c r="C246" s="177" t="n">
        <f aca="false">$A246*30</f>
        <v>5550</v>
      </c>
      <c r="D246" s="179" t="n">
        <f aca="false">(1+IPCA_CENARIO)^($A246/12)</f>
        <v>1.83061625423417</v>
      </c>
      <c r="F246" s="180" t="n">
        <f aca="false">M245</f>
        <v>827129.176649522</v>
      </c>
      <c r="G246" s="180" t="n">
        <f aca="false">IF($B$9=0,0,IF($A246&gt;IN_PRAZO,0,IF(APORTE_CORRIGIDO="Sim",IN_APORTE*$D246,IN_APORTE))+IF(AND($B$35=1,PGBL_REINVESTE="Sim",$A246&gt;=13,$A246&lt;=IN_PRAZO,MONTH($B246)=5),PGBL_BENEFICIO,0))</f>
        <v>0</v>
      </c>
      <c r="H246" s="180" t="n">
        <f aca="false">G246*$B$24</f>
        <v>0</v>
      </c>
      <c r="I246" s="180" t="n">
        <f aca="false">F246*$B$19</f>
        <v>7848.45748737948</v>
      </c>
      <c r="J246" s="180" t="n">
        <f aca="false">F246*$B$22</f>
        <v>137.85486277492</v>
      </c>
      <c r="K246" s="180" t="n">
        <f aca="false">$B$23*MAX(0,I246-F246*$B$18)</f>
        <v>0</v>
      </c>
      <c r="L246" s="180" t="n">
        <f aca="false">IF(AND($B$27=1,OR(MONTH($B246)=5,MONTH($B246)=11)),MAX(0,$B$28*MAX(0,(F246+I246-J246-K246+G246-H246)+O245-N246)-O245),0)</f>
        <v>0</v>
      </c>
      <c r="M246" s="181" t="n">
        <f aca="false">F246+I246-J246-K246+G246-H246-L246</f>
        <v>834839.779274127</v>
      </c>
      <c r="N246" s="180" t="n">
        <f aca="false">N245+G246-H246</f>
        <v>150000</v>
      </c>
      <c r="O246" s="180" t="n">
        <f aca="false">O245+L246</f>
        <v>0</v>
      </c>
      <c r="P246" s="180" t="n">
        <f aca="false">M246+O246-N246</f>
        <v>684839.779274127</v>
      </c>
      <c r="Q246" s="180" t="n">
        <f aca="false">MAX(0,IFERROR(INDEX(TAB_IR,MATCH($C246,TAB_IR_DIAS,1),MATCH($B$8,TAB_IR_REGIMES,0)),0)*IF($B$26=2,M246,MAX(0,P246))-O246)</f>
        <v>102725.966891119</v>
      </c>
      <c r="R246" s="181" t="n">
        <f aca="false">MAX(0,M246-Q246-M246*$B$25)</f>
        <v>732113.812383008</v>
      </c>
      <c r="S246" s="180" t="n">
        <f aca="false">R246/$D246</f>
        <v>399927.516588825</v>
      </c>
      <c r="U246" s="180" t="n">
        <f aca="false">AB245</f>
        <v>648754.975116384</v>
      </c>
      <c r="V246" s="180" t="n">
        <f aca="false">IF($C$9=0,0,IF($A246&gt;IN_PRAZO,0,IF(APORTE_CORRIGIDO="Sim",IN_APORTE*$D246,IN_APORTE))+IF(AND($C$35=1,PGBL_REINVESTE="Sim",$A246&gt;=13,$A246&lt;=IN_PRAZO,MONTH($B246)=5),PGBL_BENEFICIO,0))</f>
        <v>0</v>
      </c>
      <c r="W246" s="180" t="n">
        <f aca="false">V246*$C$24</f>
        <v>0</v>
      </c>
      <c r="X246" s="180" t="n">
        <f aca="false">U246*$C$19</f>
        <v>5292.04058829925</v>
      </c>
      <c r="Y246" s="180" t="n">
        <f aca="false">U246*$C$22</f>
        <v>108.125829186064</v>
      </c>
      <c r="Z246" s="180" t="n">
        <f aca="false">$C$23*MAX(0,X246-U246*$C$18)</f>
        <v>0</v>
      </c>
      <c r="AA246" s="180" t="n">
        <f aca="false">IF(AND($C$27=1,OR(MONTH($B246)=5,MONTH($B246)=11)),MAX(0,$C$28*MAX(0,(U246+X246-Y246-Z246+V246-W246)+AD245-AC246)-AD245),0)</f>
        <v>0</v>
      </c>
      <c r="AB246" s="181" t="n">
        <f aca="false">U246+X246-Y246-Z246+V246-W246-AA246</f>
        <v>653938.889875497</v>
      </c>
      <c r="AC246" s="180" t="n">
        <f aca="false">AC245+V246-W246</f>
        <v>150000</v>
      </c>
      <c r="AD246" s="180" t="n">
        <f aca="false">AD245+AA246</f>
        <v>0</v>
      </c>
      <c r="AE246" s="180" t="n">
        <f aca="false">AB246+AD246-AC246</f>
        <v>503938.889875497</v>
      </c>
      <c r="AF246" s="180" t="n">
        <f aca="false">MAX(0,IFERROR(INDEX(TAB_IR,MATCH($C246,TAB_IR_DIAS,1),MATCH($C$8,TAB_IR_REGIMES,0)),0)*IF($C$26=2,AB246,MAX(0,AE246))-AD246)</f>
        <v>75590.8334813246</v>
      </c>
      <c r="AG246" s="181" t="n">
        <f aca="false">MAX(0,AB246-AF246-AB246*$C$25)</f>
        <v>578348.056394173</v>
      </c>
      <c r="AH246" s="180" t="n">
        <f aca="false">AG246/$D246</f>
        <v>315930.799290386</v>
      </c>
      <c r="AJ246" s="180" t="n">
        <f aca="false">AQ245</f>
        <v>537381.297455021</v>
      </c>
      <c r="AK246" s="180" t="n">
        <f aca="false">IF($D$9=0,0,IF($A246&gt;IN_PRAZO,0,IF(APORTE_CORRIGIDO="Sim",IN_APORTE*$D246,IN_APORTE))+IF(AND($D$35=1,PGBL_REINVESTE="Sim",$A246&gt;=13,$A246&lt;=IN_PRAZO,MONTH($B246)=5),PGBL_BENEFICIO,0))</f>
        <v>0</v>
      </c>
      <c r="AL246" s="180" t="n">
        <f aca="false">AK246*$D$24</f>
        <v>0</v>
      </c>
      <c r="AM246" s="180" t="n">
        <f aca="false">AJ246*$D$19</f>
        <v>4830.35768291519</v>
      </c>
      <c r="AN246" s="180" t="n">
        <f aca="false">AJ246*$D$22</f>
        <v>447.817747879184</v>
      </c>
      <c r="AO246" s="180" t="n">
        <f aca="false">$D$23*MAX(0,AM246-AJ246*$D$18)</f>
        <v>0</v>
      </c>
      <c r="AP246" s="180" t="n">
        <f aca="false">IF(AND($D$27=1,OR(MONTH($B246)=5,MONTH($B246)=11)),MAX(0,$D$28*MAX(0,(AJ246+AM246-AN246-AO246+AK246-AL246)+AS245-AR246)-AS245),0)</f>
        <v>0</v>
      </c>
      <c r="AQ246" s="181" t="n">
        <f aca="false">AJ246+AM246-AN246-AO246+AK246-AL246-AP246</f>
        <v>541763.837390057</v>
      </c>
      <c r="AR246" s="180" t="n">
        <f aca="false">AR245+AK246-AL246</f>
        <v>150000</v>
      </c>
      <c r="AS246" s="180" t="n">
        <f aca="false">AS245+AP246</f>
        <v>67594.2722827991</v>
      </c>
      <c r="AT246" s="180" t="n">
        <f aca="false">AQ246+AS246-AR246</f>
        <v>459358.109672856</v>
      </c>
      <c r="AU246" s="180" t="n">
        <f aca="false">MAX(0,IFERROR(INDEX(TAB_IR,MATCH($C246,TAB_IR_DIAS,1),MATCH($D$8,TAB_IR_REGIMES,0)),0)*IF($D$26=2,AQ246,MAX(0,AT246))-AS246)</f>
        <v>1309.44416812931</v>
      </c>
      <c r="AV246" s="181" t="n">
        <f aca="false">MAX(0,AQ246-AU246-AQ246*$D$25)</f>
        <v>540454.393221927</v>
      </c>
      <c r="AW246" s="180" t="n">
        <f aca="false">AV246/$D246</f>
        <v>295230.850251587</v>
      </c>
      <c r="AY246" s="180" t="n">
        <f aca="false">BF245</f>
        <v>717013.481873065</v>
      </c>
      <c r="AZ246" s="180" t="n">
        <f aca="false">IF($E$9=0,0,IF($A246&gt;IN_PRAZO,0,IF(APORTE_CORRIGIDO="Sim",IN_APORTE*$D246,IN_APORTE))+IF(AND($E$35=1,PGBL_REINVESTE="Sim",$A246&gt;=13,$A246&lt;=IN_PRAZO,MONTH($B246)=5),PGBL_BENEFICIO,0))</f>
        <v>0</v>
      </c>
      <c r="BA246" s="180" t="n">
        <f aca="false">AZ246*$E$24</f>
        <v>0</v>
      </c>
      <c r="BB246" s="180" t="n">
        <f aca="false">AY246*$E$19</f>
        <v>7018.66238673679</v>
      </c>
      <c r="BC246" s="180" t="n">
        <f aca="false">AY246*$E$22</f>
        <v>896.266852341331</v>
      </c>
      <c r="BD246" s="180" t="n">
        <f aca="false">$E$23*MAX(0,BB246-AY246*$E$18)</f>
        <v>0</v>
      </c>
      <c r="BE246" s="180" t="n">
        <f aca="false">IF(AND($E$27=1,OR(MONTH($B246)=5,MONTH($B246)=11)),MAX(0,$E$28*MAX(0,(AY246+BB246-BC246-BD246+AZ246-BA246)+BH245-BG246)-BH245),0)</f>
        <v>0</v>
      </c>
      <c r="BF246" s="181" t="n">
        <f aca="false">AY246+BB246-BC246-BD246+AZ246-BA246-BE246</f>
        <v>723135.87740746</v>
      </c>
      <c r="BG246" s="180" t="n">
        <f aca="false">BG245+AZ246-BA246</f>
        <v>150000</v>
      </c>
      <c r="BH246" s="180" t="n">
        <f aca="false">BH245+BE246</f>
        <v>0</v>
      </c>
      <c r="BI246" s="180" t="n">
        <f aca="false">BF246+BH246-BG246</f>
        <v>573135.87740746</v>
      </c>
      <c r="BJ246" s="180" t="n">
        <f aca="false">MAX(0,IFERROR(INDEX(TAB_IR,MATCH($C246,TAB_IR_DIAS,1),MATCH($E$8,TAB_IR_REGIMES,0)),0)*IF($E$26=2,BF246,MAX(0,BI246))-BH246)</f>
        <v>57313.587740746</v>
      </c>
      <c r="BK246" s="181" t="n">
        <f aca="false">MAX(0,BF246-BJ246-BF246*$E$25)</f>
        <v>665822.289666714</v>
      </c>
      <c r="BL246" s="180" t="n">
        <f aca="false">BK246/$D246</f>
        <v>363714.835442264</v>
      </c>
      <c r="BN246" s="180" t="n">
        <f aca="false">BU245</f>
        <v>717013.481873065</v>
      </c>
      <c r="BO246" s="180" t="n">
        <f aca="false">IF($F$9=0,0,IF($A246&gt;IN_PRAZO,0,IF(APORTE_CORRIGIDO="Sim",IN_APORTE*$D246,IN_APORTE))+IF(AND($F$35=1,PGBL_REINVESTE="Sim",$A246&gt;=13,$A246&lt;=IN_PRAZO,MONTH($B246)=5),PGBL_BENEFICIO,0))</f>
        <v>0</v>
      </c>
      <c r="BP246" s="180" t="n">
        <f aca="false">BO246*$F$24</f>
        <v>0</v>
      </c>
      <c r="BQ246" s="180" t="n">
        <f aca="false">BN246*$F$19</f>
        <v>7018.66238673679</v>
      </c>
      <c r="BR246" s="180" t="n">
        <f aca="false">BN246*$F$22</f>
        <v>896.266852341331</v>
      </c>
      <c r="BS246" s="180" t="n">
        <f aca="false">$F$23*MAX(0,BQ246-BN246*$F$18)</f>
        <v>0</v>
      </c>
      <c r="BT246" s="180" t="n">
        <f aca="false">IF(AND($F$27=1,OR(MONTH($B246)=5,MONTH($B246)=11)),MAX(0,$F$28*MAX(0,(BN246+BQ246-BR246-BS246+BO246-BP246)+BW245-BV246)-BW245),0)</f>
        <v>0</v>
      </c>
      <c r="BU246" s="181" t="n">
        <f aca="false">BN246+BQ246-BR246-BS246+BO246-BP246-BT246</f>
        <v>723135.87740746</v>
      </c>
      <c r="BV246" s="180" t="n">
        <f aca="false">BV245+BO246-BP246</f>
        <v>150000</v>
      </c>
      <c r="BW246" s="180" t="n">
        <f aca="false">BW245+BT246</f>
        <v>0</v>
      </c>
      <c r="BX246" s="180" t="n">
        <f aca="false">BU246+BW246-BV246</f>
        <v>573135.87740746</v>
      </c>
      <c r="BY246" s="180" t="n">
        <f aca="false">MAX(0,IFERROR(INDEX(TAB_IR,MATCH($C246,TAB_IR_DIAS,1),MATCH($F$8,TAB_IR_REGIMES,0)),0)*IF($F$26=2,BU246,MAX(0,BX246))-BW246)</f>
        <v>72313.587740746</v>
      </c>
      <c r="BZ246" s="181" t="n">
        <f aca="false">MAX(0,BU246-BY246-BU246*$F$25)</f>
        <v>650822.289666714</v>
      </c>
      <c r="CA246" s="180" t="n">
        <f aca="false">BZ246/$D246</f>
        <v>355520.873455253</v>
      </c>
      <c r="CC246" s="180" t="n">
        <f aca="false">CJ245</f>
        <v>471854.961993903</v>
      </c>
      <c r="CD246" s="180" t="n">
        <f aca="false">IF($G$9=0,0,IF($A246&gt;IN_PRAZO,0,IF(APORTE_CORRIGIDO="Sim",IN_APORTE*$D246,IN_APORTE))+IF(AND($G$35=1,PGBL_REINVESTE="Sim",$A246&gt;=13,$A246&lt;=IN_PRAZO,MONTH($B246)=5),PGBL_BENEFICIO,0))</f>
        <v>0</v>
      </c>
      <c r="CE246" s="180" t="n">
        <f aca="false">CD246*$G$24</f>
        <v>0</v>
      </c>
      <c r="CF246" s="180" t="n">
        <f aca="false">CC246*$G$19</f>
        <v>3849.02730066027</v>
      </c>
      <c r="CG246" s="180" t="n">
        <f aca="false">CC246*$G$22</f>
        <v>393.212468328253</v>
      </c>
      <c r="CH246" s="180" t="n">
        <f aca="false">$G$23*MAX(0,CF246-CC246*$G$18)</f>
        <v>0</v>
      </c>
      <c r="CI246" s="180" t="n">
        <f aca="false">IF(AND($G$27=1,OR(MONTH($B246)=5,MONTH($B246)=11)),MAX(0,$G$28*MAX(0,(CC246+CF246-CG246-CH246+CD246-CE246)+CL245-CK246)-CL245),0)</f>
        <v>0</v>
      </c>
      <c r="CJ246" s="181" t="n">
        <f aca="false">CC246+CF246-CG246-CH246+CD246-CE246-CI246</f>
        <v>475310.776826235</v>
      </c>
      <c r="CK246" s="180" t="n">
        <f aca="false">CK245+CD246-CE246</f>
        <v>150000</v>
      </c>
      <c r="CL246" s="180" t="n">
        <f aca="false">CL245+CI246</f>
        <v>56192.5187923187</v>
      </c>
      <c r="CM246" s="180" t="n">
        <f aca="false">CJ246+CL246-CK246</f>
        <v>381503.295618554</v>
      </c>
      <c r="CN246" s="180" t="n">
        <f aca="false">MAX(0,IFERROR(INDEX(TAB_IR,MATCH($C246,TAB_IR_DIAS,1),MATCH($G$8,TAB_IR_REGIMES,0)),0)*IF($G$26=2,CJ246,MAX(0,CM246))-CL246)</f>
        <v>1032.97555046433</v>
      </c>
      <c r="CO246" s="181" t="n">
        <f aca="false">MAX(0,CJ246-CN246-CJ246*$G$25)</f>
        <v>474277.801275771</v>
      </c>
      <c r="CP246" s="180" t="n">
        <f aca="false">CO246/$D246</f>
        <v>259080.951662468</v>
      </c>
    </row>
    <row r="247" customFormat="false" ht="12" hidden="false" customHeight="true" outlineLevel="0" collapsed="false">
      <c r="A247" s="177" t="n">
        <v>186</v>
      </c>
      <c r="B247" s="178" t="n">
        <f aca="false">EDATE(DATA_INICIO,$A247)</f>
        <v>51920</v>
      </c>
      <c r="C247" s="177" t="n">
        <f aca="false">$A247*30</f>
        <v>5580</v>
      </c>
      <c r="D247" s="179" t="n">
        <f aca="false">(1+IPCA_CENARIO)^($A247/12)</f>
        <v>1.83660921549159</v>
      </c>
      <c r="F247" s="180" t="n">
        <f aca="false">M246</f>
        <v>834839.779274127</v>
      </c>
      <c r="G247" s="180" t="n">
        <f aca="false">IF($B$9=0,0,IF($A247&gt;IN_PRAZO,0,IF(APORTE_CORRIGIDO="Sim",IN_APORTE*$D247,IN_APORTE))+IF(AND($B$35=1,PGBL_REINVESTE="Sim",$A247&gt;=13,$A247&lt;=IN_PRAZO,MONTH($B247)=5),PGBL_BENEFICIO,0))</f>
        <v>0</v>
      </c>
      <c r="H247" s="180" t="n">
        <f aca="false">G247*$B$24</f>
        <v>0</v>
      </c>
      <c r="I247" s="180" t="n">
        <f aca="false">F247*$B$19</f>
        <v>7921.6217990852</v>
      </c>
      <c r="J247" s="180" t="n">
        <f aca="false">F247*$B$22</f>
        <v>139.139963212354</v>
      </c>
      <c r="K247" s="180" t="n">
        <f aca="false">$B$23*MAX(0,I247-F247*$B$18)</f>
        <v>0</v>
      </c>
      <c r="L247" s="180" t="n">
        <f aca="false">IF(AND($B$27=1,OR(MONTH($B247)=5,MONTH($B247)=11)),MAX(0,$B$28*MAX(0,(F247+I247-J247-K247+G247-H247)+O246-N247)-O246),0)</f>
        <v>0</v>
      </c>
      <c r="M247" s="181" t="n">
        <f aca="false">F247+I247-J247-K247+G247-H247-L247</f>
        <v>842622.261109999</v>
      </c>
      <c r="N247" s="180" t="n">
        <f aca="false">N246+G247-H247</f>
        <v>150000</v>
      </c>
      <c r="O247" s="180" t="n">
        <f aca="false">O246+L247</f>
        <v>0</v>
      </c>
      <c r="P247" s="180" t="n">
        <f aca="false">M247+O247-N247</f>
        <v>692622.261109999</v>
      </c>
      <c r="Q247" s="180" t="n">
        <f aca="false">MAX(0,IFERROR(INDEX(TAB_IR,MATCH($C247,TAB_IR_DIAS,1),MATCH($B$8,TAB_IR_REGIMES,0)),0)*IF($B$26=2,M247,MAX(0,P247))-O247)</f>
        <v>103893.3391665</v>
      </c>
      <c r="R247" s="181" t="n">
        <f aca="false">MAX(0,M247-Q247-M247*$B$25)</f>
        <v>738728.9219435</v>
      </c>
      <c r="S247" s="180" t="n">
        <f aca="false">R247/$D247</f>
        <v>402224.335864377</v>
      </c>
      <c r="U247" s="180" t="n">
        <f aca="false">AB246</f>
        <v>653938.889875497</v>
      </c>
      <c r="V247" s="180" t="n">
        <f aca="false">IF($C$9=0,0,IF($A247&gt;IN_PRAZO,0,IF(APORTE_CORRIGIDO="Sim",IN_APORTE*$D247,IN_APORTE))+IF(AND($C$35=1,PGBL_REINVESTE="Sim",$A247&gt;=13,$A247&lt;=IN_PRAZO,MONTH($B247)=5),PGBL_BENEFICIO,0))</f>
        <v>0</v>
      </c>
      <c r="W247" s="180" t="n">
        <f aca="false">V247*$C$24</f>
        <v>0</v>
      </c>
      <c r="X247" s="180" t="n">
        <f aca="false">U247*$C$19</f>
        <v>5334.3269496587</v>
      </c>
      <c r="Y247" s="180" t="n">
        <f aca="false">U247*$C$22</f>
        <v>108.98981497925</v>
      </c>
      <c r="Z247" s="180" t="n">
        <f aca="false">$C$23*MAX(0,X247-U247*$C$18)</f>
        <v>0</v>
      </c>
      <c r="AA247" s="180" t="n">
        <f aca="false">IF(AND($C$27=1,OR(MONTH($B247)=5,MONTH($B247)=11)),MAX(0,$C$28*MAX(0,(U247+X247-Y247-Z247+V247-W247)+AD246-AC247)-AD246),0)</f>
        <v>0</v>
      </c>
      <c r="AB247" s="181" t="n">
        <f aca="false">U247+X247-Y247-Z247+V247-W247-AA247</f>
        <v>659164.227010177</v>
      </c>
      <c r="AC247" s="180" t="n">
        <f aca="false">AC246+V247-W247</f>
        <v>150000</v>
      </c>
      <c r="AD247" s="180" t="n">
        <f aca="false">AD246+AA247</f>
        <v>0</v>
      </c>
      <c r="AE247" s="180" t="n">
        <f aca="false">AB247+AD247-AC247</f>
        <v>509164.227010177</v>
      </c>
      <c r="AF247" s="180" t="n">
        <f aca="false">MAX(0,IFERROR(INDEX(TAB_IR,MATCH($C247,TAB_IR_DIAS,1),MATCH($C$8,TAB_IR_REGIMES,0)),0)*IF($C$26=2,AB247,MAX(0,AE247))-AD247)</f>
        <v>76374.6340515265</v>
      </c>
      <c r="AG247" s="181" t="n">
        <f aca="false">MAX(0,AB247-AF247-AB247*$C$25)</f>
        <v>582789.59295865</v>
      </c>
      <c r="AH247" s="180" t="n">
        <f aca="false">AG247/$D247</f>
        <v>317318.234082071</v>
      </c>
      <c r="AJ247" s="180" t="n">
        <f aca="false">AQ246</f>
        <v>541763.837390057</v>
      </c>
      <c r="AK247" s="180" t="n">
        <f aca="false">IF($D$9=0,0,IF($A247&gt;IN_PRAZO,0,IF(APORTE_CORRIGIDO="Sim",IN_APORTE*$D247,IN_APORTE))+IF(AND($D$35=1,PGBL_REINVESTE="Sim",$A247&gt;=13,$A247&lt;=IN_PRAZO,MONTH($B247)=5),PGBL_BENEFICIO,0))</f>
        <v>0</v>
      </c>
      <c r="AL247" s="180" t="n">
        <f aca="false">AK247*$D$24</f>
        <v>0</v>
      </c>
      <c r="AM247" s="180" t="n">
        <f aca="false">AJ247*$D$19</f>
        <v>4869.75100669876</v>
      </c>
      <c r="AN247" s="180" t="n">
        <f aca="false">AJ247*$D$22</f>
        <v>451.469864491714</v>
      </c>
      <c r="AO247" s="180" t="n">
        <f aca="false">$D$23*MAX(0,AM247-AJ247*$D$18)</f>
        <v>0</v>
      </c>
      <c r="AP247" s="180" t="n">
        <f aca="false">IF(AND($D$27=1,OR(MONTH($B247)=5,MONTH($B247)=11)),MAX(0,$D$28*MAX(0,(AJ247+AM247-AN247-AO247+AK247-AL247)+AS246-AR247)-AS246),0)</f>
        <v>0</v>
      </c>
      <c r="AQ247" s="181" t="n">
        <f aca="false">AJ247+AM247-AN247-AO247+AK247-AL247-AP247</f>
        <v>546182.118532264</v>
      </c>
      <c r="AR247" s="180" t="n">
        <f aca="false">AR246+AK247-AL247</f>
        <v>150000</v>
      </c>
      <c r="AS247" s="180" t="n">
        <f aca="false">AS246+AP247</f>
        <v>67594.2722827991</v>
      </c>
      <c r="AT247" s="180" t="n">
        <f aca="false">AQ247+AS247-AR247</f>
        <v>463776.390815063</v>
      </c>
      <c r="AU247" s="180" t="n">
        <f aca="false">MAX(0,IFERROR(INDEX(TAB_IR,MATCH($C247,TAB_IR_DIAS,1),MATCH($D$8,TAB_IR_REGIMES,0)),0)*IF($D$26=2,AQ247,MAX(0,AT247))-AS247)</f>
        <v>1972.18633946037</v>
      </c>
      <c r="AV247" s="181" t="n">
        <f aca="false">MAX(0,AQ247-AU247-AQ247*$D$25)</f>
        <v>544209.932192803</v>
      </c>
      <c r="AW247" s="180" t="n">
        <f aca="false">AV247/$D247</f>
        <v>296312.317069115</v>
      </c>
      <c r="AY247" s="180" t="n">
        <f aca="false">BF246</f>
        <v>723135.87740746</v>
      </c>
      <c r="AZ247" s="180" t="n">
        <f aca="false">IF($E$9=0,0,IF($A247&gt;IN_PRAZO,0,IF(APORTE_CORRIGIDO="Sim",IN_APORTE*$D247,IN_APORTE))+IF(AND($E$35=1,PGBL_REINVESTE="Sim",$A247&gt;=13,$A247&lt;=IN_PRAZO,MONTH($B247)=5),PGBL_BENEFICIO,0))</f>
        <v>0</v>
      </c>
      <c r="BA247" s="180" t="n">
        <f aca="false">AZ247*$E$24</f>
        <v>0</v>
      </c>
      <c r="BB247" s="180" t="n">
        <f aca="false">AY247*$E$19</f>
        <v>7078.59295755637</v>
      </c>
      <c r="BC247" s="180" t="n">
        <f aca="false">AY247*$E$22</f>
        <v>903.919846759325</v>
      </c>
      <c r="BD247" s="180" t="n">
        <f aca="false">$E$23*MAX(0,BB247-AY247*$E$18)</f>
        <v>0</v>
      </c>
      <c r="BE247" s="180" t="n">
        <f aca="false">IF(AND($E$27=1,OR(MONTH($B247)=5,MONTH($B247)=11)),MAX(0,$E$28*MAX(0,(AY247+BB247-BC247-BD247+AZ247-BA247)+BH246-BG247)-BH246),0)</f>
        <v>0</v>
      </c>
      <c r="BF247" s="181" t="n">
        <f aca="false">AY247+BB247-BC247-BD247+AZ247-BA247-BE247</f>
        <v>729310.550518257</v>
      </c>
      <c r="BG247" s="180" t="n">
        <f aca="false">BG246+AZ247-BA247</f>
        <v>150000</v>
      </c>
      <c r="BH247" s="180" t="n">
        <f aca="false">BH246+BE247</f>
        <v>0</v>
      </c>
      <c r="BI247" s="180" t="n">
        <f aca="false">BF247+BH247-BG247</f>
        <v>579310.550518257</v>
      </c>
      <c r="BJ247" s="180" t="n">
        <f aca="false">MAX(0,IFERROR(INDEX(TAB_IR,MATCH($C247,TAB_IR_DIAS,1),MATCH($E$8,TAB_IR_REGIMES,0)),0)*IF($E$26=2,BF247,MAX(0,BI247))-BH247)</f>
        <v>57931.0550518257</v>
      </c>
      <c r="BK247" s="181" t="n">
        <f aca="false">MAX(0,BF247-BJ247-BF247*$E$25)</f>
        <v>671379.495466432</v>
      </c>
      <c r="BL247" s="180" t="n">
        <f aca="false">BK247/$D247</f>
        <v>365553.809598373</v>
      </c>
      <c r="BN247" s="180" t="n">
        <f aca="false">BU246</f>
        <v>723135.87740746</v>
      </c>
      <c r="BO247" s="180" t="n">
        <f aca="false">IF($F$9=0,0,IF($A247&gt;IN_PRAZO,0,IF(APORTE_CORRIGIDO="Sim",IN_APORTE*$D247,IN_APORTE))+IF(AND($F$35=1,PGBL_REINVESTE="Sim",$A247&gt;=13,$A247&lt;=IN_PRAZO,MONTH($B247)=5),PGBL_BENEFICIO,0))</f>
        <v>0</v>
      </c>
      <c r="BP247" s="180" t="n">
        <f aca="false">BO247*$F$24</f>
        <v>0</v>
      </c>
      <c r="BQ247" s="180" t="n">
        <f aca="false">BN247*$F$19</f>
        <v>7078.59295755637</v>
      </c>
      <c r="BR247" s="180" t="n">
        <f aca="false">BN247*$F$22</f>
        <v>903.919846759325</v>
      </c>
      <c r="BS247" s="180" t="n">
        <f aca="false">$F$23*MAX(0,BQ247-BN247*$F$18)</f>
        <v>0</v>
      </c>
      <c r="BT247" s="180" t="n">
        <f aca="false">IF(AND($F$27=1,OR(MONTH($B247)=5,MONTH($B247)=11)),MAX(0,$F$28*MAX(0,(BN247+BQ247-BR247-BS247+BO247-BP247)+BW246-BV247)-BW246),0)</f>
        <v>0</v>
      </c>
      <c r="BU247" s="181" t="n">
        <f aca="false">BN247+BQ247-BR247-BS247+BO247-BP247-BT247</f>
        <v>729310.550518257</v>
      </c>
      <c r="BV247" s="180" t="n">
        <f aca="false">BV246+BO247-BP247</f>
        <v>150000</v>
      </c>
      <c r="BW247" s="180" t="n">
        <f aca="false">BW246+BT247</f>
        <v>0</v>
      </c>
      <c r="BX247" s="180" t="n">
        <f aca="false">BU247+BW247-BV247</f>
        <v>579310.550518257</v>
      </c>
      <c r="BY247" s="180" t="n">
        <f aca="false">MAX(0,IFERROR(INDEX(TAB_IR,MATCH($C247,TAB_IR_DIAS,1),MATCH($F$8,TAB_IR_REGIMES,0)),0)*IF($F$26=2,BU247,MAX(0,BX247))-BW247)</f>
        <v>72931.0550518257</v>
      </c>
      <c r="BZ247" s="181" t="n">
        <f aca="false">MAX(0,BU247-BY247-BU247*$F$25)</f>
        <v>656379.495466432</v>
      </c>
      <c r="CA247" s="180" t="n">
        <f aca="false">BZ247/$D247</f>
        <v>357386.584979507</v>
      </c>
      <c r="CC247" s="180" t="n">
        <f aca="false">CJ246</f>
        <v>475310.776826235</v>
      </c>
      <c r="CD247" s="180" t="n">
        <f aca="false">IF($G$9=0,0,IF($A247&gt;IN_PRAZO,0,IF(APORTE_CORRIGIDO="Sim",IN_APORTE*$D247,IN_APORTE))+IF(AND($G$35=1,PGBL_REINVESTE="Sim",$A247&gt;=13,$A247&lt;=IN_PRAZO,MONTH($B247)=5),PGBL_BENEFICIO,0))</f>
        <v>0</v>
      </c>
      <c r="CE247" s="180" t="n">
        <f aca="false">CD247*$G$24</f>
        <v>0</v>
      </c>
      <c r="CF247" s="180" t="n">
        <f aca="false">CC247*$G$19</f>
        <v>3877.21716133158</v>
      </c>
      <c r="CG247" s="180" t="n">
        <f aca="false">CC247*$G$22</f>
        <v>396.092314021863</v>
      </c>
      <c r="CH247" s="180" t="n">
        <f aca="false">$G$23*MAX(0,CF247-CC247*$G$18)</f>
        <v>0</v>
      </c>
      <c r="CI247" s="180" t="n">
        <f aca="false">IF(AND($G$27=1,OR(MONTH($B247)=5,MONTH($B247)=11)),MAX(0,$G$28*MAX(0,(CC247+CF247-CG247-CH247+CD247-CE247)+CL246-CK247)-CL246),0)</f>
        <v>0</v>
      </c>
      <c r="CJ247" s="181" t="n">
        <f aca="false">CC247+CF247-CG247-CH247+CD247-CE247-CI247</f>
        <v>478791.901673545</v>
      </c>
      <c r="CK247" s="180" t="n">
        <f aca="false">CK246+CD247-CE247</f>
        <v>150000</v>
      </c>
      <c r="CL247" s="180" t="n">
        <f aca="false">CL246+CI247</f>
        <v>56192.5187923187</v>
      </c>
      <c r="CM247" s="180" t="n">
        <f aca="false">CJ247+CL247-CK247</f>
        <v>384984.420465863</v>
      </c>
      <c r="CN247" s="180" t="n">
        <f aca="false">MAX(0,IFERROR(INDEX(TAB_IR,MATCH($C247,TAB_IR_DIAS,1),MATCH($G$8,TAB_IR_REGIMES,0)),0)*IF($G$26=2,CJ247,MAX(0,CM247))-CL247)</f>
        <v>1555.14427756077</v>
      </c>
      <c r="CO247" s="181" t="n">
        <f aca="false">MAX(0,CJ247-CN247-CJ247*$G$25)</f>
        <v>477236.757395984</v>
      </c>
      <c r="CP247" s="180" t="n">
        <f aca="false">CO247/$D247</f>
        <v>259846.6529355</v>
      </c>
    </row>
    <row r="248" customFormat="false" ht="12" hidden="false" customHeight="true" outlineLevel="0" collapsed="false">
      <c r="A248" s="177" t="n">
        <v>187</v>
      </c>
      <c r="B248" s="178" t="n">
        <f aca="false">EDATE(DATA_INICIO,$A248)</f>
        <v>51948</v>
      </c>
      <c r="C248" s="177" t="n">
        <f aca="false">$A248*30</f>
        <v>5610</v>
      </c>
      <c r="D248" s="179" t="n">
        <f aca="false">(1+IPCA_CENARIO)^($A248/12)</f>
        <v>1.8426217961447</v>
      </c>
      <c r="F248" s="180" t="n">
        <f aca="false">M247</f>
        <v>842622.261109999</v>
      </c>
      <c r="G248" s="180" t="n">
        <f aca="false">IF($B$9=0,0,IF($A248&gt;IN_PRAZO,0,IF(APORTE_CORRIGIDO="Sim",IN_APORTE*$D248,IN_APORTE))+IF(AND($B$35=1,PGBL_REINVESTE="Sim",$A248&gt;=13,$A248&lt;=IN_PRAZO,MONTH($B248)=5),PGBL_BENEFICIO,0))</f>
        <v>0</v>
      </c>
      <c r="H248" s="180" t="n">
        <f aca="false">G248*$B$24</f>
        <v>0</v>
      </c>
      <c r="I248" s="180" t="n">
        <f aca="false">F248*$B$19</f>
        <v>7995.46815774295</v>
      </c>
      <c r="J248" s="180" t="n">
        <f aca="false">F248*$B$22</f>
        <v>140.437043518333</v>
      </c>
      <c r="K248" s="180" t="n">
        <f aca="false">$B$23*MAX(0,I248-F248*$B$18)</f>
        <v>0</v>
      </c>
      <c r="L248" s="180" t="n">
        <f aca="false">IF(AND($B$27=1,OR(MONTH($B248)=5,MONTH($B248)=11)),MAX(0,$B$28*MAX(0,(F248+I248-J248-K248+G248-H248)+O247-N248)-O247),0)</f>
        <v>0</v>
      </c>
      <c r="M248" s="181" t="n">
        <f aca="false">F248+I248-J248-K248+G248-H248-L248</f>
        <v>850477.292224224</v>
      </c>
      <c r="N248" s="180" t="n">
        <f aca="false">N247+G248-H248</f>
        <v>150000</v>
      </c>
      <c r="O248" s="180" t="n">
        <f aca="false">O247+L248</f>
        <v>0</v>
      </c>
      <c r="P248" s="180" t="n">
        <f aca="false">M248+O248-N248</f>
        <v>700477.292224224</v>
      </c>
      <c r="Q248" s="180" t="n">
        <f aca="false">MAX(0,IFERROR(INDEX(TAB_IR,MATCH($C248,TAB_IR_DIAS,1),MATCH($B$8,TAB_IR_REGIMES,0)),0)*IF($B$26=2,M248,MAX(0,P248))-O248)</f>
        <v>105071.593833634</v>
      </c>
      <c r="R248" s="181" t="n">
        <f aca="false">MAX(0,M248-Q248-M248*$B$25)</f>
        <v>745405.698390591</v>
      </c>
      <c r="S248" s="180" t="n">
        <f aca="false">R248/$D248</f>
        <v>404535.374513748</v>
      </c>
      <c r="U248" s="180" t="n">
        <f aca="false">AB247</f>
        <v>659164.227010177</v>
      </c>
      <c r="V248" s="180" t="n">
        <f aca="false">IF($C$9=0,0,IF($A248&gt;IN_PRAZO,0,IF(APORTE_CORRIGIDO="Sim",IN_APORTE*$D248,IN_APORTE))+IF(AND($C$35=1,PGBL_REINVESTE="Sim",$A248&gt;=13,$A248&lt;=IN_PRAZO,MONTH($B248)=5),PGBL_BENEFICIO,0))</f>
        <v>0</v>
      </c>
      <c r="W248" s="180" t="n">
        <f aca="false">V248*$C$24</f>
        <v>0</v>
      </c>
      <c r="X248" s="180" t="n">
        <f aca="false">U248*$C$19</f>
        <v>5376.95120267396</v>
      </c>
      <c r="Y248" s="180" t="n">
        <f aca="false">U248*$C$22</f>
        <v>109.860704501696</v>
      </c>
      <c r="Z248" s="180" t="n">
        <f aca="false">$C$23*MAX(0,X248-U248*$C$18)</f>
        <v>0</v>
      </c>
      <c r="AA248" s="180" t="n">
        <f aca="false">IF(AND($C$27=1,OR(MONTH($B248)=5,MONTH($B248)=11)),MAX(0,$C$28*MAX(0,(U248+X248-Y248-Z248+V248-W248)+AD247-AC248)-AD247),0)</f>
        <v>0</v>
      </c>
      <c r="AB248" s="181" t="n">
        <f aca="false">U248+X248-Y248-Z248+V248-W248-AA248</f>
        <v>664431.317508349</v>
      </c>
      <c r="AC248" s="180" t="n">
        <f aca="false">AC247+V248-W248</f>
        <v>150000</v>
      </c>
      <c r="AD248" s="180" t="n">
        <f aca="false">AD247+AA248</f>
        <v>0</v>
      </c>
      <c r="AE248" s="180" t="n">
        <f aca="false">AB248+AD248-AC248</f>
        <v>514431.317508349</v>
      </c>
      <c r="AF248" s="180" t="n">
        <f aca="false">MAX(0,IFERROR(INDEX(TAB_IR,MATCH($C248,TAB_IR_DIAS,1),MATCH($C$8,TAB_IR_REGIMES,0)),0)*IF($C$26=2,AB248,MAX(0,AE248))-AD248)</f>
        <v>77164.6976262523</v>
      </c>
      <c r="AG248" s="181" t="n">
        <f aca="false">MAX(0,AB248-AF248-AB248*$C$25)</f>
        <v>587266.619882096</v>
      </c>
      <c r="AH248" s="180" t="n">
        <f aca="false">AG248/$D248</f>
        <v>318712.511222232</v>
      </c>
      <c r="AJ248" s="180" t="n">
        <f aca="false">AQ247</f>
        <v>546182.118532264</v>
      </c>
      <c r="AK248" s="180" t="n">
        <f aca="false">IF($D$9=0,0,IF($A248&gt;IN_PRAZO,0,IF(APORTE_CORRIGIDO="Sim",IN_APORTE*$D248,IN_APORTE))+IF(AND($D$35=1,PGBL_REINVESTE="Sim",$A248&gt;=13,$A248&lt;=IN_PRAZO,MONTH($B248)=5),PGBL_BENEFICIO,0))</f>
        <v>0</v>
      </c>
      <c r="AL248" s="180" t="n">
        <f aca="false">AK248*$D$24</f>
        <v>0</v>
      </c>
      <c r="AM248" s="180" t="n">
        <f aca="false">AJ248*$D$19</f>
        <v>4909.46559736579</v>
      </c>
      <c r="AN248" s="180" t="n">
        <f aca="false">AJ248*$D$22</f>
        <v>455.151765443553</v>
      </c>
      <c r="AO248" s="180" t="n">
        <f aca="false">$D$23*MAX(0,AM248-AJ248*$D$18)</f>
        <v>0</v>
      </c>
      <c r="AP248" s="180" t="n">
        <f aca="false">IF(AND($D$27=1,OR(MONTH($B248)=5,MONTH($B248)=11)),MAX(0,$D$28*MAX(0,(AJ248+AM248-AN248-AO248+AK248-AL248)+AS247-AR248)-AS247),0)</f>
        <v>0</v>
      </c>
      <c r="AQ248" s="181" t="n">
        <f aca="false">AJ248+AM248-AN248-AO248+AK248-AL248-AP248</f>
        <v>550636.432364186</v>
      </c>
      <c r="AR248" s="180" t="n">
        <f aca="false">AR247+AK248-AL248</f>
        <v>150000</v>
      </c>
      <c r="AS248" s="180" t="n">
        <f aca="false">AS247+AP248</f>
        <v>67594.2722827991</v>
      </c>
      <c r="AT248" s="180" t="n">
        <f aca="false">AQ248+AS248-AR248</f>
        <v>468230.704646985</v>
      </c>
      <c r="AU248" s="180" t="n">
        <f aca="false">MAX(0,IFERROR(INDEX(TAB_IR,MATCH($C248,TAB_IR_DIAS,1),MATCH($D$8,TAB_IR_REGIMES,0)),0)*IF($D$26=2,AQ248,MAX(0,AT248))-AS248)</f>
        <v>2640.33341424869</v>
      </c>
      <c r="AV248" s="181" t="n">
        <f aca="false">MAX(0,AQ248-AU248-AQ248*$D$25)</f>
        <v>547996.098949937</v>
      </c>
      <c r="AW248" s="180" t="n">
        <f aca="false">AV248/$D248</f>
        <v>297400.20447848</v>
      </c>
      <c r="AY248" s="180" t="n">
        <f aca="false">BF247</f>
        <v>729310.550518257</v>
      </c>
      <c r="AZ248" s="180" t="n">
        <f aca="false">IF($E$9=0,0,IF($A248&gt;IN_PRAZO,0,IF(APORTE_CORRIGIDO="Sim",IN_APORTE*$D248,IN_APORTE))+IF(AND($E$35=1,PGBL_REINVESTE="Sim",$A248&gt;=13,$A248&lt;=IN_PRAZO,MONTH($B248)=5),PGBL_BENEFICIO,0))</f>
        <v>0</v>
      </c>
      <c r="BA248" s="180" t="n">
        <f aca="false">AZ248*$E$24</f>
        <v>0</v>
      </c>
      <c r="BB248" s="180" t="n">
        <f aca="false">AY248*$E$19</f>
        <v>7139.03526025887</v>
      </c>
      <c r="BC248" s="180" t="n">
        <f aca="false">AY248*$E$22</f>
        <v>911.638188147822</v>
      </c>
      <c r="BD248" s="180" t="n">
        <f aca="false">$E$23*MAX(0,BB248-AY248*$E$18)</f>
        <v>0</v>
      </c>
      <c r="BE248" s="180" t="n">
        <f aca="false">IF(AND($E$27=1,OR(MONTH($B248)=5,MONTH($B248)=11)),MAX(0,$E$28*MAX(0,(AY248+BB248-BC248-BD248+AZ248-BA248)+BH247-BG248)-BH247),0)</f>
        <v>0</v>
      </c>
      <c r="BF248" s="181" t="n">
        <f aca="false">AY248+BB248-BC248-BD248+AZ248-BA248-BE248</f>
        <v>735537.947590368</v>
      </c>
      <c r="BG248" s="180" t="n">
        <f aca="false">BG247+AZ248-BA248</f>
        <v>150000</v>
      </c>
      <c r="BH248" s="180" t="n">
        <f aca="false">BH247+BE248</f>
        <v>0</v>
      </c>
      <c r="BI248" s="180" t="n">
        <f aca="false">BF248+BH248-BG248</f>
        <v>585537.947590368</v>
      </c>
      <c r="BJ248" s="180" t="n">
        <f aca="false">MAX(0,IFERROR(INDEX(TAB_IR,MATCH($C248,TAB_IR_DIAS,1),MATCH($E$8,TAB_IR_REGIMES,0)),0)*IF($E$26=2,BF248,MAX(0,BI248))-BH248)</f>
        <v>58553.7947590368</v>
      </c>
      <c r="BK248" s="181" t="n">
        <f aca="false">MAX(0,BF248-BJ248-BF248*$E$25)</f>
        <v>676984.152831331</v>
      </c>
      <c r="BL248" s="180" t="n">
        <f aca="false">BK248/$D248</f>
        <v>367402.66192866</v>
      </c>
      <c r="BN248" s="180" t="n">
        <f aca="false">BU247</f>
        <v>729310.550518257</v>
      </c>
      <c r="BO248" s="180" t="n">
        <f aca="false">IF($F$9=0,0,IF($A248&gt;IN_PRAZO,0,IF(APORTE_CORRIGIDO="Sim",IN_APORTE*$D248,IN_APORTE))+IF(AND($F$35=1,PGBL_REINVESTE="Sim",$A248&gt;=13,$A248&lt;=IN_PRAZO,MONTH($B248)=5),PGBL_BENEFICIO,0))</f>
        <v>0</v>
      </c>
      <c r="BP248" s="180" t="n">
        <f aca="false">BO248*$F$24</f>
        <v>0</v>
      </c>
      <c r="BQ248" s="180" t="n">
        <f aca="false">BN248*$F$19</f>
        <v>7139.03526025887</v>
      </c>
      <c r="BR248" s="180" t="n">
        <f aca="false">BN248*$F$22</f>
        <v>911.638188147822</v>
      </c>
      <c r="BS248" s="180" t="n">
        <f aca="false">$F$23*MAX(0,BQ248-BN248*$F$18)</f>
        <v>0</v>
      </c>
      <c r="BT248" s="180" t="n">
        <f aca="false">IF(AND($F$27=1,OR(MONTH($B248)=5,MONTH($B248)=11)),MAX(0,$F$28*MAX(0,(BN248+BQ248-BR248-BS248+BO248-BP248)+BW247-BV248)-BW247),0)</f>
        <v>0</v>
      </c>
      <c r="BU248" s="181" t="n">
        <f aca="false">BN248+BQ248-BR248-BS248+BO248-BP248-BT248</f>
        <v>735537.947590368</v>
      </c>
      <c r="BV248" s="180" t="n">
        <f aca="false">BV247+BO248-BP248</f>
        <v>150000</v>
      </c>
      <c r="BW248" s="180" t="n">
        <f aca="false">BW247+BT248</f>
        <v>0</v>
      </c>
      <c r="BX248" s="180" t="n">
        <f aca="false">BU248+BW248-BV248</f>
        <v>585537.947590368</v>
      </c>
      <c r="BY248" s="180" t="n">
        <f aca="false">MAX(0,IFERROR(INDEX(TAB_IR,MATCH($C248,TAB_IR_DIAS,1),MATCH($F$8,TAB_IR_REGIMES,0)),0)*IF($F$26=2,BU248,MAX(0,BX248))-BW248)</f>
        <v>73553.7947590368</v>
      </c>
      <c r="BZ248" s="181" t="n">
        <f aca="false">MAX(0,BU248-BY248-BU248*$F$25)</f>
        <v>661984.152831331</v>
      </c>
      <c r="CA248" s="180" t="n">
        <f aca="false">BZ248/$D248</f>
        <v>359262.087432372</v>
      </c>
      <c r="CC248" s="180" t="n">
        <f aca="false">CJ247</f>
        <v>478791.901673545</v>
      </c>
      <c r="CD248" s="180" t="n">
        <f aca="false">IF($G$9=0,0,IF($A248&gt;IN_PRAZO,0,IF(APORTE_CORRIGIDO="Sim",IN_APORTE*$D248,IN_APORTE))+IF(AND($G$35=1,PGBL_REINVESTE="Sim",$A248&gt;=13,$A248&lt;=IN_PRAZO,MONTH($B248)=5),PGBL_BENEFICIO,0))</f>
        <v>0</v>
      </c>
      <c r="CE248" s="180" t="n">
        <f aca="false">CD248*$G$24</f>
        <v>0</v>
      </c>
      <c r="CF248" s="180" t="n">
        <f aca="false">CC248*$G$19</f>
        <v>3905.61348150098</v>
      </c>
      <c r="CG248" s="180" t="n">
        <f aca="false">CC248*$G$22</f>
        <v>398.993251394621</v>
      </c>
      <c r="CH248" s="180" t="n">
        <f aca="false">$G$23*MAX(0,CF248-CC248*$G$18)</f>
        <v>0</v>
      </c>
      <c r="CI248" s="180" t="n">
        <f aca="false">IF(AND($G$27=1,OR(MONTH($B248)=5,MONTH($B248)=11)),MAX(0,$G$28*MAX(0,(CC248+CF248-CG248-CH248+CD248-CE248)+CL247-CK248)-CL247),0)</f>
        <v>0</v>
      </c>
      <c r="CJ248" s="181" t="n">
        <f aca="false">CC248+CF248-CG248-CH248+CD248-CE248-CI248</f>
        <v>482298.521903651</v>
      </c>
      <c r="CK248" s="180" t="n">
        <f aca="false">CK247+CD248-CE248</f>
        <v>150000</v>
      </c>
      <c r="CL248" s="180" t="n">
        <f aca="false">CL247+CI248</f>
        <v>56192.5187923187</v>
      </c>
      <c r="CM248" s="180" t="n">
        <f aca="false">CJ248+CL248-CK248</f>
        <v>388491.04069597</v>
      </c>
      <c r="CN248" s="180" t="n">
        <f aca="false">MAX(0,IFERROR(INDEX(TAB_IR,MATCH($C248,TAB_IR_DIAS,1),MATCH($G$8,TAB_IR_REGIMES,0)),0)*IF($G$26=2,CJ248,MAX(0,CM248))-CL248)</f>
        <v>2081.13731207673</v>
      </c>
      <c r="CO248" s="181" t="n">
        <f aca="false">MAX(0,CJ248-CN248-CJ248*$G$25)</f>
        <v>480217.384591574</v>
      </c>
      <c r="CP248" s="180" t="n">
        <f aca="false">CO248/$D248</f>
        <v>260616.359578688</v>
      </c>
    </row>
    <row r="249" customFormat="false" ht="12" hidden="false" customHeight="true" outlineLevel="0" collapsed="false">
      <c r="A249" s="177" t="n">
        <v>188</v>
      </c>
      <c r="B249" s="178" t="n">
        <f aca="false">EDATE(DATA_INICIO,$A249)</f>
        <v>51979</v>
      </c>
      <c r="C249" s="177" t="n">
        <f aca="false">$A249*30</f>
        <v>5640</v>
      </c>
      <c r="D249" s="179" t="n">
        <f aca="false">(1+IPCA_CENARIO)^($A249/12)</f>
        <v>1.84865406042229</v>
      </c>
      <c r="F249" s="180" t="n">
        <f aca="false">M248</f>
        <v>850477.292224224</v>
      </c>
      <c r="G249" s="180" t="n">
        <f aca="false">IF($B$9=0,0,IF($A249&gt;IN_PRAZO,0,IF(APORTE_CORRIGIDO="Sim",IN_APORTE*$D249,IN_APORTE))+IF(AND($B$35=1,PGBL_REINVESTE="Sim",$A249&gt;=13,$A249&lt;=IN_PRAZO,MONTH($B249)=5),PGBL_BENEFICIO,0))</f>
        <v>0</v>
      </c>
      <c r="H249" s="180" t="n">
        <f aca="false">G249*$B$24</f>
        <v>0</v>
      </c>
      <c r="I249" s="180" t="n">
        <f aca="false">F249*$B$19</f>
        <v>8070.00292148054</v>
      </c>
      <c r="J249" s="180" t="n">
        <f aca="false">F249*$B$22</f>
        <v>141.746215370704</v>
      </c>
      <c r="K249" s="180" t="n">
        <f aca="false">$B$23*MAX(0,I249-F249*$B$18)</f>
        <v>0</v>
      </c>
      <c r="L249" s="180" t="n">
        <f aca="false">IF(AND($B$27=1,OR(MONTH($B249)=5,MONTH($B249)=11)),MAX(0,$B$28*MAX(0,(F249+I249-J249-K249+G249-H249)+O248-N249)-O248),0)</f>
        <v>0</v>
      </c>
      <c r="M249" s="181" t="n">
        <f aca="false">F249+I249-J249-K249+G249-H249-L249</f>
        <v>858405.548930334</v>
      </c>
      <c r="N249" s="180" t="n">
        <f aca="false">N248+G249-H249</f>
        <v>150000</v>
      </c>
      <c r="O249" s="180" t="n">
        <f aca="false">O248+L249</f>
        <v>0</v>
      </c>
      <c r="P249" s="180" t="n">
        <f aca="false">M249+O249-N249</f>
        <v>708405.548930334</v>
      </c>
      <c r="Q249" s="180" t="n">
        <f aca="false">MAX(0,IFERROR(INDEX(TAB_IR,MATCH($C249,TAB_IR_DIAS,1),MATCH($B$8,TAB_IR_REGIMES,0)),0)*IF($B$26=2,M249,MAX(0,P249))-O249)</f>
        <v>106260.83233955</v>
      </c>
      <c r="R249" s="181" t="n">
        <f aca="false">MAX(0,M249-Q249-M249*$B$25)</f>
        <v>752144.716590784</v>
      </c>
      <c r="S249" s="180" t="n">
        <f aca="false">R249/$D249</f>
        <v>406860.717044579</v>
      </c>
      <c r="U249" s="180" t="n">
        <f aca="false">AB248</f>
        <v>664431.317508349</v>
      </c>
      <c r="V249" s="180" t="n">
        <f aca="false">IF($C$9=0,0,IF($A249&gt;IN_PRAZO,0,IF(APORTE_CORRIGIDO="Sim",IN_APORTE*$D249,IN_APORTE))+IF(AND($C$35=1,PGBL_REINVESTE="Sim",$A249&gt;=13,$A249&lt;=IN_PRAZO,MONTH($B249)=5),PGBL_BENEFICIO,0))</f>
        <v>0</v>
      </c>
      <c r="W249" s="180" t="n">
        <f aca="false">V249*$C$24</f>
        <v>0</v>
      </c>
      <c r="X249" s="180" t="n">
        <f aca="false">U249*$C$19</f>
        <v>5419.91604728818</v>
      </c>
      <c r="Y249" s="180" t="n">
        <f aca="false">U249*$C$22</f>
        <v>110.738552918058</v>
      </c>
      <c r="Z249" s="180" t="n">
        <f aca="false">$C$23*MAX(0,X249-U249*$C$18)</f>
        <v>0</v>
      </c>
      <c r="AA249" s="180" t="n">
        <f aca="false">IF(AND($C$27=1,OR(MONTH($B249)=5,MONTH($B249)=11)),MAX(0,$C$28*MAX(0,(U249+X249-Y249-Z249+V249-W249)+AD248-AC249)-AD248),0)</f>
        <v>0</v>
      </c>
      <c r="AB249" s="181" t="n">
        <f aca="false">U249+X249-Y249-Z249+V249-W249-AA249</f>
        <v>669740.495002719</v>
      </c>
      <c r="AC249" s="180" t="n">
        <f aca="false">AC248+V249-W249</f>
        <v>150000</v>
      </c>
      <c r="AD249" s="180" t="n">
        <f aca="false">AD248+AA249</f>
        <v>0</v>
      </c>
      <c r="AE249" s="180" t="n">
        <f aca="false">AB249+AD249-AC249</f>
        <v>519740.495002719</v>
      </c>
      <c r="AF249" s="180" t="n">
        <f aca="false">MAX(0,IFERROR(INDEX(TAB_IR,MATCH($C249,TAB_IR_DIAS,1),MATCH($C$8,TAB_IR_REGIMES,0)),0)*IF($C$26=2,AB249,MAX(0,AE249))-AD249)</f>
        <v>77961.0742504078</v>
      </c>
      <c r="AG249" s="181" t="n">
        <f aca="false">MAX(0,AB249-AF249-AB249*$C$25)</f>
        <v>591779.420752311</v>
      </c>
      <c r="AH249" s="180" t="n">
        <f aca="false">AG249/$D249</f>
        <v>320113.661837376</v>
      </c>
      <c r="AJ249" s="180" t="n">
        <f aca="false">AQ248</f>
        <v>550636.432364186</v>
      </c>
      <c r="AK249" s="180" t="n">
        <f aca="false">IF($D$9=0,0,IF($A249&gt;IN_PRAZO,0,IF(APORTE_CORRIGIDO="Sim",IN_APORTE*$D249,IN_APORTE))+IF(AND($D$35=1,PGBL_REINVESTE="Sim",$A249&gt;=13,$A249&lt;=IN_PRAZO,MONTH($B249)=5),PGBL_BENEFICIO,0))</f>
        <v>0</v>
      </c>
      <c r="AL249" s="180" t="n">
        <f aca="false">AK249*$D$24</f>
        <v>0</v>
      </c>
      <c r="AM249" s="180" t="n">
        <f aca="false">AJ249*$D$19</f>
        <v>4949.50407496454</v>
      </c>
      <c r="AN249" s="180" t="n">
        <f aca="false">AJ249*$D$22</f>
        <v>458.863693636822</v>
      </c>
      <c r="AO249" s="180" t="n">
        <f aca="false">$D$23*MAX(0,AM249-AJ249*$D$18)</f>
        <v>0</v>
      </c>
      <c r="AP249" s="180" t="n">
        <f aca="false">IF(AND($D$27=1,OR(MONTH($B249)=5,MONTH($B249)=11)),MAX(0,$D$28*MAX(0,(AJ249+AM249-AN249-AO249+AK249-AL249)+AS248-AR249)-AS248),0)</f>
        <v>0</v>
      </c>
      <c r="AQ249" s="181" t="n">
        <f aca="false">AJ249+AM249-AN249-AO249+AK249-AL249-AP249</f>
        <v>555127.072745514</v>
      </c>
      <c r="AR249" s="180" t="n">
        <f aca="false">AR248+AK249-AL249</f>
        <v>150000</v>
      </c>
      <c r="AS249" s="180" t="n">
        <f aca="false">AS248+AP249</f>
        <v>67594.2722827991</v>
      </c>
      <c r="AT249" s="180" t="n">
        <f aca="false">AQ249+AS249-AR249</f>
        <v>472721.345028313</v>
      </c>
      <c r="AU249" s="180" t="n">
        <f aca="false">MAX(0,IFERROR(INDEX(TAB_IR,MATCH($C249,TAB_IR_DIAS,1),MATCH($D$8,TAB_IR_REGIMES,0)),0)*IF($D$26=2,AQ249,MAX(0,AT249))-AS249)</f>
        <v>3313.92947144786</v>
      </c>
      <c r="AV249" s="181" t="n">
        <f aca="false">MAX(0,AQ249-AU249-AQ249*$D$25)</f>
        <v>551813.143274066</v>
      </c>
      <c r="AW249" s="180" t="n">
        <f aca="false">AV249/$D249</f>
        <v>298494.539940056</v>
      </c>
      <c r="AY249" s="180" t="n">
        <f aca="false">BF248</f>
        <v>735537.947590368</v>
      </c>
      <c r="AZ249" s="180" t="n">
        <f aca="false">IF($E$9=0,0,IF($A249&gt;IN_PRAZO,0,IF(APORTE_CORRIGIDO="Sim",IN_APORTE*$D249,IN_APORTE))+IF(AND($E$35=1,PGBL_REINVESTE="Sim",$A249&gt;=13,$A249&lt;=IN_PRAZO,MONTH($B249)=5),PGBL_BENEFICIO,0))</f>
        <v>0</v>
      </c>
      <c r="BA249" s="180" t="n">
        <f aca="false">AZ249*$E$24</f>
        <v>0</v>
      </c>
      <c r="BB249" s="180" t="n">
        <f aca="false">AY249*$E$19</f>
        <v>7199.99366439253</v>
      </c>
      <c r="BC249" s="180" t="n">
        <f aca="false">AY249*$E$22</f>
        <v>919.42243448796</v>
      </c>
      <c r="BD249" s="180" t="n">
        <f aca="false">$E$23*MAX(0,BB249-AY249*$E$18)</f>
        <v>0</v>
      </c>
      <c r="BE249" s="180" t="n">
        <f aca="false">IF(AND($E$27=1,OR(MONTH($B249)=5,MONTH($B249)=11)),MAX(0,$E$28*MAX(0,(AY249+BB249-BC249-BD249+AZ249-BA249)+BH248-BG249)-BH248),0)</f>
        <v>0</v>
      </c>
      <c r="BF249" s="181" t="n">
        <f aca="false">AY249+BB249-BC249-BD249+AZ249-BA249-BE249</f>
        <v>741818.518820273</v>
      </c>
      <c r="BG249" s="180" t="n">
        <f aca="false">BG248+AZ249-BA249</f>
        <v>150000</v>
      </c>
      <c r="BH249" s="180" t="n">
        <f aca="false">BH248+BE249</f>
        <v>0</v>
      </c>
      <c r="BI249" s="180" t="n">
        <f aca="false">BF249+BH249-BG249</f>
        <v>591818.518820273</v>
      </c>
      <c r="BJ249" s="180" t="n">
        <f aca="false">MAX(0,IFERROR(INDEX(TAB_IR,MATCH($C249,TAB_IR_DIAS,1),MATCH($E$8,TAB_IR_REGIMES,0)),0)*IF($E$26=2,BF249,MAX(0,BI249))-BH249)</f>
        <v>59181.8518820273</v>
      </c>
      <c r="BK249" s="181" t="n">
        <f aca="false">MAX(0,BF249-BJ249-BF249*$E$25)</f>
        <v>682636.666938246</v>
      </c>
      <c r="BL249" s="180" t="n">
        <f aca="false">BK249/$D249</f>
        <v>369261.443529522</v>
      </c>
      <c r="BN249" s="180" t="n">
        <f aca="false">BU248</f>
        <v>735537.947590368</v>
      </c>
      <c r="BO249" s="180" t="n">
        <f aca="false">IF($F$9=0,0,IF($A249&gt;IN_PRAZO,0,IF(APORTE_CORRIGIDO="Sim",IN_APORTE*$D249,IN_APORTE))+IF(AND($F$35=1,PGBL_REINVESTE="Sim",$A249&gt;=13,$A249&lt;=IN_PRAZO,MONTH($B249)=5),PGBL_BENEFICIO,0))</f>
        <v>0</v>
      </c>
      <c r="BP249" s="180" t="n">
        <f aca="false">BO249*$F$24</f>
        <v>0</v>
      </c>
      <c r="BQ249" s="180" t="n">
        <f aca="false">BN249*$F$19</f>
        <v>7199.99366439253</v>
      </c>
      <c r="BR249" s="180" t="n">
        <f aca="false">BN249*$F$22</f>
        <v>919.42243448796</v>
      </c>
      <c r="BS249" s="180" t="n">
        <f aca="false">$F$23*MAX(0,BQ249-BN249*$F$18)</f>
        <v>0</v>
      </c>
      <c r="BT249" s="180" t="n">
        <f aca="false">IF(AND($F$27=1,OR(MONTH($B249)=5,MONTH($B249)=11)),MAX(0,$F$28*MAX(0,(BN249+BQ249-BR249-BS249+BO249-BP249)+BW248-BV249)-BW248),0)</f>
        <v>0</v>
      </c>
      <c r="BU249" s="181" t="n">
        <f aca="false">BN249+BQ249-BR249-BS249+BO249-BP249-BT249</f>
        <v>741818.518820273</v>
      </c>
      <c r="BV249" s="180" t="n">
        <f aca="false">BV248+BO249-BP249</f>
        <v>150000</v>
      </c>
      <c r="BW249" s="180" t="n">
        <f aca="false">BW248+BT249</f>
        <v>0</v>
      </c>
      <c r="BX249" s="180" t="n">
        <f aca="false">BU249+BW249-BV249</f>
        <v>591818.518820273</v>
      </c>
      <c r="BY249" s="180" t="n">
        <f aca="false">MAX(0,IFERROR(INDEX(TAB_IR,MATCH($C249,TAB_IR_DIAS,1),MATCH($F$8,TAB_IR_REGIMES,0)),0)*IF($F$26=2,BU249,MAX(0,BX249))-BW249)</f>
        <v>74181.8518820273</v>
      </c>
      <c r="BZ249" s="181" t="n">
        <f aca="false">MAX(0,BU249-BY249-BU249*$F$25)</f>
        <v>667636.666938246</v>
      </c>
      <c r="CA249" s="180" t="n">
        <f aca="false">BZ249/$D249</f>
        <v>361147.432194933</v>
      </c>
      <c r="CC249" s="180" t="n">
        <f aca="false">CJ248</f>
        <v>482298.521903651</v>
      </c>
      <c r="CD249" s="180" t="n">
        <f aca="false">IF($G$9=0,0,IF($A249&gt;IN_PRAZO,0,IF(APORTE_CORRIGIDO="Sim",IN_APORTE*$D249,IN_APORTE))+IF(AND($G$35=1,PGBL_REINVESTE="Sim",$A249&gt;=13,$A249&lt;=IN_PRAZO,MONTH($B249)=5),PGBL_BENEFICIO,0))</f>
        <v>0</v>
      </c>
      <c r="CE249" s="180" t="n">
        <f aca="false">CD249*$G$24</f>
        <v>0</v>
      </c>
      <c r="CF249" s="180" t="n">
        <f aca="false">CC249*$G$19</f>
        <v>3934.21777325558</v>
      </c>
      <c r="CG249" s="180" t="n">
        <f aca="false">CC249*$G$22</f>
        <v>401.915434919709</v>
      </c>
      <c r="CH249" s="180" t="n">
        <f aca="false">$G$23*MAX(0,CF249-CC249*$G$18)</f>
        <v>0</v>
      </c>
      <c r="CI249" s="180" t="n">
        <f aca="false">IF(AND($G$27=1,OR(MONTH($B249)=5,MONTH($B249)=11)),MAX(0,$G$28*MAX(0,(CC249+CF249-CG249-CH249+CD249-CE249)+CL248-CK249)-CL248),0)</f>
        <v>0</v>
      </c>
      <c r="CJ249" s="181" t="n">
        <f aca="false">CC249+CF249-CG249-CH249+CD249-CE249-CI249</f>
        <v>485830.824241987</v>
      </c>
      <c r="CK249" s="180" t="n">
        <f aca="false">CK248+CD249-CE249</f>
        <v>150000</v>
      </c>
      <c r="CL249" s="180" t="n">
        <f aca="false">CL248+CI249</f>
        <v>56192.5187923187</v>
      </c>
      <c r="CM249" s="180" t="n">
        <f aca="false">CJ249+CL249-CK249</f>
        <v>392023.343034306</v>
      </c>
      <c r="CN249" s="180" t="n">
        <f aca="false">MAX(0,IFERROR(INDEX(TAB_IR,MATCH($C249,TAB_IR_DIAS,1),MATCH($G$8,TAB_IR_REGIMES,0)),0)*IF($G$26=2,CJ249,MAX(0,CM249))-CL249)</f>
        <v>2610.98266282712</v>
      </c>
      <c r="CO249" s="181" t="n">
        <f aca="false">MAX(0,CJ249-CN249-CJ249*$G$25)</f>
        <v>483219.84157916</v>
      </c>
      <c r="CP249" s="180" t="n">
        <f aca="false">CO249/$D249</f>
        <v>261390.0847781</v>
      </c>
    </row>
    <row r="250" customFormat="false" ht="12" hidden="false" customHeight="true" outlineLevel="0" collapsed="false">
      <c r="A250" s="177" t="n">
        <v>189</v>
      </c>
      <c r="B250" s="178" t="n">
        <f aca="false">EDATE(DATA_INICIO,$A250)</f>
        <v>52009</v>
      </c>
      <c r="C250" s="177" t="n">
        <f aca="false">$A250*30</f>
        <v>5670</v>
      </c>
      <c r="D250" s="179" t="n">
        <f aca="false">(1+IPCA_CENARIO)^($A250/12)</f>
        <v>1.85470607276341</v>
      </c>
      <c r="F250" s="180" t="n">
        <f aca="false">M249</f>
        <v>858405.548930334</v>
      </c>
      <c r="G250" s="180" t="n">
        <f aca="false">IF($B$9=0,0,IF($A250&gt;IN_PRAZO,0,IF(APORTE_CORRIGIDO="Sim",IN_APORTE*$D250,IN_APORTE))+IF(AND($B$35=1,PGBL_REINVESTE="Sim",$A250&gt;=13,$A250&lt;=IN_PRAZO,MONTH($B250)=5),PGBL_BENEFICIO,0))</f>
        <v>0</v>
      </c>
      <c r="H250" s="180" t="n">
        <f aca="false">G250*$B$24</f>
        <v>0</v>
      </c>
      <c r="I250" s="180" t="n">
        <f aca="false">F250*$B$19</f>
        <v>8145.23250769703</v>
      </c>
      <c r="J250" s="180" t="n">
        <f aca="false">F250*$B$22</f>
        <v>143.067591488389</v>
      </c>
      <c r="K250" s="180" t="n">
        <f aca="false">$B$23*MAX(0,I250-F250*$B$18)</f>
        <v>0</v>
      </c>
      <c r="L250" s="180" t="n">
        <f aca="false">IF(AND($B$27=1,OR(MONTH($B250)=5,MONTH($B250)=11)),MAX(0,$B$28*MAX(0,(F250+I250-J250-K250+G250-H250)+O249-N250)-O249),0)</f>
        <v>0</v>
      </c>
      <c r="M250" s="181" t="n">
        <f aca="false">F250+I250-J250-K250+G250-H250-L250</f>
        <v>866407.713846543</v>
      </c>
      <c r="N250" s="180" t="n">
        <f aca="false">N249+G250-H250</f>
        <v>150000</v>
      </c>
      <c r="O250" s="180" t="n">
        <f aca="false">O249+L250</f>
        <v>0</v>
      </c>
      <c r="P250" s="180" t="n">
        <f aca="false">M250+O250-N250</f>
        <v>716407.713846543</v>
      </c>
      <c r="Q250" s="180" t="n">
        <f aca="false">MAX(0,IFERROR(INDEX(TAB_IR,MATCH($C250,TAB_IR_DIAS,1),MATCH($B$8,TAB_IR_REGIMES,0)),0)*IF($B$26=2,M250,MAX(0,P250))-O250)</f>
        <v>107461.157076981</v>
      </c>
      <c r="R250" s="181" t="n">
        <f aca="false">MAX(0,M250-Q250-M250*$B$25)</f>
        <v>758946.556769561</v>
      </c>
      <c r="S250" s="180" t="n">
        <f aca="false">R250/$D250</f>
        <v>409200.448477947</v>
      </c>
      <c r="U250" s="180" t="n">
        <f aca="false">AB249</f>
        <v>669740.495002719</v>
      </c>
      <c r="V250" s="180" t="n">
        <f aca="false">IF($C$9=0,0,IF($A250&gt;IN_PRAZO,0,IF(APORTE_CORRIGIDO="Sim",IN_APORTE*$D250,IN_APORTE))+IF(AND($C$35=1,PGBL_REINVESTE="Sim",$A250&gt;=13,$A250&lt;=IN_PRAZO,MONTH($B250)=5),PGBL_BENEFICIO,0))</f>
        <v>0</v>
      </c>
      <c r="W250" s="180" t="n">
        <f aca="false">V250*$C$24</f>
        <v>0</v>
      </c>
      <c r="X250" s="180" t="n">
        <f aca="false">U250*$C$19</f>
        <v>5463.22420501853</v>
      </c>
      <c r="Y250" s="180" t="n">
        <f aca="false">U250*$C$22</f>
        <v>111.623415833786</v>
      </c>
      <c r="Z250" s="180" t="n">
        <f aca="false">$C$23*MAX(0,X250-U250*$C$18)</f>
        <v>0</v>
      </c>
      <c r="AA250" s="180" t="n">
        <f aca="false">IF(AND($C$27=1,OR(MONTH($B250)=5,MONTH($B250)=11)),MAX(0,$C$28*MAX(0,(U250+X250-Y250-Z250+V250-W250)+AD249-AC250)-AD249),0)</f>
        <v>0</v>
      </c>
      <c r="AB250" s="181" t="n">
        <f aca="false">U250+X250-Y250-Z250+V250-W250-AA250</f>
        <v>675092.095791904</v>
      </c>
      <c r="AC250" s="180" t="n">
        <f aca="false">AC249+V250-W250</f>
        <v>150000</v>
      </c>
      <c r="AD250" s="180" t="n">
        <f aca="false">AD249+AA250</f>
        <v>0</v>
      </c>
      <c r="AE250" s="180" t="n">
        <f aca="false">AB250+AD250-AC250</f>
        <v>525092.095791904</v>
      </c>
      <c r="AF250" s="180" t="n">
        <f aca="false">MAX(0,IFERROR(INDEX(TAB_IR,MATCH($C250,TAB_IR_DIAS,1),MATCH($C$8,TAB_IR_REGIMES,0)),0)*IF($C$26=2,AB250,MAX(0,AE250))-AD250)</f>
        <v>78763.8143687855</v>
      </c>
      <c r="AG250" s="181" t="n">
        <f aca="false">MAX(0,AB250-AF250-AB250*$C$25)</f>
        <v>596328.281423118</v>
      </c>
      <c r="AH250" s="180" t="n">
        <f aca="false">AG250/$D250</f>
        <v>321521.717203751</v>
      </c>
      <c r="AJ250" s="180" t="n">
        <f aca="false">AQ249</f>
        <v>555127.072745514</v>
      </c>
      <c r="AK250" s="180" t="n">
        <f aca="false">IF($D$9=0,0,IF($A250&gt;IN_PRAZO,0,IF(APORTE_CORRIGIDO="Sim",IN_APORTE*$D250,IN_APORTE))+IF(AND($D$35=1,PGBL_REINVESTE="Sim",$A250&gt;=13,$A250&lt;=IN_PRAZO,MONTH($B250)=5),PGBL_BENEFICIO,0))</f>
        <v>0</v>
      </c>
      <c r="AL250" s="180" t="n">
        <f aca="false">AK250*$D$24</f>
        <v>0</v>
      </c>
      <c r="AM250" s="180" t="n">
        <f aca="false">AJ250*$D$19</f>
        <v>4989.86908091075</v>
      </c>
      <c r="AN250" s="180" t="n">
        <f aca="false">AJ250*$D$22</f>
        <v>462.605893954595</v>
      </c>
      <c r="AO250" s="180" t="n">
        <f aca="false">$D$23*MAX(0,AM250-AJ250*$D$18)</f>
        <v>0</v>
      </c>
      <c r="AP250" s="180" t="n">
        <f aca="false">IF(AND($D$27=1,OR(MONTH($B250)=5,MONTH($B250)=11)),MAX(0,$D$28*MAX(0,(AJ250+AM250-AN250-AO250+AK250-AL250)+AS249-AR250)-AS249),0)</f>
        <v>3993.01894949128</v>
      </c>
      <c r="AQ250" s="181" t="n">
        <f aca="false">AJ250+AM250-AN250-AO250+AK250-AL250-AP250</f>
        <v>555661.316982979</v>
      </c>
      <c r="AR250" s="180" t="n">
        <f aca="false">AR249+AK250-AL250</f>
        <v>150000</v>
      </c>
      <c r="AS250" s="180" t="n">
        <f aca="false">AS249+AP250</f>
        <v>71587.2912322903</v>
      </c>
      <c r="AT250" s="180" t="n">
        <f aca="false">AQ250+AS250-AR250</f>
        <v>477248.608215269</v>
      </c>
      <c r="AU250" s="180" t="n">
        <f aca="false">MAX(0,IFERROR(INDEX(TAB_IR,MATCH($C250,TAB_IR_DIAS,1),MATCH($D$8,TAB_IR_REGIMES,0)),0)*IF($D$26=2,AQ250,MAX(0,AT250))-AS250)</f>
        <v>0</v>
      </c>
      <c r="AV250" s="181" t="n">
        <f aca="false">MAX(0,AQ250-AU250-AQ250*$D$25)</f>
        <v>555661.316982979</v>
      </c>
      <c r="AW250" s="180" t="n">
        <f aca="false">AV250/$D250</f>
        <v>299595.351060167</v>
      </c>
      <c r="AY250" s="180" t="n">
        <f aca="false">BF249</f>
        <v>741818.518820273</v>
      </c>
      <c r="AZ250" s="180" t="n">
        <f aca="false">IF($E$9=0,0,IF($A250&gt;IN_PRAZO,0,IF(APORTE_CORRIGIDO="Sim",IN_APORTE*$D250,IN_APORTE))+IF(AND($E$35=1,PGBL_REINVESTE="Sim",$A250&gt;=13,$A250&lt;=IN_PRAZO,MONTH($B250)=5),PGBL_BENEFICIO,0))</f>
        <v>0</v>
      </c>
      <c r="BA250" s="180" t="n">
        <f aca="false">AZ250*$E$24</f>
        <v>0</v>
      </c>
      <c r="BB250" s="180" t="n">
        <f aca="false">AY250*$E$19</f>
        <v>7261.47257681604</v>
      </c>
      <c r="BC250" s="180" t="n">
        <f aca="false">AY250*$E$22</f>
        <v>927.273148525341</v>
      </c>
      <c r="BD250" s="180" t="n">
        <f aca="false">$E$23*MAX(0,BB250-AY250*$E$18)</f>
        <v>0</v>
      </c>
      <c r="BE250" s="180" t="n">
        <f aca="false">IF(AND($E$27=1,OR(MONTH($B250)=5,MONTH($B250)=11)),MAX(0,$E$28*MAX(0,(AY250+BB250-BC250-BD250+AZ250-BA250)+BH249-BG250)-BH249),0)</f>
        <v>0</v>
      </c>
      <c r="BF250" s="181" t="n">
        <f aca="false">AY250+BB250-BC250-BD250+AZ250-BA250-BE250</f>
        <v>748152.718248563</v>
      </c>
      <c r="BG250" s="180" t="n">
        <f aca="false">BG249+AZ250-BA250</f>
        <v>150000</v>
      </c>
      <c r="BH250" s="180" t="n">
        <f aca="false">BH249+BE250</f>
        <v>0</v>
      </c>
      <c r="BI250" s="180" t="n">
        <f aca="false">BF250+BH250-BG250</f>
        <v>598152.718248563</v>
      </c>
      <c r="BJ250" s="180" t="n">
        <f aca="false">MAX(0,IFERROR(INDEX(TAB_IR,MATCH($C250,TAB_IR_DIAS,1),MATCH($E$8,TAB_IR_REGIMES,0)),0)*IF($E$26=2,BF250,MAX(0,BI250))-BH250)</f>
        <v>59815.2718248563</v>
      </c>
      <c r="BK250" s="181" t="n">
        <f aca="false">MAX(0,BF250-BJ250-BF250*$E$25)</f>
        <v>688337.446423707</v>
      </c>
      <c r="BL250" s="180" t="n">
        <f aca="false">BK250/$D250</f>
        <v>371130.205767926</v>
      </c>
      <c r="BN250" s="180" t="n">
        <f aca="false">BU249</f>
        <v>741818.518820273</v>
      </c>
      <c r="BO250" s="180" t="n">
        <f aca="false">IF($F$9=0,0,IF($A250&gt;IN_PRAZO,0,IF(APORTE_CORRIGIDO="Sim",IN_APORTE*$D250,IN_APORTE))+IF(AND($F$35=1,PGBL_REINVESTE="Sim",$A250&gt;=13,$A250&lt;=IN_PRAZO,MONTH($B250)=5),PGBL_BENEFICIO,0))</f>
        <v>0</v>
      </c>
      <c r="BP250" s="180" t="n">
        <f aca="false">BO250*$F$24</f>
        <v>0</v>
      </c>
      <c r="BQ250" s="180" t="n">
        <f aca="false">BN250*$F$19</f>
        <v>7261.47257681604</v>
      </c>
      <c r="BR250" s="180" t="n">
        <f aca="false">BN250*$F$22</f>
        <v>927.273148525341</v>
      </c>
      <c r="BS250" s="180" t="n">
        <f aca="false">$F$23*MAX(0,BQ250-BN250*$F$18)</f>
        <v>0</v>
      </c>
      <c r="BT250" s="180" t="n">
        <f aca="false">IF(AND($F$27=1,OR(MONTH($B250)=5,MONTH($B250)=11)),MAX(0,$F$28*MAX(0,(BN250+BQ250-BR250-BS250+BO250-BP250)+BW249-BV250)-BW249),0)</f>
        <v>0</v>
      </c>
      <c r="BU250" s="181" t="n">
        <f aca="false">BN250+BQ250-BR250-BS250+BO250-BP250-BT250</f>
        <v>748152.718248563</v>
      </c>
      <c r="BV250" s="180" t="n">
        <f aca="false">BV249+BO250-BP250</f>
        <v>150000</v>
      </c>
      <c r="BW250" s="180" t="n">
        <f aca="false">BW249+BT250</f>
        <v>0</v>
      </c>
      <c r="BX250" s="180" t="n">
        <f aca="false">BU250+BW250-BV250</f>
        <v>598152.718248563</v>
      </c>
      <c r="BY250" s="180" t="n">
        <f aca="false">MAX(0,IFERROR(INDEX(TAB_IR,MATCH($C250,TAB_IR_DIAS,1),MATCH($F$8,TAB_IR_REGIMES,0)),0)*IF($F$26=2,BU250,MAX(0,BX250))-BW250)</f>
        <v>74815.2718248563</v>
      </c>
      <c r="BZ250" s="181" t="n">
        <f aca="false">MAX(0,BU250-BY250-BU250*$F$25)</f>
        <v>673337.446423707</v>
      </c>
      <c r="CA250" s="180" t="n">
        <f aca="false">BZ250/$D250</f>
        <v>363042.670917915</v>
      </c>
      <c r="CC250" s="180" t="n">
        <f aca="false">CJ249</f>
        <v>485830.824241987</v>
      </c>
      <c r="CD250" s="180" t="n">
        <f aca="false">IF($G$9=0,0,IF($A250&gt;IN_PRAZO,0,IF(APORTE_CORRIGIDO="Sim",IN_APORTE*$D250,IN_APORTE))+IF(AND($G$35=1,PGBL_REINVESTE="Sim",$A250&gt;=13,$A250&lt;=IN_PRAZO,MONTH($B250)=5),PGBL_BENEFICIO,0))</f>
        <v>0</v>
      </c>
      <c r="CE250" s="180" t="n">
        <f aca="false">CD250*$G$24</f>
        <v>0</v>
      </c>
      <c r="CF250" s="180" t="n">
        <f aca="false">CC250*$G$19</f>
        <v>3963.03155975682</v>
      </c>
      <c r="CG250" s="180" t="n">
        <f aca="false">CC250*$G$22</f>
        <v>404.859020201656</v>
      </c>
      <c r="CH250" s="180" t="n">
        <f aca="false">$G$23*MAX(0,CF250-CC250*$G$18)</f>
        <v>0</v>
      </c>
      <c r="CI250" s="180" t="n">
        <f aca="false">IF(AND($G$27=1,OR(MONTH($B250)=5,MONTH($B250)=11)),MAX(0,$G$28*MAX(0,(CC250+CF250-CG250-CH250+CD250-CE250)+CL249-CK250)-CL249),0)</f>
        <v>3144.7085437604</v>
      </c>
      <c r="CJ250" s="181" t="n">
        <f aca="false">CC250+CF250-CG250-CH250+CD250-CE250-CI250</f>
        <v>486244.288237782</v>
      </c>
      <c r="CK250" s="180" t="n">
        <f aca="false">CK249+CD250-CE250</f>
        <v>150000</v>
      </c>
      <c r="CL250" s="180" t="n">
        <f aca="false">CL249+CI250</f>
        <v>59337.2273360791</v>
      </c>
      <c r="CM250" s="180" t="n">
        <f aca="false">CJ250+CL250-CK250</f>
        <v>395581.515573861</v>
      </c>
      <c r="CN250" s="180" t="n">
        <f aca="false">MAX(0,IFERROR(INDEX(TAB_IR,MATCH($C250,TAB_IR_DIAS,1),MATCH($G$8,TAB_IR_REGIMES,0)),0)*IF($G$26=2,CJ250,MAX(0,CM250))-CL250)</f>
        <v>0</v>
      </c>
      <c r="CO250" s="181" t="n">
        <f aca="false">MAX(0,CJ250-CN250-CJ250*$G$25)</f>
        <v>486244.288237782</v>
      </c>
      <c r="CP250" s="180" t="n">
        <f aca="false">CO250/$D250</f>
        <v>262167.84178277</v>
      </c>
    </row>
    <row r="251" customFormat="false" ht="12" hidden="false" customHeight="true" outlineLevel="0" collapsed="false">
      <c r="A251" s="177" t="n">
        <v>190</v>
      </c>
      <c r="B251" s="178" t="n">
        <f aca="false">EDATE(DATA_INICIO,$A251)</f>
        <v>52040</v>
      </c>
      <c r="C251" s="177" t="n">
        <f aca="false">$A251*30</f>
        <v>5700</v>
      </c>
      <c r="D251" s="179" t="n">
        <f aca="false">(1+IPCA_CENARIO)^($A251/12)</f>
        <v>1.86077789781811</v>
      </c>
      <c r="F251" s="180" t="n">
        <f aca="false">M250</f>
        <v>866407.713846543</v>
      </c>
      <c r="G251" s="180" t="n">
        <f aca="false">IF($B$9=0,0,IF($A251&gt;IN_PRAZO,0,IF(APORTE_CORRIGIDO="Sim",IN_APORTE*$D251,IN_APORTE))+IF(AND($B$35=1,PGBL_REINVESTE="Sim",$A251&gt;=13,$A251&lt;=IN_PRAZO,MONTH($B251)=5),PGBL_BENEFICIO,0))</f>
        <v>0</v>
      </c>
      <c r="H251" s="180" t="n">
        <f aca="false">G251*$B$24</f>
        <v>0</v>
      </c>
      <c r="I251" s="180" t="n">
        <f aca="false">F251*$B$19</f>
        <v>8221.16339361532</v>
      </c>
      <c r="J251" s="180" t="n">
        <f aca="false">F251*$B$22</f>
        <v>144.40128564109</v>
      </c>
      <c r="K251" s="180" t="n">
        <f aca="false">$B$23*MAX(0,I251-F251*$B$18)</f>
        <v>0</v>
      </c>
      <c r="L251" s="180" t="n">
        <f aca="false">IF(AND($B$27=1,OR(MONTH($B251)=5,MONTH($B251)=11)),MAX(0,$B$28*MAX(0,(F251+I251-J251-K251+G251-H251)+O250-N251)-O250),0)</f>
        <v>0</v>
      </c>
      <c r="M251" s="181" t="n">
        <f aca="false">F251+I251-J251-K251+G251-H251-L251</f>
        <v>874484.475954517</v>
      </c>
      <c r="N251" s="180" t="n">
        <f aca="false">N250+G251-H251</f>
        <v>150000</v>
      </c>
      <c r="O251" s="180" t="n">
        <f aca="false">O250+L251</f>
        <v>0</v>
      </c>
      <c r="P251" s="180" t="n">
        <f aca="false">M251+O251-N251</f>
        <v>724484.475954517</v>
      </c>
      <c r="Q251" s="180" t="n">
        <f aca="false">MAX(0,IFERROR(INDEX(TAB_IR,MATCH($C251,TAB_IR_DIAS,1),MATCH($B$8,TAB_IR_REGIMES,0)),0)*IF($B$26=2,M251,MAX(0,P251))-O251)</f>
        <v>108672.671393178</v>
      </c>
      <c r="R251" s="181" t="n">
        <f aca="false">MAX(0,M251-Q251-M251*$B$25)</f>
        <v>765811.804561339</v>
      </c>
      <c r="S251" s="180" t="n">
        <f aca="false">R251/$D251</f>
        <v>411554.654351445</v>
      </c>
      <c r="U251" s="180" t="n">
        <f aca="false">AB250</f>
        <v>675092.095791904</v>
      </c>
      <c r="V251" s="180" t="n">
        <f aca="false">IF($C$9=0,0,IF($A251&gt;IN_PRAZO,0,IF(APORTE_CORRIGIDO="Sim",IN_APORTE*$D251,IN_APORTE))+IF(AND($C$35=1,PGBL_REINVESTE="Sim",$A251&gt;=13,$A251&lt;=IN_PRAZO,MONTH($B251)=5),PGBL_BENEFICIO,0))</f>
        <v>0</v>
      </c>
      <c r="W251" s="180" t="n">
        <f aca="false">V251*$C$24</f>
        <v>0</v>
      </c>
      <c r="X251" s="180" t="n">
        <f aca="false">U251*$C$19</f>
        <v>5506.87841912866</v>
      </c>
      <c r="Y251" s="180" t="n">
        <f aca="false">U251*$C$22</f>
        <v>112.515349298651</v>
      </c>
      <c r="Z251" s="180" t="n">
        <f aca="false">$C$23*MAX(0,X251-U251*$C$18)</f>
        <v>0</v>
      </c>
      <c r="AA251" s="180" t="n">
        <f aca="false">IF(AND($C$27=1,OR(MONTH($B251)=5,MONTH($B251)=11)),MAX(0,$C$28*MAX(0,(U251+X251-Y251-Z251+V251-W251)+AD250-AC251)-AD250),0)</f>
        <v>0</v>
      </c>
      <c r="AB251" s="181" t="n">
        <f aca="false">U251+X251-Y251-Z251+V251-W251-AA251</f>
        <v>680486.458861734</v>
      </c>
      <c r="AC251" s="180" t="n">
        <f aca="false">AC250+V251-W251</f>
        <v>150000</v>
      </c>
      <c r="AD251" s="180" t="n">
        <f aca="false">AD250+AA251</f>
        <v>0</v>
      </c>
      <c r="AE251" s="180" t="n">
        <f aca="false">AB251+AD251-AC251</f>
        <v>530486.458861734</v>
      </c>
      <c r="AF251" s="180" t="n">
        <f aca="false">MAX(0,IFERROR(INDEX(TAB_IR,MATCH($C251,TAB_IR_DIAS,1),MATCH($C$8,TAB_IR_REGIMES,0)),0)*IF($C$26=2,AB251,MAX(0,AE251))-AD251)</f>
        <v>79572.9688292601</v>
      </c>
      <c r="AG251" s="181" t="n">
        <f aca="false">MAX(0,AB251-AF251-AB251*$C$25)</f>
        <v>600913.490032474</v>
      </c>
      <c r="AH251" s="180" t="n">
        <f aca="false">AG251/$D251</f>
        <v>322936.708748039</v>
      </c>
      <c r="AJ251" s="180" t="n">
        <f aca="false">AQ250</f>
        <v>555661.316982979</v>
      </c>
      <c r="AK251" s="180" t="n">
        <f aca="false">IF($D$9=0,0,IF($A251&gt;IN_PRAZO,0,IF(APORTE_CORRIGIDO="Sim",IN_APORTE*$D251,IN_APORTE))+IF(AND($D$35=1,PGBL_REINVESTE="Sim",$A251&gt;=13,$A251&lt;=IN_PRAZO,MONTH($B251)=5),PGBL_BENEFICIO,0))</f>
        <v>0</v>
      </c>
      <c r="AL251" s="180" t="n">
        <f aca="false">AK251*$D$24</f>
        <v>0</v>
      </c>
      <c r="AM251" s="180" t="n">
        <f aca="false">AJ251*$D$19</f>
        <v>4994.67124051179</v>
      </c>
      <c r="AN251" s="180" t="n">
        <f aca="false">AJ251*$D$22</f>
        <v>463.051097485816</v>
      </c>
      <c r="AO251" s="180" t="n">
        <f aca="false">$D$23*MAX(0,AM251-AJ251*$D$18)</f>
        <v>0</v>
      </c>
      <c r="AP251" s="180" t="n">
        <f aca="false">IF(AND($D$27=1,OR(MONTH($B251)=5,MONTH($B251)=11)),MAX(0,$D$28*MAX(0,(AJ251+AM251-AN251-AO251+AK251-AL251)+AS250-AR251)-AS250),0)</f>
        <v>0</v>
      </c>
      <c r="AQ251" s="181" t="n">
        <f aca="false">AJ251+AM251-AN251-AO251+AK251-AL251-AP251</f>
        <v>560192.937126005</v>
      </c>
      <c r="AR251" s="180" t="n">
        <f aca="false">AR250+AK251-AL251</f>
        <v>150000</v>
      </c>
      <c r="AS251" s="180" t="n">
        <f aca="false">AS250+AP251</f>
        <v>71587.2912322903</v>
      </c>
      <c r="AT251" s="180" t="n">
        <f aca="false">AQ251+AS251-AR251</f>
        <v>481780.228358295</v>
      </c>
      <c r="AU251" s="180" t="n">
        <f aca="false">MAX(0,IFERROR(INDEX(TAB_IR,MATCH($C251,TAB_IR_DIAS,1),MATCH($D$8,TAB_IR_REGIMES,0)),0)*IF($D$26=2,AQ251,MAX(0,AT251))-AS251)</f>
        <v>679.743021453891</v>
      </c>
      <c r="AV251" s="181" t="n">
        <f aca="false">MAX(0,AQ251-AU251-AQ251*$D$25)</f>
        <v>559513.194104551</v>
      </c>
      <c r="AW251" s="180" t="n">
        <f aca="false">AV251/$D251</f>
        <v>300687.790176689</v>
      </c>
      <c r="AY251" s="180" t="n">
        <f aca="false">BF250</f>
        <v>748152.718248563</v>
      </c>
      <c r="AZ251" s="180" t="n">
        <f aca="false">IF($E$9=0,0,IF($A251&gt;IN_PRAZO,0,IF(APORTE_CORRIGIDO="Sim",IN_APORTE*$D251,IN_APORTE))+IF(AND($E$35=1,PGBL_REINVESTE="Sim",$A251&gt;=13,$A251&lt;=IN_PRAZO,MONTH($B251)=5),PGBL_BENEFICIO,0))</f>
        <v>0</v>
      </c>
      <c r="BA251" s="180" t="n">
        <f aca="false">AZ251*$E$24</f>
        <v>0</v>
      </c>
      <c r="BB251" s="180" t="n">
        <f aca="false">AY251*$E$19</f>
        <v>7323.47644201714</v>
      </c>
      <c r="BC251" s="180" t="n">
        <f aca="false">AY251*$E$22</f>
        <v>935.190897810704</v>
      </c>
      <c r="BD251" s="180" t="n">
        <f aca="false">$E$23*MAX(0,BB251-AY251*$E$18)</f>
        <v>0</v>
      </c>
      <c r="BE251" s="180" t="n">
        <f aca="false">IF(AND($E$27=1,OR(MONTH($B251)=5,MONTH($B251)=11)),MAX(0,$E$28*MAX(0,(AY251+BB251-BC251-BD251+AZ251-BA251)+BH250-BG251)-BH250),0)</f>
        <v>0</v>
      </c>
      <c r="BF251" s="181" t="n">
        <f aca="false">AY251+BB251-BC251-BD251+AZ251-BA251-BE251</f>
        <v>754541.00379277</v>
      </c>
      <c r="BG251" s="180" t="n">
        <f aca="false">BG250+AZ251-BA251</f>
        <v>150000</v>
      </c>
      <c r="BH251" s="180" t="n">
        <f aca="false">BH250+BE251</f>
        <v>0</v>
      </c>
      <c r="BI251" s="180" t="n">
        <f aca="false">BF251+BH251-BG251</f>
        <v>604541.00379277</v>
      </c>
      <c r="BJ251" s="180" t="n">
        <f aca="false">MAX(0,IFERROR(INDEX(TAB_IR,MATCH($C251,TAB_IR_DIAS,1),MATCH($E$8,TAB_IR_REGIMES,0)),0)*IF($E$26=2,BF251,MAX(0,BI251))-BH251)</f>
        <v>60454.100379277</v>
      </c>
      <c r="BK251" s="181" t="n">
        <f aca="false">MAX(0,BF251-BJ251-BF251*$E$25)</f>
        <v>694086.903413493</v>
      </c>
      <c r="BL251" s="180" t="n">
        <f aca="false">BK251/$D251</f>
        <v>373009.000282817</v>
      </c>
      <c r="BN251" s="180" t="n">
        <f aca="false">BU250</f>
        <v>748152.718248563</v>
      </c>
      <c r="BO251" s="180" t="n">
        <f aca="false">IF($F$9=0,0,IF($A251&gt;IN_PRAZO,0,IF(APORTE_CORRIGIDO="Sim",IN_APORTE*$D251,IN_APORTE))+IF(AND($F$35=1,PGBL_REINVESTE="Sim",$A251&gt;=13,$A251&lt;=IN_PRAZO,MONTH($B251)=5),PGBL_BENEFICIO,0))</f>
        <v>0</v>
      </c>
      <c r="BP251" s="180" t="n">
        <f aca="false">BO251*$F$24</f>
        <v>0</v>
      </c>
      <c r="BQ251" s="180" t="n">
        <f aca="false">BN251*$F$19</f>
        <v>7323.47644201714</v>
      </c>
      <c r="BR251" s="180" t="n">
        <f aca="false">BN251*$F$22</f>
        <v>935.190897810704</v>
      </c>
      <c r="BS251" s="180" t="n">
        <f aca="false">$F$23*MAX(0,BQ251-BN251*$F$18)</f>
        <v>0</v>
      </c>
      <c r="BT251" s="180" t="n">
        <f aca="false">IF(AND($F$27=1,OR(MONTH($B251)=5,MONTH($B251)=11)),MAX(0,$F$28*MAX(0,(BN251+BQ251-BR251-BS251+BO251-BP251)+BW250-BV251)-BW250),0)</f>
        <v>0</v>
      </c>
      <c r="BU251" s="181" t="n">
        <f aca="false">BN251+BQ251-BR251-BS251+BO251-BP251-BT251</f>
        <v>754541.00379277</v>
      </c>
      <c r="BV251" s="180" t="n">
        <f aca="false">BV250+BO251-BP251</f>
        <v>150000</v>
      </c>
      <c r="BW251" s="180" t="n">
        <f aca="false">BW250+BT251</f>
        <v>0</v>
      </c>
      <c r="BX251" s="180" t="n">
        <f aca="false">BU251+BW251-BV251</f>
        <v>604541.00379277</v>
      </c>
      <c r="BY251" s="180" t="n">
        <f aca="false">MAX(0,IFERROR(INDEX(TAB_IR,MATCH($C251,TAB_IR_DIAS,1),MATCH($F$8,TAB_IR_REGIMES,0)),0)*IF($F$26=2,BU251,MAX(0,BX251))-BW251)</f>
        <v>75454.100379277</v>
      </c>
      <c r="BZ251" s="181" t="n">
        <f aca="false">MAX(0,BU251-BY251-BU251*$F$25)</f>
        <v>679086.903413493</v>
      </c>
      <c r="CA251" s="180" t="n">
        <f aca="false">BZ251/$D251</f>
        <v>364947.855523096</v>
      </c>
      <c r="CC251" s="180" t="n">
        <f aca="false">CJ250</f>
        <v>486244.288237782</v>
      </c>
      <c r="CD251" s="180" t="n">
        <f aca="false">IF($G$9=0,0,IF($A251&gt;IN_PRAZO,0,IF(APORTE_CORRIGIDO="Sim",IN_APORTE*$D251,IN_APORTE))+IF(AND($G$35=1,PGBL_REINVESTE="Sim",$A251&gt;=13,$A251&lt;=IN_PRAZO,MONTH($B251)=5),PGBL_BENEFICIO,0))</f>
        <v>0</v>
      </c>
      <c r="CE251" s="180" t="n">
        <f aca="false">CD251*$G$24</f>
        <v>0</v>
      </c>
      <c r="CF251" s="180" t="n">
        <f aca="false">CC251*$G$19</f>
        <v>3966.40427878244</v>
      </c>
      <c r="CG251" s="180" t="n">
        <f aca="false">CC251*$G$22</f>
        <v>405.203573531485</v>
      </c>
      <c r="CH251" s="180" t="n">
        <f aca="false">$G$23*MAX(0,CF251-CC251*$G$18)</f>
        <v>0</v>
      </c>
      <c r="CI251" s="180" t="n">
        <f aca="false">IF(AND($G$27=1,OR(MONTH($B251)=5,MONTH($B251)=11)),MAX(0,$G$28*MAX(0,(CC251+CF251-CG251-CH251+CD251-CE251)+CL250-CK251)-CL250),0)</f>
        <v>0</v>
      </c>
      <c r="CJ251" s="181" t="n">
        <f aca="false">CC251+CF251-CG251-CH251+CD251-CE251-CI251</f>
        <v>489805.488943033</v>
      </c>
      <c r="CK251" s="180" t="n">
        <f aca="false">CK250+CD251-CE251</f>
        <v>150000</v>
      </c>
      <c r="CL251" s="180" t="n">
        <f aca="false">CL250+CI251</f>
        <v>59337.2273360791</v>
      </c>
      <c r="CM251" s="180" t="n">
        <f aca="false">CJ251+CL251-CK251</f>
        <v>399142.716279112</v>
      </c>
      <c r="CN251" s="180" t="n">
        <f aca="false">MAX(0,IFERROR(INDEX(TAB_IR,MATCH($C251,TAB_IR_DIAS,1),MATCH($G$8,TAB_IR_REGIMES,0)),0)*IF($G$26=2,CJ251,MAX(0,CM251))-CL251)</f>
        <v>534.180105787644</v>
      </c>
      <c r="CO251" s="181" t="n">
        <f aca="false">MAX(0,CJ251-CN251-CJ251*$G$25)</f>
        <v>489271.308837245</v>
      </c>
      <c r="CP251" s="180" t="n">
        <f aca="false">CO251/$D251</f>
        <v>262939.123154327</v>
      </c>
    </row>
    <row r="252" customFormat="false" ht="12" hidden="false" customHeight="true" outlineLevel="0" collapsed="false">
      <c r="A252" s="177" t="n">
        <v>191</v>
      </c>
      <c r="B252" s="178" t="n">
        <f aca="false">EDATE(DATA_INICIO,$A252)</f>
        <v>52070</v>
      </c>
      <c r="C252" s="177" t="n">
        <f aca="false">$A252*30</f>
        <v>5730</v>
      </c>
      <c r="D252" s="179" t="n">
        <f aca="false">(1+IPCA_CENARIO)^($A252/12)</f>
        <v>1.86686960044803</v>
      </c>
      <c r="F252" s="180" t="n">
        <f aca="false">M251</f>
        <v>874484.475954517</v>
      </c>
      <c r="G252" s="180" t="n">
        <f aca="false">IF($B$9=0,0,IF($A252&gt;IN_PRAZO,0,IF(APORTE_CORRIGIDO="Sim",IN_APORTE*$D252,IN_APORTE))+IF(AND($B$35=1,PGBL_REINVESTE="Sim",$A252&gt;=13,$A252&lt;=IN_PRAZO,MONTH($B252)=5),PGBL_BENEFICIO,0))</f>
        <v>0</v>
      </c>
      <c r="H252" s="180" t="n">
        <f aca="false">G252*$B$24</f>
        <v>0</v>
      </c>
      <c r="I252" s="180" t="n">
        <f aca="false">F252*$B$19</f>
        <v>8297.80211683978</v>
      </c>
      <c r="J252" s="180" t="n">
        <f aca="false">F252*$B$22</f>
        <v>145.747412659086</v>
      </c>
      <c r="K252" s="180" t="n">
        <f aca="false">$B$23*MAX(0,I252-F252*$B$18)</f>
        <v>0</v>
      </c>
      <c r="L252" s="180" t="n">
        <f aca="false">IF(AND($B$27=1,OR(MONTH($B252)=5,MONTH($B252)=11)),MAX(0,$B$28*MAX(0,(F252+I252-J252-K252+G252-H252)+O251-N252)-O251),0)</f>
        <v>0</v>
      </c>
      <c r="M252" s="181" t="n">
        <f aca="false">F252+I252-J252-K252+G252-H252-L252</f>
        <v>882636.530658698</v>
      </c>
      <c r="N252" s="180" t="n">
        <f aca="false">N251+G252-H252</f>
        <v>150000</v>
      </c>
      <c r="O252" s="180" t="n">
        <f aca="false">O251+L252</f>
        <v>0</v>
      </c>
      <c r="P252" s="180" t="n">
        <f aca="false">M252+O252-N252</f>
        <v>732636.530658698</v>
      </c>
      <c r="Q252" s="180" t="n">
        <f aca="false">MAX(0,IFERROR(INDEX(TAB_IR,MATCH($C252,TAB_IR_DIAS,1),MATCH($B$8,TAB_IR_REGIMES,0)),0)*IF($B$26=2,M252,MAX(0,P252))-O252)</f>
        <v>109895.479598805</v>
      </c>
      <c r="R252" s="181" t="n">
        <f aca="false">MAX(0,M252-Q252-M252*$B$25)</f>
        <v>772741.051059893</v>
      </c>
      <c r="S252" s="180" t="n">
        <f aca="false">R252/$D252</f>
        <v>413923.420722285</v>
      </c>
      <c r="U252" s="180" t="n">
        <f aca="false">AB251</f>
        <v>680486.458861734</v>
      </c>
      <c r="V252" s="180" t="n">
        <f aca="false">IF($C$9=0,0,IF($A252&gt;IN_PRAZO,0,IF(APORTE_CORRIGIDO="Sim",IN_APORTE*$D252,IN_APORTE))+IF(AND($C$35=1,PGBL_REINVESTE="Sim",$A252&gt;=13,$A252&lt;=IN_PRAZO,MONTH($B252)=5),PGBL_BENEFICIO,0))</f>
        <v>0</v>
      </c>
      <c r="W252" s="180" t="n">
        <f aca="false">V252*$C$24</f>
        <v>0</v>
      </c>
      <c r="X252" s="180" t="n">
        <f aca="false">U252*$C$19</f>
        <v>5550.8814548024</v>
      </c>
      <c r="Y252" s="180" t="n">
        <f aca="false">U252*$C$22</f>
        <v>113.414409810289</v>
      </c>
      <c r="Z252" s="180" t="n">
        <f aca="false">$C$23*MAX(0,X252-U252*$C$18)</f>
        <v>0</v>
      </c>
      <c r="AA252" s="180" t="n">
        <f aca="false">IF(AND($C$27=1,OR(MONTH($B252)=5,MONTH($B252)=11)),MAX(0,$C$28*MAX(0,(U252+X252-Y252-Z252+V252-W252)+AD251-AC252)-AD251),0)</f>
        <v>0</v>
      </c>
      <c r="AB252" s="181" t="n">
        <f aca="false">U252+X252-Y252-Z252+V252-W252-AA252</f>
        <v>685923.925906726</v>
      </c>
      <c r="AC252" s="180" t="n">
        <f aca="false">AC251+V252-W252</f>
        <v>150000</v>
      </c>
      <c r="AD252" s="180" t="n">
        <f aca="false">AD251+AA252</f>
        <v>0</v>
      </c>
      <c r="AE252" s="180" t="n">
        <f aca="false">AB252+AD252-AC252</f>
        <v>535923.925906726</v>
      </c>
      <c r="AF252" s="180" t="n">
        <f aca="false">MAX(0,IFERROR(INDEX(TAB_IR,MATCH($C252,TAB_IR_DIAS,1),MATCH($C$8,TAB_IR_REGIMES,0)),0)*IF($C$26=2,AB252,MAX(0,AE252))-AD252)</f>
        <v>80388.5888860089</v>
      </c>
      <c r="AG252" s="181" t="n">
        <f aca="false">MAX(0,AB252-AF252-AB252*$C$25)</f>
        <v>605535.337020717</v>
      </c>
      <c r="AH252" s="180" t="n">
        <f aca="false">AG252/$D252</f>
        <v>324358.668048049</v>
      </c>
      <c r="AJ252" s="180" t="n">
        <f aca="false">AQ251</f>
        <v>560192.937126005</v>
      </c>
      <c r="AK252" s="180" t="n">
        <f aca="false">IF($D$9=0,0,IF($A252&gt;IN_PRAZO,0,IF(APORTE_CORRIGIDO="Sim",IN_APORTE*$D252,IN_APORTE))+IF(AND($D$35=1,PGBL_REINVESTE="Sim",$A252&gt;=13,$A252&lt;=IN_PRAZO,MONTH($B252)=5),PGBL_BENEFICIO,0))</f>
        <v>0</v>
      </c>
      <c r="AL252" s="180" t="n">
        <f aca="false">AK252*$D$24</f>
        <v>0</v>
      </c>
      <c r="AM252" s="180" t="n">
        <f aca="false">AJ252*$D$19</f>
        <v>5035.40460112107</v>
      </c>
      <c r="AN252" s="180" t="n">
        <f aca="false">AJ252*$D$22</f>
        <v>466.827447605004</v>
      </c>
      <c r="AO252" s="180" t="n">
        <f aca="false">$D$23*MAX(0,AM252-AJ252*$D$18)</f>
        <v>0</v>
      </c>
      <c r="AP252" s="180" t="n">
        <f aca="false">IF(AND($D$27=1,OR(MONTH($B252)=5,MONTH($B252)=11)),MAX(0,$D$28*MAX(0,(AJ252+AM252-AN252-AO252+AK252-AL252)+AS251-AR252)-AS251),0)</f>
        <v>0</v>
      </c>
      <c r="AQ252" s="181" t="n">
        <f aca="false">AJ252+AM252-AN252-AO252+AK252-AL252-AP252</f>
        <v>564761.514279521</v>
      </c>
      <c r="AR252" s="180" t="n">
        <f aca="false">AR251+AK252-AL252</f>
        <v>150000</v>
      </c>
      <c r="AS252" s="180" t="n">
        <f aca="false">AS251+AP252</f>
        <v>71587.2912322903</v>
      </c>
      <c r="AT252" s="180" t="n">
        <f aca="false">AQ252+AS252-AR252</f>
        <v>486348.805511811</v>
      </c>
      <c r="AU252" s="180" t="n">
        <f aca="false">MAX(0,IFERROR(INDEX(TAB_IR,MATCH($C252,TAB_IR_DIAS,1),MATCH($D$8,TAB_IR_REGIMES,0)),0)*IF($D$26=2,AQ252,MAX(0,AT252))-AS252)</f>
        <v>1365.02959448131</v>
      </c>
      <c r="AV252" s="181" t="n">
        <f aca="false">MAX(0,AQ252-AU252-AQ252*$D$25)</f>
        <v>563396.484685039</v>
      </c>
      <c r="AW252" s="180" t="n">
        <f aca="false">AV252/$D252</f>
        <v>301786.736765026</v>
      </c>
      <c r="AY252" s="180" t="n">
        <f aca="false">BF251</f>
        <v>754541.00379277</v>
      </c>
      <c r="AZ252" s="180" t="n">
        <f aca="false">IF($E$9=0,0,IF($A252&gt;IN_PRAZO,0,IF(APORTE_CORRIGIDO="Sim",IN_APORTE*$D252,IN_APORTE))+IF(AND($E$35=1,PGBL_REINVESTE="Sim",$A252&gt;=13,$A252&lt;=IN_PRAZO,MONTH($B252)=5),PGBL_BENEFICIO,0))</f>
        <v>0</v>
      </c>
      <c r="BA252" s="180" t="n">
        <f aca="false">AZ252*$E$24</f>
        <v>0</v>
      </c>
      <c r="BB252" s="180" t="n">
        <f aca="false">AY252*$E$19</f>
        <v>7386.00974243393</v>
      </c>
      <c r="BC252" s="180" t="n">
        <f aca="false">AY252*$E$22</f>
        <v>943.176254740962</v>
      </c>
      <c r="BD252" s="180" t="n">
        <f aca="false">$E$23*MAX(0,BB252-AY252*$E$18)</f>
        <v>0</v>
      </c>
      <c r="BE252" s="180" t="n">
        <f aca="false">IF(AND($E$27=1,OR(MONTH($B252)=5,MONTH($B252)=11)),MAX(0,$E$28*MAX(0,(AY252+BB252-BC252-BD252+AZ252-BA252)+BH251-BG252)-BH251),0)</f>
        <v>0</v>
      </c>
      <c r="BF252" s="181" t="n">
        <f aca="false">AY252+BB252-BC252-BD252+AZ252-BA252-BE252</f>
        <v>760983.837280463</v>
      </c>
      <c r="BG252" s="180" t="n">
        <f aca="false">BG251+AZ252-BA252</f>
        <v>150000</v>
      </c>
      <c r="BH252" s="180" t="n">
        <f aca="false">BH251+BE252</f>
        <v>0</v>
      </c>
      <c r="BI252" s="180" t="n">
        <f aca="false">BF252+BH252-BG252</f>
        <v>610983.837280463</v>
      </c>
      <c r="BJ252" s="180" t="n">
        <f aca="false">MAX(0,IFERROR(INDEX(TAB_IR,MATCH($C252,TAB_IR_DIAS,1),MATCH($E$8,TAB_IR_REGIMES,0)),0)*IF($E$26=2,BF252,MAX(0,BI252))-BH252)</f>
        <v>61098.3837280463</v>
      </c>
      <c r="BK252" s="181" t="n">
        <f aca="false">MAX(0,BF252-BJ252-BF252*$E$25)</f>
        <v>699885.453552416</v>
      </c>
      <c r="BL252" s="180" t="n">
        <f aca="false">BK252/$D252</f>
        <v>374897.878986541</v>
      </c>
      <c r="BN252" s="180" t="n">
        <f aca="false">BU251</f>
        <v>754541.00379277</v>
      </c>
      <c r="BO252" s="180" t="n">
        <f aca="false">IF($F$9=0,0,IF($A252&gt;IN_PRAZO,0,IF(APORTE_CORRIGIDO="Sim",IN_APORTE*$D252,IN_APORTE))+IF(AND($F$35=1,PGBL_REINVESTE="Sim",$A252&gt;=13,$A252&lt;=IN_PRAZO,MONTH($B252)=5),PGBL_BENEFICIO,0))</f>
        <v>0</v>
      </c>
      <c r="BP252" s="180" t="n">
        <f aca="false">BO252*$F$24</f>
        <v>0</v>
      </c>
      <c r="BQ252" s="180" t="n">
        <f aca="false">BN252*$F$19</f>
        <v>7386.00974243393</v>
      </c>
      <c r="BR252" s="180" t="n">
        <f aca="false">BN252*$F$22</f>
        <v>943.176254740962</v>
      </c>
      <c r="BS252" s="180" t="n">
        <f aca="false">$F$23*MAX(0,BQ252-BN252*$F$18)</f>
        <v>0</v>
      </c>
      <c r="BT252" s="180" t="n">
        <f aca="false">IF(AND($F$27=1,OR(MONTH($B252)=5,MONTH($B252)=11)),MAX(0,$F$28*MAX(0,(BN252+BQ252-BR252-BS252+BO252-BP252)+BW251-BV252)-BW251),0)</f>
        <v>0</v>
      </c>
      <c r="BU252" s="181" t="n">
        <f aca="false">BN252+BQ252-BR252-BS252+BO252-BP252-BT252</f>
        <v>760983.837280463</v>
      </c>
      <c r="BV252" s="180" t="n">
        <f aca="false">BV251+BO252-BP252</f>
        <v>150000</v>
      </c>
      <c r="BW252" s="180" t="n">
        <f aca="false">BW251+BT252</f>
        <v>0</v>
      </c>
      <c r="BX252" s="180" t="n">
        <f aca="false">BU252+BW252-BV252</f>
        <v>610983.837280463</v>
      </c>
      <c r="BY252" s="180" t="n">
        <f aca="false">MAX(0,IFERROR(INDEX(TAB_IR,MATCH($C252,TAB_IR_DIAS,1),MATCH($F$8,TAB_IR_REGIMES,0)),0)*IF($F$26=2,BU252,MAX(0,BX252))-BW252)</f>
        <v>76098.3837280463</v>
      </c>
      <c r="BZ252" s="181" t="n">
        <f aca="false">MAX(0,BU252-BY252-BU252*$F$25)</f>
        <v>684885.453552416</v>
      </c>
      <c r="CA252" s="180" t="n">
        <f aca="false">BZ252/$D252</f>
        <v>366863.038204731</v>
      </c>
      <c r="CC252" s="180" t="n">
        <f aca="false">CJ251</f>
        <v>489805.488943033</v>
      </c>
      <c r="CD252" s="180" t="n">
        <f aca="false">IF($G$9=0,0,IF($A252&gt;IN_PRAZO,0,IF(APORTE_CORRIGIDO="Sim",IN_APORTE*$D252,IN_APORTE))+IF(AND($G$35=1,PGBL_REINVESTE="Sim",$A252&gt;=13,$A252&lt;=IN_PRAZO,MONTH($B252)=5),PGBL_BENEFICIO,0))</f>
        <v>0</v>
      </c>
      <c r="CE252" s="180" t="n">
        <f aca="false">CD252*$G$24</f>
        <v>0</v>
      </c>
      <c r="CF252" s="180" t="n">
        <f aca="false">CC252*$G$19</f>
        <v>3995.4537957775</v>
      </c>
      <c r="CG252" s="180" t="n">
        <f aca="false">CC252*$G$22</f>
        <v>408.171240785861</v>
      </c>
      <c r="CH252" s="180" t="n">
        <f aca="false">$G$23*MAX(0,CF252-CC252*$G$18)</f>
        <v>0</v>
      </c>
      <c r="CI252" s="180" t="n">
        <f aca="false">IF(AND($G$27=1,OR(MONTH($B252)=5,MONTH($B252)=11)),MAX(0,$G$28*MAX(0,(CC252+CF252-CG252-CH252+CD252-CE252)+CL251-CK252)-CL251),0)</f>
        <v>0</v>
      </c>
      <c r="CJ252" s="181" t="n">
        <f aca="false">CC252+CF252-CG252-CH252+CD252-CE252-CI252</f>
        <v>493392.771498024</v>
      </c>
      <c r="CK252" s="180" t="n">
        <f aca="false">CK251+CD252-CE252</f>
        <v>150000</v>
      </c>
      <c r="CL252" s="180" t="n">
        <f aca="false">CL251+CI252</f>
        <v>59337.2273360791</v>
      </c>
      <c r="CM252" s="180" t="n">
        <f aca="false">CJ252+CL252-CK252</f>
        <v>402729.998834104</v>
      </c>
      <c r="CN252" s="180" t="n">
        <f aca="false">MAX(0,IFERROR(INDEX(TAB_IR,MATCH($C252,TAB_IR_DIAS,1),MATCH($G$8,TAB_IR_REGIMES,0)),0)*IF($G$26=2,CJ252,MAX(0,CM252))-CL252)</f>
        <v>1072.27248903639</v>
      </c>
      <c r="CO252" s="181" t="n">
        <f aca="false">MAX(0,CJ252-CN252-CJ252*$G$25)</f>
        <v>492320.499008988</v>
      </c>
      <c r="CP252" s="180" t="n">
        <f aca="false">CO252/$D252</f>
        <v>263714.454877211</v>
      </c>
    </row>
    <row r="253" customFormat="false" ht="12" hidden="false" customHeight="true" outlineLevel="0" collapsed="false">
      <c r="A253" s="177" t="n">
        <v>192</v>
      </c>
      <c r="B253" s="178" t="n">
        <f aca="false">EDATE(DATA_INICIO,$A253)</f>
        <v>52101</v>
      </c>
      <c r="C253" s="177" t="n">
        <f aca="false">$A253*30</f>
        <v>5760</v>
      </c>
      <c r="D253" s="179" t="n">
        <f aca="false">(1+IPCA_CENARIO)^($A253/12)</f>
        <v>1.87298124572719</v>
      </c>
      <c r="F253" s="180" t="n">
        <f aca="false">M252</f>
        <v>882636.530658698</v>
      </c>
      <c r="G253" s="180" t="n">
        <f aca="false">IF($B$9=0,0,IF($A253&gt;IN_PRAZO,0,IF(APORTE_CORRIGIDO="Sim",IN_APORTE*$D253,IN_APORTE))+IF(AND($B$35=1,PGBL_REINVESTE="Sim",$A253&gt;=13,$A253&lt;=IN_PRAZO,MONTH($B253)=5),PGBL_BENEFICIO,0))</f>
        <v>0</v>
      </c>
      <c r="H253" s="180" t="n">
        <f aca="false">G253*$B$24</f>
        <v>0</v>
      </c>
      <c r="I253" s="180" t="n">
        <f aca="false">F253*$B$19</f>
        <v>8375.15527591914</v>
      </c>
      <c r="J253" s="180" t="n">
        <f aca="false">F253*$B$22</f>
        <v>147.106088443116</v>
      </c>
      <c r="K253" s="180" t="n">
        <f aca="false">$B$23*MAX(0,I253-F253*$B$18)</f>
        <v>0</v>
      </c>
      <c r="L253" s="180" t="n">
        <f aca="false">IF(AND($B$27=1,OR(MONTH($B253)=5,MONTH($B253)=11)),MAX(0,$B$28*MAX(0,(F253+I253-J253-K253+G253-H253)+O252-N253)-O252),0)</f>
        <v>0</v>
      </c>
      <c r="M253" s="181" t="n">
        <f aca="false">F253+I253-J253-K253+G253-H253-L253</f>
        <v>890864.579846174</v>
      </c>
      <c r="N253" s="180" t="n">
        <f aca="false">N252+G253-H253</f>
        <v>150000</v>
      </c>
      <c r="O253" s="180" t="n">
        <f aca="false">O252+L253</f>
        <v>0</v>
      </c>
      <c r="P253" s="180" t="n">
        <f aca="false">M253+O253-N253</f>
        <v>740864.579846174</v>
      </c>
      <c r="Q253" s="180" t="n">
        <f aca="false">MAX(0,IFERROR(INDEX(TAB_IR,MATCH($C253,TAB_IR_DIAS,1),MATCH($B$8,TAB_IR_REGIMES,0)),0)*IF($B$26=2,M253,MAX(0,P253))-O253)</f>
        <v>111129.686976926</v>
      </c>
      <c r="R253" s="181" t="n">
        <f aca="false">MAX(0,M253-Q253-M253*$B$25)</f>
        <v>779734.892869248</v>
      </c>
      <c r="S253" s="180" t="n">
        <f aca="false">R253/$D253</f>
        <v>416306.834170415</v>
      </c>
      <c r="U253" s="180" t="n">
        <f aca="false">AB252</f>
        <v>685923.925906726</v>
      </c>
      <c r="V253" s="180" t="n">
        <f aca="false">IF($C$9=0,0,IF($A253&gt;IN_PRAZO,0,IF(APORTE_CORRIGIDO="Sim",IN_APORTE*$D253,IN_APORTE))+IF(AND($C$35=1,PGBL_REINVESTE="Sim",$A253&gt;=13,$A253&lt;=IN_PRAZO,MONTH($B253)=5),PGBL_BENEFICIO,0))</f>
        <v>0</v>
      </c>
      <c r="W253" s="180" t="n">
        <f aca="false">V253*$C$24</f>
        <v>0</v>
      </c>
      <c r="X253" s="180" t="n">
        <f aca="false">U253*$C$19</f>
        <v>5595.23609931896</v>
      </c>
      <c r="Y253" s="180" t="n">
        <f aca="false">U253*$C$22</f>
        <v>114.320654317788</v>
      </c>
      <c r="Z253" s="180" t="n">
        <f aca="false">$C$23*MAX(0,X253-U253*$C$18)</f>
        <v>0</v>
      </c>
      <c r="AA253" s="180" t="n">
        <f aca="false">IF(AND($C$27=1,OR(MONTH($B253)=5,MONTH($B253)=11)),MAX(0,$C$28*MAX(0,(U253+X253-Y253-Z253+V253-W253)+AD252-AC253)-AD252),0)</f>
        <v>0</v>
      </c>
      <c r="AB253" s="181" t="n">
        <f aca="false">U253+X253-Y253-Z253+V253-W253-AA253</f>
        <v>691404.841351727</v>
      </c>
      <c r="AC253" s="180" t="n">
        <f aca="false">AC252+V253-W253</f>
        <v>150000</v>
      </c>
      <c r="AD253" s="180" t="n">
        <f aca="false">AD252+AA253</f>
        <v>0</v>
      </c>
      <c r="AE253" s="180" t="n">
        <f aca="false">AB253+AD253-AC253</f>
        <v>541404.841351727</v>
      </c>
      <c r="AF253" s="180" t="n">
        <f aca="false">MAX(0,IFERROR(INDEX(TAB_IR,MATCH($C253,TAB_IR_DIAS,1),MATCH($C$8,TAB_IR_REGIMES,0)),0)*IF($C$26=2,AB253,MAX(0,AE253))-AD253)</f>
        <v>81210.726202759</v>
      </c>
      <c r="AG253" s="181" t="n">
        <f aca="false">MAX(0,AB253-AF253-AB253*$C$25)</f>
        <v>610194.115148968</v>
      </c>
      <c r="AH253" s="180" t="n">
        <f aca="false">AG253/$D253</f>
        <v>325787.626833422</v>
      </c>
      <c r="AJ253" s="180" t="n">
        <f aca="false">AQ252</f>
        <v>564761.514279521</v>
      </c>
      <c r="AK253" s="180" t="n">
        <f aca="false">IF($D$9=0,0,IF($A253&gt;IN_PRAZO,0,IF(APORTE_CORRIGIDO="Sim",IN_APORTE*$D253,IN_APORTE))+IF(AND($D$35=1,PGBL_REINVESTE="Sim",$A253&gt;=13,$A253&lt;=IN_PRAZO,MONTH($B253)=5),PGBL_BENEFICIO,0))</f>
        <v>0</v>
      </c>
      <c r="AL253" s="180" t="n">
        <f aca="false">AK253*$D$24</f>
        <v>0</v>
      </c>
      <c r="AM253" s="180" t="n">
        <f aca="false">AJ253*$D$19</f>
        <v>5076.4701571015</v>
      </c>
      <c r="AN253" s="180" t="n">
        <f aca="false">AJ253*$D$22</f>
        <v>470.634595232934</v>
      </c>
      <c r="AO253" s="180" t="n">
        <f aca="false">$D$23*MAX(0,AM253-AJ253*$D$18)</f>
        <v>0</v>
      </c>
      <c r="AP253" s="180" t="n">
        <f aca="false">IF(AND($D$27=1,OR(MONTH($B253)=5,MONTH($B253)=11)),MAX(0,$D$28*MAX(0,(AJ253+AM253-AN253-AO253+AK253-AL253)+AS252-AR253)-AS252),0)</f>
        <v>0</v>
      </c>
      <c r="AQ253" s="181" t="n">
        <f aca="false">AJ253+AM253-AN253-AO253+AK253-AL253-AP253</f>
        <v>569367.349841389</v>
      </c>
      <c r="AR253" s="180" t="n">
        <f aca="false">AR252+AK253-AL253</f>
        <v>150000</v>
      </c>
      <c r="AS253" s="180" t="n">
        <f aca="false">AS252+AP253</f>
        <v>71587.2912322903</v>
      </c>
      <c r="AT253" s="180" t="n">
        <f aca="false">AQ253+AS253-AR253</f>
        <v>490954.64107368</v>
      </c>
      <c r="AU253" s="180" t="n">
        <f aca="false">MAX(0,IFERROR(INDEX(TAB_IR,MATCH($C253,TAB_IR_DIAS,1),MATCH($D$8,TAB_IR_REGIMES,0)),0)*IF($D$26=2,AQ253,MAX(0,AT253))-AS253)</f>
        <v>2055.90492876161</v>
      </c>
      <c r="AV253" s="181" t="n">
        <f aca="false">MAX(0,AQ253-AU253-AQ253*$D$25)</f>
        <v>567311.444912628</v>
      </c>
      <c r="AW253" s="180" t="n">
        <f aca="false">AV253/$D253</f>
        <v>302892.218599</v>
      </c>
      <c r="AY253" s="180" t="n">
        <f aca="false">BF252</f>
        <v>760983.837280463</v>
      </c>
      <c r="AZ253" s="180" t="n">
        <f aca="false">IF($E$9=0,0,IF($A253&gt;IN_PRAZO,0,IF(APORTE_CORRIGIDO="Sim",IN_APORTE*$D253,IN_APORTE))+IF(AND($E$35=1,PGBL_REINVESTE="Sim",$A253&gt;=13,$A253&lt;=IN_PRAZO,MONTH($B253)=5),PGBL_BENEFICIO,0))</f>
        <v>0</v>
      </c>
      <c r="BA253" s="180" t="n">
        <f aca="false">AZ253*$E$24</f>
        <v>0</v>
      </c>
      <c r="BB253" s="180" t="n">
        <f aca="false">AY253*$E$19</f>
        <v>7449.07699877889</v>
      </c>
      <c r="BC253" s="180" t="n">
        <f aca="false">AY253*$E$22</f>
        <v>951.229796600578</v>
      </c>
      <c r="BD253" s="180" t="n">
        <f aca="false">$E$23*MAX(0,BB253-AY253*$E$18)</f>
        <v>0</v>
      </c>
      <c r="BE253" s="180" t="n">
        <f aca="false">IF(AND($E$27=1,OR(MONTH($B253)=5,MONTH($B253)=11)),MAX(0,$E$28*MAX(0,(AY253+BB253-BC253-BD253+AZ253-BA253)+BH252-BG253)-BH252),0)</f>
        <v>0</v>
      </c>
      <c r="BF253" s="181" t="n">
        <f aca="false">AY253+BB253-BC253-BD253+AZ253-BA253-BE253</f>
        <v>767481.684482641</v>
      </c>
      <c r="BG253" s="180" t="n">
        <f aca="false">BG252+AZ253-BA253</f>
        <v>150000</v>
      </c>
      <c r="BH253" s="180" t="n">
        <f aca="false">BH252+BE253</f>
        <v>0</v>
      </c>
      <c r="BI253" s="180" t="n">
        <f aca="false">BF253+BH253-BG253</f>
        <v>617481.684482641</v>
      </c>
      <c r="BJ253" s="180" t="n">
        <f aca="false">MAX(0,IFERROR(INDEX(TAB_IR,MATCH($C253,TAB_IR_DIAS,1),MATCH($E$8,TAB_IR_REGIMES,0)),0)*IF($E$26=2,BF253,MAX(0,BI253))-BH253)</f>
        <v>61748.1684482641</v>
      </c>
      <c r="BK253" s="181" t="n">
        <f aca="false">MAX(0,BF253-BJ253-BF253*$E$25)</f>
        <v>705733.516034377</v>
      </c>
      <c r="BL253" s="180" t="n">
        <f aca="false">BK253/$D253</f>
        <v>376796.894066269</v>
      </c>
      <c r="BN253" s="180" t="n">
        <f aca="false">BU252</f>
        <v>760983.837280463</v>
      </c>
      <c r="BO253" s="180" t="n">
        <f aca="false">IF($F$9=0,0,IF($A253&gt;IN_PRAZO,0,IF(APORTE_CORRIGIDO="Sim",IN_APORTE*$D253,IN_APORTE))+IF(AND($F$35=1,PGBL_REINVESTE="Sim",$A253&gt;=13,$A253&lt;=IN_PRAZO,MONTH($B253)=5),PGBL_BENEFICIO,0))</f>
        <v>0</v>
      </c>
      <c r="BP253" s="180" t="n">
        <f aca="false">BO253*$F$24</f>
        <v>0</v>
      </c>
      <c r="BQ253" s="180" t="n">
        <f aca="false">BN253*$F$19</f>
        <v>7449.07699877889</v>
      </c>
      <c r="BR253" s="180" t="n">
        <f aca="false">BN253*$F$22</f>
        <v>951.229796600578</v>
      </c>
      <c r="BS253" s="180" t="n">
        <f aca="false">$F$23*MAX(0,BQ253-BN253*$F$18)</f>
        <v>0</v>
      </c>
      <c r="BT253" s="180" t="n">
        <f aca="false">IF(AND($F$27=1,OR(MONTH($B253)=5,MONTH($B253)=11)),MAX(0,$F$28*MAX(0,(BN253+BQ253-BR253-BS253+BO253-BP253)+BW252-BV253)-BW252),0)</f>
        <v>0</v>
      </c>
      <c r="BU253" s="181" t="n">
        <f aca="false">BN253+BQ253-BR253-BS253+BO253-BP253-BT253</f>
        <v>767481.684482641</v>
      </c>
      <c r="BV253" s="180" t="n">
        <f aca="false">BV252+BO253-BP253</f>
        <v>150000</v>
      </c>
      <c r="BW253" s="180" t="n">
        <f aca="false">BW252+BT253</f>
        <v>0</v>
      </c>
      <c r="BX253" s="180" t="n">
        <f aca="false">BU253+BW253-BV253</f>
        <v>617481.684482641</v>
      </c>
      <c r="BY253" s="180" t="n">
        <f aca="false">MAX(0,IFERROR(INDEX(TAB_IR,MATCH($C253,TAB_IR_DIAS,1),MATCH($F$8,TAB_IR_REGIMES,0)),0)*IF($F$26=2,BU253,MAX(0,BX253))-BW253)</f>
        <v>76748.1684482641</v>
      </c>
      <c r="BZ253" s="181" t="n">
        <f aca="false">MAX(0,BU253-BY253-BU253*$F$25)</f>
        <v>690733.516034377</v>
      </c>
      <c r="CA253" s="180" t="n">
        <f aca="false">BZ253/$D253</f>
        <v>368788.271430981</v>
      </c>
      <c r="CC253" s="180" t="n">
        <f aca="false">CJ252</f>
        <v>493392.771498024</v>
      </c>
      <c r="CD253" s="180" t="n">
        <f aca="false">IF($G$9=0,0,IF($A253&gt;IN_PRAZO,0,IF(APORTE_CORRIGIDO="Sim",IN_APORTE*$D253,IN_APORTE))+IF(AND($G$35=1,PGBL_REINVESTE="Sim",$A253&gt;=13,$A253&lt;=IN_PRAZO,MONTH($B253)=5),PGBL_BENEFICIO,0))</f>
        <v>0</v>
      </c>
      <c r="CE253" s="180" t="n">
        <f aca="false">CD253*$G$24</f>
        <v>0</v>
      </c>
      <c r="CF253" s="180" t="n">
        <f aca="false">CC253*$G$19</f>
        <v>4024.71606830081</v>
      </c>
      <c r="CG253" s="180" t="n">
        <f aca="false">CC253*$G$22</f>
        <v>411.16064291502</v>
      </c>
      <c r="CH253" s="180" t="n">
        <f aca="false">$G$23*MAX(0,CF253-CC253*$G$18)</f>
        <v>0</v>
      </c>
      <c r="CI253" s="180" t="n">
        <f aca="false">IF(AND($G$27=1,OR(MONTH($B253)=5,MONTH($B253)=11)),MAX(0,$G$28*MAX(0,(CC253+CF253-CG253-CH253+CD253-CE253)+CL252-CK253)-CL252),0)</f>
        <v>0</v>
      </c>
      <c r="CJ253" s="181" t="n">
        <f aca="false">CC253+CF253-CG253-CH253+CD253-CE253-CI253</f>
        <v>497006.32692341</v>
      </c>
      <c r="CK253" s="180" t="n">
        <f aca="false">CK252+CD253-CE253</f>
        <v>150000</v>
      </c>
      <c r="CL253" s="180" t="n">
        <f aca="false">CL252+CI253</f>
        <v>59337.2273360791</v>
      </c>
      <c r="CM253" s="180" t="n">
        <f aca="false">CJ253+CL253-CK253</f>
        <v>406343.554259489</v>
      </c>
      <c r="CN253" s="180" t="n">
        <f aca="false">MAX(0,IFERROR(INDEX(TAB_IR,MATCH($C253,TAB_IR_DIAS,1),MATCH($G$8,TAB_IR_REGIMES,0)),0)*IF($G$26=2,CJ253,MAX(0,CM253))-CL253)</f>
        <v>1614.30580284426</v>
      </c>
      <c r="CO253" s="181" t="n">
        <f aca="false">MAX(0,CJ253-CN253-CJ253*$G$25)</f>
        <v>495392.021120566</v>
      </c>
      <c r="CP253" s="180" t="n">
        <f aca="false">CO253/$D253</f>
        <v>264493.850245803</v>
      </c>
    </row>
    <row r="254" customFormat="false" ht="12" hidden="false" customHeight="true" outlineLevel="0" collapsed="false">
      <c r="A254" s="177" t="n">
        <v>193</v>
      </c>
      <c r="B254" s="178" t="n">
        <f aca="false">EDATE(DATA_INICIO,$A254)</f>
        <v>52132</v>
      </c>
      <c r="C254" s="177" t="n">
        <f aca="false">$A254*30</f>
        <v>5790</v>
      </c>
      <c r="D254" s="179" t="n">
        <f aca="false">(1+IPCA_CENARIO)^($A254/12)</f>
        <v>1.87911289894264</v>
      </c>
      <c r="F254" s="180" t="n">
        <f aca="false">M253</f>
        <v>890864.579846174</v>
      </c>
      <c r="G254" s="180" t="n">
        <f aca="false">IF($B$9=0,0,IF($A254&gt;IN_PRAZO,0,IF(APORTE_CORRIGIDO="Sim",IN_APORTE*$D254,IN_APORTE))+IF(AND($B$35=1,PGBL_REINVESTE="Sim",$A254&gt;=13,$A254&lt;=IN_PRAZO,MONTH($B254)=5),PGBL_BENEFICIO,0))</f>
        <v>0</v>
      </c>
      <c r="H254" s="180" t="n">
        <f aca="false">G254*$B$24</f>
        <v>0</v>
      </c>
      <c r="I254" s="180" t="n">
        <f aca="false">F254*$B$19</f>
        <v>8453.22953091467</v>
      </c>
      <c r="J254" s="180" t="n">
        <f aca="false">F254*$B$22</f>
        <v>148.477429974362</v>
      </c>
      <c r="K254" s="180" t="n">
        <f aca="false">$B$23*MAX(0,I254-F254*$B$18)</f>
        <v>0</v>
      </c>
      <c r="L254" s="180" t="n">
        <f aca="false">IF(AND($B$27=1,OR(MONTH($B254)=5,MONTH($B254)=11)),MAX(0,$B$28*MAX(0,(F254+I254-J254-K254+G254-H254)+O253-N254)-O253),0)</f>
        <v>0</v>
      </c>
      <c r="M254" s="181" t="n">
        <f aca="false">F254+I254-J254-K254+G254-H254-L254</f>
        <v>899169.331947114</v>
      </c>
      <c r="N254" s="180" t="n">
        <f aca="false">N253+G254-H254</f>
        <v>150000</v>
      </c>
      <c r="O254" s="180" t="n">
        <f aca="false">O253+L254</f>
        <v>0</v>
      </c>
      <c r="P254" s="180" t="n">
        <f aca="false">M254+O254-N254</f>
        <v>749169.331947114</v>
      </c>
      <c r="Q254" s="180" t="n">
        <f aca="false">MAX(0,IFERROR(INDEX(TAB_IR,MATCH($C254,TAB_IR_DIAS,1),MATCH($B$8,TAB_IR_REGIMES,0)),0)*IF($B$26=2,M254,MAX(0,P254))-O254)</f>
        <v>112375.399792067</v>
      </c>
      <c r="R254" s="181" t="n">
        <f aca="false">MAX(0,M254-Q254-M254*$B$25)</f>
        <v>786793.932155047</v>
      </c>
      <c r="S254" s="180" t="n">
        <f aca="false">R254/$D254</f>
        <v>418704.981801662</v>
      </c>
      <c r="U254" s="180" t="n">
        <f aca="false">AB253</f>
        <v>691404.841351727</v>
      </c>
      <c r="V254" s="180" t="n">
        <f aca="false">IF($C$9=0,0,IF($A254&gt;IN_PRAZO,0,IF(APORTE_CORRIGIDO="Sim",IN_APORTE*$D254,IN_APORTE))+IF(AND($C$35=1,PGBL_REINVESTE="Sim",$A254&gt;=13,$A254&lt;=IN_PRAZO,MONTH($B254)=5),PGBL_BENEFICIO,0))</f>
        <v>0</v>
      </c>
      <c r="W254" s="180" t="n">
        <f aca="false">V254*$C$24</f>
        <v>0</v>
      </c>
      <c r="X254" s="180" t="n">
        <f aca="false">U254*$C$19</f>
        <v>5639.94516222946</v>
      </c>
      <c r="Y254" s="180" t="n">
        <f aca="false">U254*$C$22</f>
        <v>115.234140225288</v>
      </c>
      <c r="Z254" s="180" t="n">
        <f aca="false">$C$23*MAX(0,X254-U254*$C$18)</f>
        <v>0</v>
      </c>
      <c r="AA254" s="180" t="n">
        <f aca="false">IF(AND($C$27=1,OR(MONTH($B254)=5,MONTH($B254)=11)),MAX(0,$C$28*MAX(0,(U254+X254-Y254-Z254+V254-W254)+AD253-AC254)-AD253),0)</f>
        <v>0</v>
      </c>
      <c r="AB254" s="181" t="n">
        <f aca="false">U254+X254-Y254-Z254+V254-W254-AA254</f>
        <v>696929.552373731</v>
      </c>
      <c r="AC254" s="180" t="n">
        <f aca="false">AC253+V254-W254</f>
        <v>150000</v>
      </c>
      <c r="AD254" s="180" t="n">
        <f aca="false">AD253+AA254</f>
        <v>0</v>
      </c>
      <c r="AE254" s="180" t="n">
        <f aca="false">AB254+AD254-AC254</f>
        <v>546929.552373731</v>
      </c>
      <c r="AF254" s="180" t="n">
        <f aca="false">MAX(0,IFERROR(INDEX(TAB_IR,MATCH($C254,TAB_IR_DIAS,1),MATCH($C$8,TAB_IR_REGIMES,0)),0)*IF($C$26=2,AB254,MAX(0,AE254))-AD254)</f>
        <v>82039.4328560597</v>
      </c>
      <c r="AG254" s="181" t="n">
        <f aca="false">MAX(0,AB254-AF254-AB254*$C$25)</f>
        <v>614890.119517671</v>
      </c>
      <c r="AH254" s="180" t="n">
        <f aca="false">AG254/$D254</f>
        <v>327223.616986326</v>
      </c>
      <c r="AJ254" s="180" t="n">
        <f aca="false">AQ253</f>
        <v>569367.349841389</v>
      </c>
      <c r="AK254" s="180" t="n">
        <f aca="false">IF($D$9=0,0,IF($A254&gt;IN_PRAZO,0,IF(APORTE_CORRIGIDO="Sim",IN_APORTE*$D254,IN_APORTE))+IF(AND($D$35=1,PGBL_REINVESTE="Sim",$A254&gt;=13,$A254&lt;=IN_PRAZO,MONTH($B254)=5),PGBL_BENEFICIO,0))</f>
        <v>0</v>
      </c>
      <c r="AL254" s="180" t="n">
        <f aca="false">AK254*$D$24</f>
        <v>0</v>
      </c>
      <c r="AM254" s="180" t="n">
        <f aca="false">AJ254*$D$19</f>
        <v>5117.87061762717</v>
      </c>
      <c r="AN254" s="180" t="n">
        <f aca="false">AJ254*$D$22</f>
        <v>474.472791534491</v>
      </c>
      <c r="AO254" s="180" t="n">
        <f aca="false">$D$23*MAX(0,AM254-AJ254*$D$18)</f>
        <v>0</v>
      </c>
      <c r="AP254" s="180" t="n">
        <f aca="false">IF(AND($D$27=1,OR(MONTH($B254)=5,MONTH($B254)=11)),MAX(0,$D$28*MAX(0,(AJ254+AM254-AN254-AO254+AK254-AL254)+AS253-AR254)-AS253),0)</f>
        <v>0</v>
      </c>
      <c r="AQ254" s="181" t="n">
        <f aca="false">AJ254+AM254-AN254-AO254+AK254-AL254-AP254</f>
        <v>574010.747667482</v>
      </c>
      <c r="AR254" s="180" t="n">
        <f aca="false">AR253+AK254-AL254</f>
        <v>150000</v>
      </c>
      <c r="AS254" s="180" t="n">
        <f aca="false">AS253+AP254</f>
        <v>71587.2912322903</v>
      </c>
      <c r="AT254" s="180" t="n">
        <f aca="false">AQ254+AS254-AR254</f>
        <v>495598.038899772</v>
      </c>
      <c r="AU254" s="180" t="n">
        <f aca="false">MAX(0,IFERROR(INDEX(TAB_IR,MATCH($C254,TAB_IR_DIAS,1),MATCH($D$8,TAB_IR_REGIMES,0)),0)*IF($D$26=2,AQ254,MAX(0,AT254))-AS254)</f>
        <v>2752.4146026755</v>
      </c>
      <c r="AV254" s="181" t="n">
        <f aca="false">MAX(0,AQ254-AU254-AQ254*$D$25)</f>
        <v>571258.333064807</v>
      </c>
      <c r="AW254" s="180" t="n">
        <f aca="false">AV254/$D254</f>
        <v>304004.263600259</v>
      </c>
      <c r="AY254" s="180" t="n">
        <f aca="false">BF253</f>
        <v>767481.684482641</v>
      </c>
      <c r="AZ254" s="180" t="n">
        <f aca="false">IF($E$9=0,0,IF($A254&gt;IN_PRAZO,0,IF(APORTE_CORRIGIDO="Sim",IN_APORTE*$D254,IN_APORTE))+IF(AND($E$35=1,PGBL_REINVESTE="Sim",$A254&gt;=13,$A254&lt;=IN_PRAZO,MONTH($B254)=5),PGBL_BENEFICIO,0))</f>
        <v>0</v>
      </c>
      <c r="BA254" s="180" t="n">
        <f aca="false">AZ254*$E$24</f>
        <v>0</v>
      </c>
      <c r="BB254" s="180" t="n">
        <f aca="false">AY254*$E$19</f>
        <v>7512.68277036571</v>
      </c>
      <c r="BC254" s="180" t="n">
        <f aca="false">AY254*$E$22</f>
        <v>959.352105603301</v>
      </c>
      <c r="BD254" s="180" t="n">
        <f aca="false">$E$23*MAX(0,BB254-AY254*$E$18)</f>
        <v>0</v>
      </c>
      <c r="BE254" s="180" t="n">
        <f aca="false">IF(AND($E$27=1,OR(MONTH($B254)=5,MONTH($B254)=11)),MAX(0,$E$28*MAX(0,(AY254+BB254-BC254-BD254+AZ254-BA254)+BH253-BG254)-BH253),0)</f>
        <v>0</v>
      </c>
      <c r="BF254" s="181" t="n">
        <f aca="false">AY254+BB254-BC254-BD254+AZ254-BA254-BE254</f>
        <v>774035.015147404</v>
      </c>
      <c r="BG254" s="180" t="n">
        <f aca="false">BG253+AZ254-BA254</f>
        <v>150000</v>
      </c>
      <c r="BH254" s="180" t="n">
        <f aca="false">BH253+BE254</f>
        <v>0</v>
      </c>
      <c r="BI254" s="180" t="n">
        <f aca="false">BF254+BH254-BG254</f>
        <v>624035.015147404</v>
      </c>
      <c r="BJ254" s="180" t="n">
        <f aca="false">MAX(0,IFERROR(INDEX(TAB_IR,MATCH($C254,TAB_IR_DIAS,1),MATCH($E$8,TAB_IR_REGIMES,0)),0)*IF($E$26=2,BF254,MAX(0,BI254))-BH254)</f>
        <v>62403.5015147404</v>
      </c>
      <c r="BK254" s="181" t="n">
        <f aca="false">MAX(0,BF254-BJ254-BF254*$E$25)</f>
        <v>711631.513632663</v>
      </c>
      <c r="BL254" s="180" t="n">
        <f aca="false">BK254/$D254</f>
        <v>378706.097985433</v>
      </c>
      <c r="BN254" s="180" t="n">
        <f aca="false">BU253</f>
        <v>767481.684482641</v>
      </c>
      <c r="BO254" s="180" t="n">
        <f aca="false">IF($F$9=0,0,IF($A254&gt;IN_PRAZO,0,IF(APORTE_CORRIGIDO="Sim",IN_APORTE*$D254,IN_APORTE))+IF(AND($F$35=1,PGBL_REINVESTE="Sim",$A254&gt;=13,$A254&lt;=IN_PRAZO,MONTH($B254)=5),PGBL_BENEFICIO,0))</f>
        <v>0</v>
      </c>
      <c r="BP254" s="180" t="n">
        <f aca="false">BO254*$F$24</f>
        <v>0</v>
      </c>
      <c r="BQ254" s="180" t="n">
        <f aca="false">BN254*$F$19</f>
        <v>7512.68277036571</v>
      </c>
      <c r="BR254" s="180" t="n">
        <f aca="false">BN254*$F$22</f>
        <v>959.352105603301</v>
      </c>
      <c r="BS254" s="180" t="n">
        <f aca="false">$F$23*MAX(0,BQ254-BN254*$F$18)</f>
        <v>0</v>
      </c>
      <c r="BT254" s="180" t="n">
        <f aca="false">IF(AND($F$27=1,OR(MONTH($B254)=5,MONTH($B254)=11)),MAX(0,$F$28*MAX(0,(BN254+BQ254-BR254-BS254+BO254-BP254)+BW253-BV254)-BW253),0)</f>
        <v>0</v>
      </c>
      <c r="BU254" s="181" t="n">
        <f aca="false">BN254+BQ254-BR254-BS254+BO254-BP254-BT254</f>
        <v>774035.015147404</v>
      </c>
      <c r="BV254" s="180" t="n">
        <f aca="false">BV253+BO254-BP254</f>
        <v>150000</v>
      </c>
      <c r="BW254" s="180" t="n">
        <f aca="false">BW253+BT254</f>
        <v>0</v>
      </c>
      <c r="BX254" s="180" t="n">
        <f aca="false">BU254+BW254-BV254</f>
        <v>624035.015147404</v>
      </c>
      <c r="BY254" s="180" t="n">
        <f aca="false">MAX(0,IFERROR(INDEX(TAB_IR,MATCH($C254,TAB_IR_DIAS,1),MATCH($F$8,TAB_IR_REGIMES,0)),0)*IF($F$26=2,BU254,MAX(0,BX254))-BW254)</f>
        <v>77403.5015147404</v>
      </c>
      <c r="BZ254" s="181" t="n">
        <f aca="false">MAX(0,BU254-BY254-BU254*$F$25)</f>
        <v>696631.513632663</v>
      </c>
      <c r="CA254" s="180" t="n">
        <f aca="false">BZ254/$D254</f>
        <v>370723.60794535</v>
      </c>
      <c r="CC254" s="180" t="n">
        <f aca="false">CJ253</f>
        <v>497006.32692341</v>
      </c>
      <c r="CD254" s="180" t="n">
        <f aca="false">IF($G$9=0,0,IF($A254&gt;IN_PRAZO,0,IF(APORTE_CORRIGIDO="Sim",IN_APORTE*$D254,IN_APORTE))+IF(AND($G$35=1,PGBL_REINVESTE="Sim",$A254&gt;=13,$A254&lt;=IN_PRAZO,MONTH($B254)=5),PGBL_BENEFICIO,0))</f>
        <v>0</v>
      </c>
      <c r="CE254" s="180" t="n">
        <f aca="false">CD254*$G$24</f>
        <v>0</v>
      </c>
      <c r="CF254" s="180" t="n">
        <f aca="false">CC254*$G$19</f>
        <v>4054.19265455093</v>
      </c>
      <c r="CG254" s="180" t="n">
        <f aca="false">CC254*$G$22</f>
        <v>414.171939102842</v>
      </c>
      <c r="CH254" s="180" t="n">
        <f aca="false">$G$23*MAX(0,CF254-CC254*$G$18)</f>
        <v>0</v>
      </c>
      <c r="CI254" s="180" t="n">
        <f aca="false">IF(AND($G$27=1,OR(MONTH($B254)=5,MONTH($B254)=11)),MAX(0,$G$28*MAX(0,(CC254+CF254-CG254-CH254+CD254-CE254)+CL253-CK254)-CL253),0)</f>
        <v>0</v>
      </c>
      <c r="CJ254" s="181" t="n">
        <f aca="false">CC254+CF254-CG254-CH254+CD254-CE254-CI254</f>
        <v>500646.347638858</v>
      </c>
      <c r="CK254" s="180" t="n">
        <f aca="false">CK253+CD254-CE254</f>
        <v>150000</v>
      </c>
      <c r="CL254" s="180" t="n">
        <f aca="false">CL253+CI254</f>
        <v>59337.2273360791</v>
      </c>
      <c r="CM254" s="180" t="n">
        <f aca="false">CJ254+CL254-CK254</f>
        <v>409983.574974938</v>
      </c>
      <c r="CN254" s="180" t="n">
        <f aca="false">MAX(0,IFERROR(INDEX(TAB_IR,MATCH($C254,TAB_IR_DIAS,1),MATCH($G$8,TAB_IR_REGIMES,0)),0)*IF($G$26=2,CJ254,MAX(0,CM254))-CL254)</f>
        <v>2160.30891016148</v>
      </c>
      <c r="CO254" s="181" t="n">
        <f aca="false">MAX(0,CJ254-CN254-CJ254*$G$25)</f>
        <v>498486.038728697</v>
      </c>
      <c r="CP254" s="180" t="n">
        <f aca="false">CO254/$D254</f>
        <v>265277.32261813</v>
      </c>
    </row>
    <row r="255" customFormat="false" ht="12" hidden="false" customHeight="true" outlineLevel="0" collapsed="false">
      <c r="A255" s="177" t="n">
        <v>194</v>
      </c>
      <c r="B255" s="178" t="n">
        <f aca="false">EDATE(DATA_INICIO,$A255)</f>
        <v>52162</v>
      </c>
      <c r="C255" s="177" t="n">
        <f aca="false">$A255*30</f>
        <v>5820</v>
      </c>
      <c r="D255" s="179" t="n">
        <f aca="false">(1+IPCA_CENARIO)^($A255/12)</f>
        <v>1.88526462559515</v>
      </c>
      <c r="F255" s="180" t="n">
        <f aca="false">M254</f>
        <v>899169.331947114</v>
      </c>
      <c r="G255" s="180" t="n">
        <f aca="false">IF($B$9=0,0,IF($A255&gt;IN_PRAZO,0,IF(APORTE_CORRIGIDO="Sim",IN_APORTE*$D255,IN_APORTE))+IF(AND($B$35=1,PGBL_REINVESTE="Sim",$A255&gt;=13,$A255&lt;=IN_PRAZO,MONTH($B255)=5),PGBL_BENEFICIO,0))</f>
        <v>0</v>
      </c>
      <c r="H255" s="180" t="n">
        <f aca="false">G255*$B$24</f>
        <v>0</v>
      </c>
      <c r="I255" s="180" t="n">
        <f aca="false">F255*$B$19</f>
        <v>8532.03160397353</v>
      </c>
      <c r="J255" s="180" t="n">
        <f aca="false">F255*$B$22</f>
        <v>149.861555324519</v>
      </c>
      <c r="K255" s="180" t="n">
        <f aca="false">$B$23*MAX(0,I255-F255*$B$18)</f>
        <v>0</v>
      </c>
      <c r="L255" s="180" t="n">
        <f aca="false">IF(AND($B$27=1,OR(MONTH($B255)=5,MONTH($B255)=11)),MAX(0,$B$28*MAX(0,(F255+I255-J255-K255+G255-H255)+O254-N255)-O254),0)</f>
        <v>0</v>
      </c>
      <c r="M255" s="181" t="n">
        <f aca="false">F255+I255-J255-K255+G255-H255-L255</f>
        <v>907551.501995763</v>
      </c>
      <c r="N255" s="180" t="n">
        <f aca="false">N254+G255-H255</f>
        <v>150000</v>
      </c>
      <c r="O255" s="180" t="n">
        <f aca="false">O254+L255</f>
        <v>0</v>
      </c>
      <c r="P255" s="180" t="n">
        <f aca="false">M255+O255-N255</f>
        <v>757551.501995763</v>
      </c>
      <c r="Q255" s="180" t="n">
        <f aca="false">MAX(0,IFERROR(INDEX(TAB_IR,MATCH($C255,TAB_IR_DIAS,1),MATCH($B$8,TAB_IR_REGIMES,0)),0)*IF($B$26=2,M255,MAX(0,P255))-O255)</f>
        <v>113632.725299364</v>
      </c>
      <c r="R255" s="181" t="n">
        <f aca="false">MAX(0,M255-Q255-M255*$B$25)</f>
        <v>793918.776696398</v>
      </c>
      <c r="S255" s="180" t="n">
        <f aca="false">R255/$D255</f>
        <v>421117.951250885</v>
      </c>
      <c r="U255" s="180" t="n">
        <f aca="false">AB254</f>
        <v>696929.552373731</v>
      </c>
      <c r="V255" s="180" t="n">
        <f aca="false">IF($C$9=0,0,IF($A255&gt;IN_PRAZO,0,IF(APORTE_CORRIGIDO="Sim",IN_APORTE*$D255,IN_APORTE))+IF(AND($C$35=1,PGBL_REINVESTE="Sim",$A255&gt;=13,$A255&lt;=IN_PRAZO,MONTH($B255)=5),PGBL_BENEFICIO,0))</f>
        <v>0</v>
      </c>
      <c r="W255" s="180" t="n">
        <f aca="false">V255*$C$24</f>
        <v>0</v>
      </c>
      <c r="X255" s="180" t="n">
        <f aca="false">U255*$C$19</f>
        <v>5685.01147553492</v>
      </c>
      <c r="Y255" s="180" t="n">
        <f aca="false">U255*$C$22</f>
        <v>116.154925395622</v>
      </c>
      <c r="Z255" s="180" t="n">
        <f aca="false">$C$23*MAX(0,X255-U255*$C$18)</f>
        <v>0</v>
      </c>
      <c r="AA255" s="180" t="n">
        <f aca="false">IF(AND($C$27=1,OR(MONTH($B255)=5,MONTH($B255)=11)),MAX(0,$C$28*MAX(0,(U255+X255-Y255-Z255+V255-W255)+AD254-AC255)-AD254),0)</f>
        <v>0</v>
      </c>
      <c r="AB255" s="181" t="n">
        <f aca="false">U255+X255-Y255-Z255+V255-W255-AA255</f>
        <v>702498.40892387</v>
      </c>
      <c r="AC255" s="180" t="n">
        <f aca="false">AC254+V255-W255</f>
        <v>150000</v>
      </c>
      <c r="AD255" s="180" t="n">
        <f aca="false">AD254+AA255</f>
        <v>0</v>
      </c>
      <c r="AE255" s="180" t="n">
        <f aca="false">AB255+AD255-AC255</f>
        <v>552498.40892387</v>
      </c>
      <c r="AF255" s="180" t="n">
        <f aca="false">MAX(0,IFERROR(INDEX(TAB_IR,MATCH($C255,TAB_IR_DIAS,1),MATCH($C$8,TAB_IR_REGIMES,0)),0)*IF($C$26=2,AB255,MAX(0,AE255))-AD255)</f>
        <v>82874.7613385806</v>
      </c>
      <c r="AG255" s="181" t="n">
        <f aca="false">MAX(0,AB255-AF255-AB255*$C$25)</f>
        <v>619623.64758529</v>
      </c>
      <c r="AH255" s="180" t="n">
        <f aca="false">AG255/$D255</f>
        <v>328666.67054217</v>
      </c>
      <c r="AJ255" s="180" t="n">
        <f aca="false">AQ254</f>
        <v>574010.747667482</v>
      </c>
      <c r="AK255" s="180" t="n">
        <f aca="false">IF($D$9=0,0,IF($A255&gt;IN_PRAZO,0,IF(APORTE_CORRIGIDO="Sim",IN_APORTE*$D255,IN_APORTE))+IF(AND($D$35=1,PGBL_REINVESTE="Sim",$A255&gt;=13,$A255&lt;=IN_PRAZO,MONTH($B255)=5),PGBL_BENEFICIO,0))</f>
        <v>0</v>
      </c>
      <c r="AL255" s="180" t="n">
        <f aca="false">AK255*$D$24</f>
        <v>0</v>
      </c>
      <c r="AM255" s="180" t="n">
        <f aca="false">AJ255*$D$19</f>
        <v>5159.60871396643</v>
      </c>
      <c r="AN255" s="180" t="n">
        <f aca="false">AJ255*$D$22</f>
        <v>478.342289722902</v>
      </c>
      <c r="AO255" s="180" t="n">
        <f aca="false">$D$23*MAX(0,AM255-AJ255*$D$18)</f>
        <v>0</v>
      </c>
      <c r="AP255" s="180" t="n">
        <f aca="false">IF(AND($D$27=1,OR(MONTH($B255)=5,MONTH($B255)=11)),MAX(0,$D$28*MAX(0,(AJ255+AM255-AN255-AO255+AK255-AL255)+AS254-AR255)-AS254),0)</f>
        <v>0</v>
      </c>
      <c r="AQ255" s="181" t="n">
        <f aca="false">AJ255+AM255-AN255-AO255+AK255-AL255-AP255</f>
        <v>578692.014091726</v>
      </c>
      <c r="AR255" s="180" t="n">
        <f aca="false">AR254+AK255-AL255</f>
        <v>150000</v>
      </c>
      <c r="AS255" s="180" t="n">
        <f aca="false">AS254+AP255</f>
        <v>71587.2912322903</v>
      </c>
      <c r="AT255" s="180" t="n">
        <f aca="false">AQ255+AS255-AR255</f>
        <v>500279.305324016</v>
      </c>
      <c r="AU255" s="180" t="n">
        <f aca="false">MAX(0,IFERROR(INDEX(TAB_IR,MATCH($C255,TAB_IR_DIAS,1),MATCH($D$8,TAB_IR_REGIMES,0)),0)*IF($D$26=2,AQ255,MAX(0,AT255))-AS255)</f>
        <v>3454.60456631205</v>
      </c>
      <c r="AV255" s="181" t="n">
        <f aca="false">MAX(0,AQ255-AU255-AQ255*$D$25)</f>
        <v>575237.409525414</v>
      </c>
      <c r="AW255" s="180" t="n">
        <f aca="false">AV255/$D255</f>
        <v>305122.899838965</v>
      </c>
      <c r="AY255" s="180" t="n">
        <f aca="false">BF254</f>
        <v>774035.015147404</v>
      </c>
      <c r="AZ255" s="180" t="n">
        <f aca="false">IF($E$9=0,0,IF($A255&gt;IN_PRAZO,0,IF(APORTE_CORRIGIDO="Sim",IN_APORTE*$D255,IN_APORTE))+IF(AND($E$35=1,PGBL_REINVESTE="Sim",$A255&gt;=13,$A255&lt;=IN_PRAZO,MONTH($B255)=5),PGBL_BENEFICIO,0))</f>
        <v>0</v>
      </c>
      <c r="BA255" s="180" t="n">
        <f aca="false">AZ255*$E$24</f>
        <v>0</v>
      </c>
      <c r="BB255" s="180" t="n">
        <f aca="false">AY255*$E$19</f>
        <v>7576.83165543892</v>
      </c>
      <c r="BC255" s="180" t="n">
        <f aca="false">AY255*$E$22</f>
        <v>967.543768934254</v>
      </c>
      <c r="BD255" s="180" t="n">
        <f aca="false">$E$23*MAX(0,BB255-AY255*$E$18)</f>
        <v>0</v>
      </c>
      <c r="BE255" s="180" t="n">
        <f aca="false">IF(AND($E$27=1,OR(MONTH($B255)=5,MONTH($B255)=11)),MAX(0,$E$28*MAX(0,(AY255+BB255-BC255-BD255+AZ255-BA255)+BH254-BG255)-BH254),0)</f>
        <v>0</v>
      </c>
      <c r="BF255" s="181" t="n">
        <f aca="false">AY255+BB255-BC255-BD255+AZ255-BA255-BE255</f>
        <v>780644.303033908</v>
      </c>
      <c r="BG255" s="180" t="n">
        <f aca="false">BG254+AZ255-BA255</f>
        <v>150000</v>
      </c>
      <c r="BH255" s="180" t="n">
        <f aca="false">BH254+BE255</f>
        <v>0</v>
      </c>
      <c r="BI255" s="180" t="n">
        <f aca="false">BF255+BH255-BG255</f>
        <v>630644.303033908</v>
      </c>
      <c r="BJ255" s="180" t="n">
        <f aca="false">MAX(0,IFERROR(INDEX(TAB_IR,MATCH($C255,TAB_IR_DIAS,1),MATCH($E$8,TAB_IR_REGIMES,0)),0)*IF($E$26=2,BF255,MAX(0,BI255))-BH255)</f>
        <v>63064.4303033908</v>
      </c>
      <c r="BK255" s="181" t="n">
        <f aca="false">MAX(0,BF255-BJ255-BF255*$E$25)</f>
        <v>717579.872730517</v>
      </c>
      <c r="BL255" s="180" t="n">
        <f aca="false">BK255/$D255</f>
        <v>380625.543485168</v>
      </c>
      <c r="BN255" s="180" t="n">
        <f aca="false">BU254</f>
        <v>774035.015147404</v>
      </c>
      <c r="BO255" s="180" t="n">
        <f aca="false">IF($F$9=0,0,IF($A255&gt;IN_PRAZO,0,IF(APORTE_CORRIGIDO="Sim",IN_APORTE*$D255,IN_APORTE))+IF(AND($F$35=1,PGBL_REINVESTE="Sim",$A255&gt;=13,$A255&lt;=IN_PRAZO,MONTH($B255)=5),PGBL_BENEFICIO,0))</f>
        <v>0</v>
      </c>
      <c r="BP255" s="180" t="n">
        <f aca="false">BO255*$F$24</f>
        <v>0</v>
      </c>
      <c r="BQ255" s="180" t="n">
        <f aca="false">BN255*$F$19</f>
        <v>7576.83165543892</v>
      </c>
      <c r="BR255" s="180" t="n">
        <f aca="false">BN255*$F$22</f>
        <v>967.543768934254</v>
      </c>
      <c r="BS255" s="180" t="n">
        <f aca="false">$F$23*MAX(0,BQ255-BN255*$F$18)</f>
        <v>0</v>
      </c>
      <c r="BT255" s="180" t="n">
        <f aca="false">IF(AND($F$27=1,OR(MONTH($B255)=5,MONTH($B255)=11)),MAX(0,$F$28*MAX(0,(BN255+BQ255-BR255-BS255+BO255-BP255)+BW254-BV255)-BW254),0)</f>
        <v>0</v>
      </c>
      <c r="BU255" s="181" t="n">
        <f aca="false">BN255+BQ255-BR255-BS255+BO255-BP255-BT255</f>
        <v>780644.303033908</v>
      </c>
      <c r="BV255" s="180" t="n">
        <f aca="false">BV254+BO255-BP255</f>
        <v>150000</v>
      </c>
      <c r="BW255" s="180" t="n">
        <f aca="false">BW254+BT255</f>
        <v>0</v>
      </c>
      <c r="BX255" s="180" t="n">
        <f aca="false">BU255+BW255-BV255</f>
        <v>630644.303033908</v>
      </c>
      <c r="BY255" s="180" t="n">
        <f aca="false">MAX(0,IFERROR(INDEX(TAB_IR,MATCH($C255,TAB_IR_DIAS,1),MATCH($F$8,TAB_IR_REGIMES,0)),0)*IF($F$26=2,BU255,MAX(0,BX255))-BW255)</f>
        <v>78064.4303033908</v>
      </c>
      <c r="BZ255" s="181" t="n">
        <f aca="false">MAX(0,BU255-BY255-BU255*$F$25)</f>
        <v>702579.872730517</v>
      </c>
      <c r="CA255" s="180" t="n">
        <f aca="false">BZ255/$D255</f>
        <v>372669.100768133</v>
      </c>
      <c r="CC255" s="180" t="n">
        <f aca="false">CJ254</f>
        <v>500646.347638858</v>
      </c>
      <c r="CD255" s="180" t="n">
        <f aca="false">IF($G$9=0,0,IF($A255&gt;IN_PRAZO,0,IF(APORTE_CORRIGIDO="Sim",IN_APORTE*$D255,IN_APORTE))+IF(AND($G$35=1,PGBL_REINVESTE="Sim",$A255&gt;=13,$A255&lt;=IN_PRAZO,MONTH($B255)=5),PGBL_BENEFICIO,0))</f>
        <v>0</v>
      </c>
      <c r="CE255" s="180" t="n">
        <f aca="false">CD255*$G$24</f>
        <v>0</v>
      </c>
      <c r="CF255" s="180" t="n">
        <f aca="false">CC255*$G$19</f>
        <v>4083.88512413846</v>
      </c>
      <c r="CG255" s="180" t="n">
        <f aca="false">CC255*$G$22</f>
        <v>417.205289699049</v>
      </c>
      <c r="CH255" s="180" t="n">
        <f aca="false">$G$23*MAX(0,CF255-CC255*$G$18)</f>
        <v>0</v>
      </c>
      <c r="CI255" s="180" t="n">
        <f aca="false">IF(AND($G$27=1,OR(MONTH($B255)=5,MONTH($B255)=11)),MAX(0,$G$28*MAX(0,(CC255+CF255-CG255-CH255+CD255-CE255)+CL254-CK255)-CL254),0)</f>
        <v>0</v>
      </c>
      <c r="CJ255" s="181" t="n">
        <f aca="false">CC255+CF255-CG255-CH255+CD255-CE255-CI255</f>
        <v>504313.027473298</v>
      </c>
      <c r="CK255" s="180" t="n">
        <f aca="false">CK254+CD255-CE255</f>
        <v>150000</v>
      </c>
      <c r="CL255" s="180" t="n">
        <f aca="false">CL254+CI255</f>
        <v>59337.2273360791</v>
      </c>
      <c r="CM255" s="180" t="n">
        <f aca="false">CJ255+CL255-CK255</f>
        <v>413650.254809377</v>
      </c>
      <c r="CN255" s="180" t="n">
        <f aca="false">MAX(0,IFERROR(INDEX(TAB_IR,MATCH($C255,TAB_IR_DIAS,1),MATCH($G$8,TAB_IR_REGIMES,0)),0)*IF($G$26=2,CJ255,MAX(0,CM255))-CL255)</f>
        <v>2710.31088532739</v>
      </c>
      <c r="CO255" s="181" t="n">
        <f aca="false">MAX(0,CJ255-CN255-CJ255*$G$25)</f>
        <v>501602.71658797</v>
      </c>
      <c r="CP255" s="180" t="n">
        <f aca="false">CO255/$D255</f>
        <v>266064.885416084</v>
      </c>
    </row>
    <row r="256" customFormat="false" ht="12" hidden="false" customHeight="true" outlineLevel="0" collapsed="false">
      <c r="A256" s="177" t="n">
        <v>195</v>
      </c>
      <c r="B256" s="178" t="n">
        <f aca="false">EDATE(DATA_INICIO,$A256)</f>
        <v>52193</v>
      </c>
      <c r="C256" s="177" t="n">
        <f aca="false">$A256*30</f>
        <v>5850</v>
      </c>
      <c r="D256" s="179" t="n">
        <f aca="false">(1+IPCA_CENARIO)^($A256/12)</f>
        <v>1.89143649139994</v>
      </c>
      <c r="F256" s="180" t="n">
        <f aca="false">M255</f>
        <v>907551.501995763</v>
      </c>
      <c r="G256" s="180" t="n">
        <f aca="false">IF($B$9=0,0,IF($A256&gt;IN_PRAZO,0,IF(APORTE_CORRIGIDO="Sim",IN_APORTE*$D256,IN_APORTE))+IF(AND($B$35=1,PGBL_REINVESTE="Sim",$A256&gt;=13,$A256&lt;=IN_PRAZO,MONTH($B256)=5),PGBL_BENEFICIO,0))</f>
        <v>0</v>
      </c>
      <c r="H256" s="180" t="n">
        <f aca="false">G256*$B$24</f>
        <v>0</v>
      </c>
      <c r="I256" s="180" t="n">
        <f aca="false">F256*$B$19</f>
        <v>8611.56827990763</v>
      </c>
      <c r="J256" s="180" t="n">
        <f aca="false">F256*$B$22</f>
        <v>151.25858366596</v>
      </c>
      <c r="K256" s="180" t="n">
        <f aca="false">$B$23*MAX(0,I256-F256*$B$18)</f>
        <v>0</v>
      </c>
      <c r="L256" s="180" t="n">
        <f aca="false">IF(AND($B$27=1,OR(MONTH($B256)=5,MONTH($B256)=11)),MAX(0,$B$28*MAX(0,(F256+I256-J256-K256+G256-H256)+O255-N256)-O255),0)</f>
        <v>0</v>
      </c>
      <c r="M256" s="181" t="n">
        <f aca="false">F256+I256-J256-K256+G256-H256-L256</f>
        <v>916011.811692004</v>
      </c>
      <c r="N256" s="180" t="n">
        <f aca="false">N255+G256-H256</f>
        <v>150000</v>
      </c>
      <c r="O256" s="180" t="n">
        <f aca="false">O255+L256</f>
        <v>0</v>
      </c>
      <c r="P256" s="180" t="n">
        <f aca="false">M256+O256-N256</f>
        <v>766011.811692004</v>
      </c>
      <c r="Q256" s="180" t="n">
        <f aca="false">MAX(0,IFERROR(INDEX(TAB_IR,MATCH($C256,TAB_IR_DIAS,1),MATCH($B$8,TAB_IR_REGIMES,0)),0)*IF($B$26=2,M256,MAX(0,P256))-O256)</f>
        <v>114901.771753801</v>
      </c>
      <c r="R256" s="181" t="n">
        <f aca="false">MAX(0,M256-Q256-M256*$B$25)</f>
        <v>801110.039938204</v>
      </c>
      <c r="S256" s="180" t="n">
        <f aca="false">R256/$D256</f>
        <v>423545.830685156</v>
      </c>
      <c r="U256" s="180" t="n">
        <f aca="false">AB255</f>
        <v>702498.40892387</v>
      </c>
      <c r="V256" s="180" t="n">
        <f aca="false">IF($C$9=0,0,IF($A256&gt;IN_PRAZO,0,IF(APORTE_CORRIGIDO="Sim",IN_APORTE*$D256,IN_APORTE))+IF(AND($C$35=1,PGBL_REINVESTE="Sim",$A256&gt;=13,$A256&lt;=IN_PRAZO,MONTH($B256)=5),PGBL_BENEFICIO,0))</f>
        <v>0</v>
      </c>
      <c r="W256" s="180" t="n">
        <f aca="false">V256*$C$24</f>
        <v>0</v>
      </c>
      <c r="X256" s="180" t="n">
        <f aca="false">U256*$C$19</f>
        <v>5730.43789386561</v>
      </c>
      <c r="Y256" s="180" t="n">
        <f aca="false">U256*$C$22</f>
        <v>117.083068153978</v>
      </c>
      <c r="Z256" s="180" t="n">
        <f aca="false">$C$23*MAX(0,X256-U256*$C$18)</f>
        <v>0</v>
      </c>
      <c r="AA256" s="180" t="n">
        <f aca="false">IF(AND($C$27=1,OR(MONTH($B256)=5,MONTH($B256)=11)),MAX(0,$C$28*MAX(0,(U256+X256-Y256-Z256+V256-W256)+AD255-AC256)-AD255),0)</f>
        <v>0</v>
      </c>
      <c r="AB256" s="181" t="n">
        <f aca="false">U256+X256-Y256-Z256+V256-W256-AA256</f>
        <v>708111.763749582</v>
      </c>
      <c r="AC256" s="180" t="n">
        <f aca="false">AC255+V256-W256</f>
        <v>150000</v>
      </c>
      <c r="AD256" s="180" t="n">
        <f aca="false">AD255+AA256</f>
        <v>0</v>
      </c>
      <c r="AE256" s="180" t="n">
        <f aca="false">AB256+AD256-AC256</f>
        <v>558111.763749582</v>
      </c>
      <c r="AF256" s="180" t="n">
        <f aca="false">MAX(0,IFERROR(INDEX(TAB_IR,MATCH($C256,TAB_IR_DIAS,1),MATCH($C$8,TAB_IR_REGIMES,0)),0)*IF($C$26=2,AB256,MAX(0,AE256))-AD256)</f>
        <v>83716.7645624373</v>
      </c>
      <c r="AG256" s="181" t="n">
        <f aca="false">MAX(0,AB256-AF256-AB256*$C$25)</f>
        <v>624394.999187145</v>
      </c>
      <c r="AH256" s="180" t="n">
        <f aca="false">AG256/$D256</f>
        <v>330116.819690309</v>
      </c>
      <c r="AJ256" s="180" t="n">
        <f aca="false">AQ255</f>
        <v>578692.014091726</v>
      </c>
      <c r="AK256" s="180" t="n">
        <f aca="false">IF($D$9=0,0,IF($A256&gt;IN_PRAZO,0,IF(APORTE_CORRIGIDO="Sim",IN_APORTE*$D256,IN_APORTE))+IF(AND($D$35=1,PGBL_REINVESTE="Sim",$A256&gt;=13,$A256&lt;=IN_PRAZO,MONTH($B256)=5),PGBL_BENEFICIO,0))</f>
        <v>0</v>
      </c>
      <c r="AL256" s="180" t="n">
        <f aca="false">AK256*$D$24</f>
        <v>0</v>
      </c>
      <c r="AM256" s="180" t="n">
        <f aca="false">AJ256*$D$19</f>
        <v>5201.68719966217</v>
      </c>
      <c r="AN256" s="180" t="n">
        <f aca="false">AJ256*$D$22</f>
        <v>482.243345076438</v>
      </c>
      <c r="AO256" s="180" t="n">
        <f aca="false">$D$23*MAX(0,AM256-AJ256*$D$18)</f>
        <v>0</v>
      </c>
      <c r="AP256" s="180" t="n">
        <f aca="false">IF(AND($D$27=1,OR(MONTH($B256)=5,MONTH($B256)=11)),MAX(0,$D$28*MAX(0,(AJ256+AM256-AN256-AO256+AK256-AL256)+AS255-AR256)-AS255),0)</f>
        <v>4162.5211444999</v>
      </c>
      <c r="AQ256" s="181" t="n">
        <f aca="false">AJ256+AM256-AN256-AO256+AK256-AL256-AP256</f>
        <v>579248.936801811</v>
      </c>
      <c r="AR256" s="180" t="n">
        <f aca="false">AR255+AK256-AL256</f>
        <v>150000</v>
      </c>
      <c r="AS256" s="180" t="n">
        <f aca="false">AS255+AP256</f>
        <v>75749.8123767902</v>
      </c>
      <c r="AT256" s="180" t="n">
        <f aca="false">AQ256+AS256-AR256</f>
        <v>504998.749178602</v>
      </c>
      <c r="AU256" s="180" t="n">
        <f aca="false">MAX(0,IFERROR(INDEX(TAB_IR,MATCH($C256,TAB_IR_DIAS,1),MATCH($D$8,TAB_IR_REGIMES,0)),0)*IF($D$26=2,AQ256,MAX(0,AT256))-AS256)</f>
        <v>0</v>
      </c>
      <c r="AV256" s="181" t="n">
        <f aca="false">MAX(0,AQ256-AU256-AQ256*$D$25)</f>
        <v>579248.936801811</v>
      </c>
      <c r="AW256" s="180" t="n">
        <f aca="false">AV256/$D256</f>
        <v>306248.155534465</v>
      </c>
      <c r="AY256" s="180" t="n">
        <f aca="false">BF255</f>
        <v>780644.303033908</v>
      </c>
      <c r="AZ256" s="180" t="n">
        <f aca="false">IF($E$9=0,0,IF($A256&gt;IN_PRAZO,0,IF(APORTE_CORRIGIDO="Sim",IN_APORTE*$D256,IN_APORTE))+IF(AND($E$35=1,PGBL_REINVESTE="Sim",$A256&gt;=13,$A256&lt;=IN_PRAZO,MONTH($B256)=5),PGBL_BENEFICIO,0))</f>
        <v>0</v>
      </c>
      <c r="BA256" s="180" t="n">
        <f aca="false">AZ256*$E$24</f>
        <v>0</v>
      </c>
      <c r="BB256" s="180" t="n">
        <f aca="false">AY256*$E$19</f>
        <v>7641.52829150627</v>
      </c>
      <c r="BC256" s="180" t="n">
        <f aca="false">AY256*$E$22</f>
        <v>975.805378792385</v>
      </c>
      <c r="BD256" s="180" t="n">
        <f aca="false">$E$23*MAX(0,BB256-AY256*$E$18)</f>
        <v>0</v>
      </c>
      <c r="BE256" s="180" t="n">
        <f aca="false">IF(AND($E$27=1,OR(MONTH($B256)=5,MONTH($B256)=11)),MAX(0,$E$28*MAX(0,(AY256+BB256-BC256-BD256+AZ256-BA256)+BH255-BG256)-BH255),0)</f>
        <v>0</v>
      </c>
      <c r="BF256" s="181" t="n">
        <f aca="false">AY256+BB256-BC256-BD256+AZ256-BA256-BE256</f>
        <v>787310.025946622</v>
      </c>
      <c r="BG256" s="180" t="n">
        <f aca="false">BG255+AZ256-BA256</f>
        <v>150000</v>
      </c>
      <c r="BH256" s="180" t="n">
        <f aca="false">BH255+BE256</f>
        <v>0</v>
      </c>
      <c r="BI256" s="180" t="n">
        <f aca="false">BF256+BH256-BG256</f>
        <v>637310.025946622</v>
      </c>
      <c r="BJ256" s="180" t="n">
        <f aca="false">MAX(0,IFERROR(INDEX(TAB_IR,MATCH($C256,TAB_IR_DIAS,1),MATCH($E$8,TAB_IR_REGIMES,0)),0)*IF($E$26=2,BF256,MAX(0,BI256))-BH256)</f>
        <v>63731.0025946622</v>
      </c>
      <c r="BK256" s="181" t="n">
        <f aca="false">MAX(0,BF256-BJ256-BF256*$E$25)</f>
        <v>723579.02335196</v>
      </c>
      <c r="BL256" s="180" t="n">
        <f aca="false">BK256/$D256</f>
        <v>382555.283585761</v>
      </c>
      <c r="BN256" s="180" t="n">
        <f aca="false">BU255</f>
        <v>780644.303033908</v>
      </c>
      <c r="BO256" s="180" t="n">
        <f aca="false">IF($F$9=0,0,IF($A256&gt;IN_PRAZO,0,IF(APORTE_CORRIGIDO="Sim",IN_APORTE*$D256,IN_APORTE))+IF(AND($F$35=1,PGBL_REINVESTE="Sim",$A256&gt;=13,$A256&lt;=IN_PRAZO,MONTH($B256)=5),PGBL_BENEFICIO,0))</f>
        <v>0</v>
      </c>
      <c r="BP256" s="180" t="n">
        <f aca="false">BO256*$F$24</f>
        <v>0</v>
      </c>
      <c r="BQ256" s="180" t="n">
        <f aca="false">BN256*$F$19</f>
        <v>7641.52829150627</v>
      </c>
      <c r="BR256" s="180" t="n">
        <f aca="false">BN256*$F$22</f>
        <v>975.805378792385</v>
      </c>
      <c r="BS256" s="180" t="n">
        <f aca="false">$F$23*MAX(0,BQ256-BN256*$F$18)</f>
        <v>0</v>
      </c>
      <c r="BT256" s="180" t="n">
        <f aca="false">IF(AND($F$27=1,OR(MONTH($B256)=5,MONTH($B256)=11)),MAX(0,$F$28*MAX(0,(BN256+BQ256-BR256-BS256+BO256-BP256)+BW255-BV256)-BW255),0)</f>
        <v>0</v>
      </c>
      <c r="BU256" s="181" t="n">
        <f aca="false">BN256+BQ256-BR256-BS256+BO256-BP256-BT256</f>
        <v>787310.025946622</v>
      </c>
      <c r="BV256" s="180" t="n">
        <f aca="false">BV255+BO256-BP256</f>
        <v>150000</v>
      </c>
      <c r="BW256" s="180" t="n">
        <f aca="false">BW255+BT256</f>
        <v>0</v>
      </c>
      <c r="BX256" s="180" t="n">
        <f aca="false">BU256+BW256-BV256</f>
        <v>637310.025946622</v>
      </c>
      <c r="BY256" s="180" t="n">
        <f aca="false">MAX(0,IFERROR(INDEX(TAB_IR,MATCH($C256,TAB_IR_DIAS,1),MATCH($F$8,TAB_IR_REGIMES,0)),0)*IF($F$26=2,BU256,MAX(0,BX256))-BW256)</f>
        <v>78731.0025946622</v>
      </c>
      <c r="BZ256" s="181" t="n">
        <f aca="false">MAX(0,BU256-BY256-BU256*$F$25)</f>
        <v>708579.02335196</v>
      </c>
      <c r="CA256" s="180" t="n">
        <f aca="false">BZ256/$D256</f>
        <v>374624.803197864</v>
      </c>
      <c r="CC256" s="180" t="n">
        <f aca="false">CJ255</f>
        <v>504313.027473298</v>
      </c>
      <c r="CD256" s="180" t="n">
        <f aca="false">IF($G$9=0,0,IF($A256&gt;IN_PRAZO,0,IF(APORTE_CORRIGIDO="Sim",IN_APORTE*$D256,IN_APORTE))+IF(AND($G$35=1,PGBL_REINVESTE="Sim",$A256&gt;=13,$A256&lt;=IN_PRAZO,MONTH($B256)=5),PGBL_BENEFICIO,0))</f>
        <v>0</v>
      </c>
      <c r="CE256" s="180" t="n">
        <f aca="false">CD256*$G$24</f>
        <v>0</v>
      </c>
      <c r="CF256" s="180" t="n">
        <f aca="false">CC256*$G$19</f>
        <v>4113.79505816967</v>
      </c>
      <c r="CG256" s="180" t="n">
        <f aca="false">CC256*$G$22</f>
        <v>420.260856227748</v>
      </c>
      <c r="CH256" s="180" t="n">
        <f aca="false">$G$23*MAX(0,CF256-CC256*$G$18)</f>
        <v>0</v>
      </c>
      <c r="CI256" s="180" t="n">
        <f aca="false">IF(AND($G$27=1,OR(MONTH($B256)=5,MONTH($B256)=11)),MAX(0,$G$28*MAX(0,(CC256+CF256-CG256-CH256+CD256-CE256)+CL255-CK256)-CL255),0)</f>
        <v>3264.34101561867</v>
      </c>
      <c r="CJ256" s="181" t="n">
        <f aca="false">CC256+CF256-CG256-CH256+CD256-CE256-CI256</f>
        <v>504742.220659621</v>
      </c>
      <c r="CK256" s="180" t="n">
        <f aca="false">CK255+CD256-CE256</f>
        <v>150000</v>
      </c>
      <c r="CL256" s="180" t="n">
        <f aca="false">CL255+CI256</f>
        <v>62601.5683516978</v>
      </c>
      <c r="CM256" s="180" t="n">
        <f aca="false">CJ256+CL256-CK256</f>
        <v>417343.789011319</v>
      </c>
      <c r="CN256" s="180" t="n">
        <f aca="false">MAX(0,IFERROR(INDEX(TAB_IR,MATCH($C256,TAB_IR_DIAS,1),MATCH($G$8,TAB_IR_REGIMES,0)),0)*IF($G$26=2,CJ256,MAX(0,CM256))-CL256)</f>
        <v>0</v>
      </c>
      <c r="CO256" s="181" t="n">
        <f aca="false">MAX(0,CJ256-CN256-CJ256*$G$25)</f>
        <v>504742.220659621</v>
      </c>
      <c r="CP256" s="180" t="n">
        <f aca="false">CO256/$D256</f>
        <v>266856.552125649</v>
      </c>
    </row>
    <row r="257" customFormat="false" ht="12" hidden="false" customHeight="true" outlineLevel="0" collapsed="false">
      <c r="A257" s="177" t="n">
        <v>196</v>
      </c>
      <c r="B257" s="178" t="n">
        <f aca="false">EDATE(DATA_INICIO,$A257)</f>
        <v>52223</v>
      </c>
      <c r="C257" s="177" t="n">
        <f aca="false">$A257*30</f>
        <v>5880</v>
      </c>
      <c r="D257" s="179" t="n">
        <f aca="false">(1+IPCA_CENARIO)^($A257/12)</f>
        <v>1.89762856228734</v>
      </c>
      <c r="F257" s="180" t="n">
        <f aca="false">M256</f>
        <v>916011.811692004</v>
      </c>
      <c r="G257" s="180" t="n">
        <f aca="false">IF($B$9=0,0,IF($A257&gt;IN_PRAZO,0,IF(APORTE_CORRIGIDO="Sim",IN_APORTE*$D257,IN_APORTE))+IF(AND($B$35=1,PGBL_REINVESTE="Sim",$A257&gt;=13,$A257&lt;=IN_PRAZO,MONTH($B257)=5),PGBL_BENEFICIO,0))</f>
        <v>0</v>
      </c>
      <c r="H257" s="180" t="n">
        <f aca="false">G257*$B$24</f>
        <v>0</v>
      </c>
      <c r="I257" s="180" t="n">
        <f aca="false">F257*$B$19</f>
        <v>8691.84640677771</v>
      </c>
      <c r="J257" s="180" t="n">
        <f aca="false">F257*$B$22</f>
        <v>152.668635282001</v>
      </c>
      <c r="K257" s="180" t="n">
        <f aca="false">$B$23*MAX(0,I257-F257*$B$18)</f>
        <v>0</v>
      </c>
      <c r="L257" s="180" t="n">
        <f aca="false">IF(AND($B$27=1,OR(MONTH($B257)=5,MONTH($B257)=11)),MAX(0,$B$28*MAX(0,(F257+I257-J257-K257+G257-H257)+O256-N257)-O256),0)</f>
        <v>0</v>
      </c>
      <c r="M257" s="181" t="n">
        <f aca="false">F257+I257-J257-K257+G257-H257-L257</f>
        <v>924550.9894635</v>
      </c>
      <c r="N257" s="180" t="n">
        <f aca="false">N256+G257-H257</f>
        <v>150000</v>
      </c>
      <c r="O257" s="180" t="n">
        <f aca="false">O256+L257</f>
        <v>0</v>
      </c>
      <c r="P257" s="180" t="n">
        <f aca="false">M257+O257-N257</f>
        <v>774550.9894635</v>
      </c>
      <c r="Q257" s="180" t="n">
        <f aca="false">MAX(0,IFERROR(INDEX(TAB_IR,MATCH($C257,TAB_IR_DIAS,1),MATCH($B$8,TAB_IR_REGIMES,0)),0)*IF($B$26=2,M257,MAX(0,P257))-O257)</f>
        <v>116182.648419525</v>
      </c>
      <c r="R257" s="181" t="n">
        <f aca="false">MAX(0,M257-Q257-M257*$B$25)</f>
        <v>808368.341043975</v>
      </c>
      <c r="S257" s="180" t="n">
        <f aca="false">R257/$D257</f>
        <v>425988.708806952</v>
      </c>
      <c r="U257" s="180" t="n">
        <f aca="false">AB256</f>
        <v>708111.763749582</v>
      </c>
      <c r="V257" s="180" t="n">
        <f aca="false">IF($C$9=0,0,IF($A257&gt;IN_PRAZO,0,IF(APORTE_CORRIGIDO="Sim",IN_APORTE*$D257,IN_APORTE))+IF(AND($C$35=1,PGBL_REINVESTE="Sim",$A257&gt;=13,$A257&lt;=IN_PRAZO,MONTH($B257)=5),PGBL_BENEFICIO,0))</f>
        <v>0</v>
      </c>
      <c r="W257" s="180" t="n">
        <f aca="false">V257*$C$24</f>
        <v>0</v>
      </c>
      <c r="X257" s="180" t="n">
        <f aca="false">U257*$C$19</f>
        <v>5776.2272946619</v>
      </c>
      <c r="Y257" s="180" t="n">
        <f aca="false">U257*$C$22</f>
        <v>118.018627291597</v>
      </c>
      <c r="Z257" s="180" t="n">
        <f aca="false">$C$23*MAX(0,X257-U257*$C$18)</f>
        <v>0</v>
      </c>
      <c r="AA257" s="180" t="n">
        <f aca="false">IF(AND($C$27=1,OR(MONTH($B257)=5,MONTH($B257)=11)),MAX(0,$C$28*MAX(0,(U257+X257-Y257-Z257+V257-W257)+AD256-AC257)-AD256),0)</f>
        <v>0</v>
      </c>
      <c r="AB257" s="181" t="n">
        <f aca="false">U257+X257-Y257-Z257+V257-W257-AA257</f>
        <v>713769.972416952</v>
      </c>
      <c r="AC257" s="180" t="n">
        <f aca="false">AC256+V257-W257</f>
        <v>150000</v>
      </c>
      <c r="AD257" s="180" t="n">
        <f aca="false">AD256+AA257</f>
        <v>0</v>
      </c>
      <c r="AE257" s="180" t="n">
        <f aca="false">AB257+AD257-AC257</f>
        <v>563769.972416952</v>
      </c>
      <c r="AF257" s="180" t="n">
        <f aca="false">MAX(0,IFERROR(INDEX(TAB_IR,MATCH($C257,TAB_IR_DIAS,1),MATCH($C$8,TAB_IR_REGIMES,0)),0)*IF($C$26=2,AB257,MAX(0,AE257))-AD257)</f>
        <v>84565.4958625429</v>
      </c>
      <c r="AG257" s="181" t="n">
        <f aca="false">MAX(0,AB257-AF257-AB257*$C$25)</f>
        <v>629204.47655441</v>
      </c>
      <c r="AH257" s="180" t="n">
        <f aca="false">AG257/$D257</f>
        <v>331574.09677476</v>
      </c>
      <c r="AJ257" s="180" t="n">
        <f aca="false">AQ256</f>
        <v>579248.936801811</v>
      </c>
      <c r="AK257" s="180" t="n">
        <f aca="false">IF($D$9=0,0,IF($A257&gt;IN_PRAZO,0,IF(APORTE_CORRIGIDO="Sim",IN_APORTE*$D257,IN_APORTE))+IF(AND($D$35=1,PGBL_REINVESTE="Sim",$A257&gt;=13,$A257&lt;=IN_PRAZO,MONTH($B257)=5),PGBL_BENEFICIO,0))</f>
        <v>0</v>
      </c>
      <c r="AL257" s="180" t="n">
        <f aca="false">AK257*$D$24</f>
        <v>0</v>
      </c>
      <c r="AM257" s="180" t="n">
        <f aca="false">AJ257*$D$19</f>
        <v>5206.69320918315</v>
      </c>
      <c r="AN257" s="180" t="n">
        <f aca="false">AJ257*$D$22</f>
        <v>482.707447334843</v>
      </c>
      <c r="AO257" s="180" t="n">
        <f aca="false">$D$23*MAX(0,AM257-AJ257*$D$18)</f>
        <v>0</v>
      </c>
      <c r="AP257" s="180" t="n">
        <f aca="false">IF(AND($D$27=1,OR(MONTH($B257)=5,MONTH($B257)=11)),MAX(0,$D$28*MAX(0,(AJ257+AM257-AN257-AO257+AK257-AL257)+AS256-AR257)-AS256),0)</f>
        <v>0</v>
      </c>
      <c r="AQ257" s="181" t="n">
        <f aca="false">AJ257+AM257-AN257-AO257+AK257-AL257-AP257</f>
        <v>583972.92256366</v>
      </c>
      <c r="AR257" s="180" t="n">
        <f aca="false">AR256+AK257-AL257</f>
        <v>150000</v>
      </c>
      <c r="AS257" s="180" t="n">
        <f aca="false">AS256+AP257</f>
        <v>75749.8123767902</v>
      </c>
      <c r="AT257" s="180" t="n">
        <f aca="false">AQ257+AS257-AR257</f>
        <v>509722.73494045</v>
      </c>
      <c r="AU257" s="180" t="n">
        <f aca="false">MAX(0,IFERROR(INDEX(TAB_IR,MATCH($C257,TAB_IR_DIAS,1),MATCH($D$8,TAB_IR_REGIMES,0)),0)*IF($D$26=2,AQ257,MAX(0,AT257))-AS257)</f>
        <v>708.597864277239</v>
      </c>
      <c r="AV257" s="181" t="n">
        <f aca="false">MAX(0,AQ257-AU257-AQ257*$D$25)</f>
        <v>583264.324699383</v>
      </c>
      <c r="AW257" s="180" t="n">
        <f aca="false">AV257/$D257</f>
        <v>307364.853317941</v>
      </c>
      <c r="AY257" s="180" t="n">
        <f aca="false">BF256</f>
        <v>787310.025946622</v>
      </c>
      <c r="AZ257" s="180" t="n">
        <f aca="false">IF($E$9=0,0,IF($A257&gt;IN_PRAZO,0,IF(APORTE_CORRIGIDO="Sim",IN_APORTE*$D257,IN_APORTE))+IF(AND($E$35=1,PGBL_REINVESTE="Sim",$A257&gt;=13,$A257&lt;=IN_PRAZO,MONTH($B257)=5),PGBL_BENEFICIO,0))</f>
        <v>0</v>
      </c>
      <c r="BA257" s="180" t="n">
        <f aca="false">AZ257*$E$24</f>
        <v>0</v>
      </c>
      <c r="BB257" s="180" t="n">
        <f aca="false">AY257*$E$19</f>
        <v>7706.77735567402</v>
      </c>
      <c r="BC257" s="180" t="n">
        <f aca="false">AY257*$E$22</f>
        <v>984.137532433278</v>
      </c>
      <c r="BD257" s="180" t="n">
        <f aca="false">$E$23*MAX(0,BB257-AY257*$E$18)</f>
        <v>0</v>
      </c>
      <c r="BE257" s="180" t="n">
        <f aca="false">IF(AND($E$27=1,OR(MONTH($B257)=5,MONTH($B257)=11)),MAX(0,$E$28*MAX(0,(AY257+BB257-BC257-BD257+AZ257-BA257)+BH256-BG257)-BH256),0)</f>
        <v>0</v>
      </c>
      <c r="BF257" s="181" t="n">
        <f aca="false">AY257+BB257-BC257-BD257+AZ257-BA257-BE257</f>
        <v>794032.665769863</v>
      </c>
      <c r="BG257" s="180" t="n">
        <f aca="false">BG256+AZ257-BA257</f>
        <v>150000</v>
      </c>
      <c r="BH257" s="180" t="n">
        <f aca="false">BH256+BE257</f>
        <v>0</v>
      </c>
      <c r="BI257" s="180" t="n">
        <f aca="false">BF257+BH257-BG257</f>
        <v>644032.665769863</v>
      </c>
      <c r="BJ257" s="180" t="n">
        <f aca="false">MAX(0,IFERROR(INDEX(TAB_IR,MATCH($C257,TAB_IR_DIAS,1),MATCH($E$8,TAB_IR_REGIMES,0)),0)*IF($E$26=2,BF257,MAX(0,BI257))-BH257)</f>
        <v>64403.2665769863</v>
      </c>
      <c r="BK257" s="181" t="n">
        <f aca="false">MAX(0,BF257-BJ257-BF257*$E$25)</f>
        <v>729629.399192877</v>
      </c>
      <c r="BL257" s="180" t="n">
        <f aca="false">BK257/$D257</f>
        <v>384495.371588108</v>
      </c>
      <c r="BN257" s="180" t="n">
        <f aca="false">BU256</f>
        <v>787310.025946622</v>
      </c>
      <c r="BO257" s="180" t="n">
        <f aca="false">IF($F$9=0,0,IF($A257&gt;IN_PRAZO,0,IF(APORTE_CORRIGIDO="Sim",IN_APORTE*$D257,IN_APORTE))+IF(AND($F$35=1,PGBL_REINVESTE="Sim",$A257&gt;=13,$A257&lt;=IN_PRAZO,MONTH($B257)=5),PGBL_BENEFICIO,0))</f>
        <v>0</v>
      </c>
      <c r="BP257" s="180" t="n">
        <f aca="false">BO257*$F$24</f>
        <v>0</v>
      </c>
      <c r="BQ257" s="180" t="n">
        <f aca="false">BN257*$F$19</f>
        <v>7706.77735567402</v>
      </c>
      <c r="BR257" s="180" t="n">
        <f aca="false">BN257*$F$22</f>
        <v>984.137532433278</v>
      </c>
      <c r="BS257" s="180" t="n">
        <f aca="false">$F$23*MAX(0,BQ257-BN257*$F$18)</f>
        <v>0</v>
      </c>
      <c r="BT257" s="180" t="n">
        <f aca="false">IF(AND($F$27=1,OR(MONTH($B257)=5,MONTH($B257)=11)),MAX(0,$F$28*MAX(0,(BN257+BQ257-BR257-BS257+BO257-BP257)+BW256-BV257)-BW256),0)</f>
        <v>0</v>
      </c>
      <c r="BU257" s="181" t="n">
        <f aca="false">BN257+BQ257-BR257-BS257+BO257-BP257-BT257</f>
        <v>794032.665769863</v>
      </c>
      <c r="BV257" s="180" t="n">
        <f aca="false">BV256+BO257-BP257</f>
        <v>150000</v>
      </c>
      <c r="BW257" s="180" t="n">
        <f aca="false">BW256+BT257</f>
        <v>0</v>
      </c>
      <c r="BX257" s="180" t="n">
        <f aca="false">BU257+BW257-BV257</f>
        <v>644032.665769863</v>
      </c>
      <c r="BY257" s="180" t="n">
        <f aca="false">MAX(0,IFERROR(INDEX(TAB_IR,MATCH($C257,TAB_IR_DIAS,1),MATCH($F$8,TAB_IR_REGIMES,0)),0)*IF($F$26=2,BU257,MAX(0,BX257))-BW257)</f>
        <v>79403.2665769863</v>
      </c>
      <c r="BZ257" s="181" t="n">
        <f aca="false">MAX(0,BU257-BY257-BU257*$F$25)</f>
        <v>714629.399192877</v>
      </c>
      <c r="CA257" s="180" t="n">
        <f aca="false">BZ257/$D257</f>
        <v>376590.768812779</v>
      </c>
      <c r="CC257" s="180" t="n">
        <f aca="false">CJ256</f>
        <v>504742.220659621</v>
      </c>
      <c r="CD257" s="180" t="n">
        <f aca="false">IF($G$9=0,0,IF($A257&gt;IN_PRAZO,0,IF(APORTE_CORRIGIDO="Sim",IN_APORTE*$D257,IN_APORTE))+IF(AND($G$35=1,PGBL_REINVESTE="Sim",$A257&gt;=13,$A257&lt;=IN_PRAZO,MONTH($B257)=5),PGBL_BENEFICIO,0))</f>
        <v>0</v>
      </c>
      <c r="CE257" s="180" t="n">
        <f aca="false">CD257*$G$24</f>
        <v>0</v>
      </c>
      <c r="CF257" s="180" t="n">
        <f aca="false">CC257*$G$19</f>
        <v>4117.29608374845</v>
      </c>
      <c r="CG257" s="180" t="n">
        <f aca="false">CC257*$G$22</f>
        <v>420.618517216351</v>
      </c>
      <c r="CH257" s="180" t="n">
        <f aca="false">$G$23*MAX(0,CF257-CC257*$G$18)</f>
        <v>0</v>
      </c>
      <c r="CI257" s="180" t="n">
        <f aca="false">IF(AND($G$27=1,OR(MONTH($B257)=5,MONTH($B257)=11)),MAX(0,$G$28*MAX(0,(CC257+CF257-CG257-CH257+CD257-CE257)+CL256-CK257)-CL256),0)</f>
        <v>0</v>
      </c>
      <c r="CJ257" s="181" t="n">
        <f aca="false">CC257+CF257-CG257-CH257+CD257-CE257-CI257</f>
        <v>508438.898226153</v>
      </c>
      <c r="CK257" s="180" t="n">
        <f aca="false">CK256+CD257-CE257</f>
        <v>150000</v>
      </c>
      <c r="CL257" s="180" t="n">
        <f aca="false">CL256+CI257</f>
        <v>62601.5683516978</v>
      </c>
      <c r="CM257" s="180" t="n">
        <f aca="false">CJ257+CL257-CK257</f>
        <v>421040.466577851</v>
      </c>
      <c r="CN257" s="180" t="n">
        <f aca="false">MAX(0,IFERROR(INDEX(TAB_IR,MATCH($C257,TAB_IR_DIAS,1),MATCH($G$8,TAB_IR_REGIMES,0)),0)*IF($G$26=2,CJ257,MAX(0,CM257))-CL257)</f>
        <v>554.501634979824</v>
      </c>
      <c r="CO257" s="181" t="n">
        <f aca="false">MAX(0,CJ257-CN257-CJ257*$G$25)</f>
        <v>507884.396591173</v>
      </c>
      <c r="CP257" s="180" t="n">
        <f aca="false">CO257/$D257</f>
        <v>267641.627389391</v>
      </c>
    </row>
    <row r="258" customFormat="false" ht="12" hidden="false" customHeight="true" outlineLevel="0" collapsed="false">
      <c r="A258" s="177" t="n">
        <v>197</v>
      </c>
      <c r="B258" s="178" t="n">
        <f aca="false">EDATE(DATA_INICIO,$A258)</f>
        <v>52254</v>
      </c>
      <c r="C258" s="177" t="n">
        <f aca="false">$A258*30</f>
        <v>5910</v>
      </c>
      <c r="D258" s="179" t="n">
        <f aca="false">(1+IPCA_CENARIO)^($A258/12)</f>
        <v>1.90384090440353</v>
      </c>
      <c r="F258" s="180" t="n">
        <f aca="false">M257</f>
        <v>924550.9894635</v>
      </c>
      <c r="G258" s="180" t="n">
        <f aca="false">IF($B$9=0,0,IF($A258&gt;IN_PRAZO,0,IF(APORTE_CORRIGIDO="Sim",IN_APORTE*$D258,IN_APORTE))+IF(AND($B$35=1,PGBL_REINVESTE="Sim",$A258&gt;=13,$A258&lt;=IN_PRAZO,MONTH($B258)=5),PGBL_BENEFICIO,0))</f>
        <v>0</v>
      </c>
      <c r="H258" s="180" t="n">
        <f aca="false">G258*$B$24</f>
        <v>0</v>
      </c>
      <c r="I258" s="180" t="n">
        <f aca="false">F258*$B$19</f>
        <v>8772.87289648302</v>
      </c>
      <c r="J258" s="180" t="n">
        <f aca="false">F258*$B$22</f>
        <v>154.09183157725</v>
      </c>
      <c r="K258" s="180" t="n">
        <f aca="false">$B$23*MAX(0,I258-F258*$B$18)</f>
        <v>0</v>
      </c>
      <c r="L258" s="180" t="n">
        <f aca="false">IF(AND($B$27=1,OR(MONTH($B258)=5,MONTH($B258)=11)),MAX(0,$B$28*MAX(0,(F258+I258-J258-K258+G258-H258)+O257-N258)-O257),0)</f>
        <v>0</v>
      </c>
      <c r="M258" s="181" t="n">
        <f aca="false">F258+I258-J258-K258+G258-H258-L258</f>
        <v>933169.770528406</v>
      </c>
      <c r="N258" s="180" t="n">
        <f aca="false">N257+G258-H258</f>
        <v>150000</v>
      </c>
      <c r="O258" s="180" t="n">
        <f aca="false">O257+L258</f>
        <v>0</v>
      </c>
      <c r="P258" s="180" t="n">
        <f aca="false">M258+O258-N258</f>
        <v>783169.770528406</v>
      </c>
      <c r="Q258" s="180" t="n">
        <f aca="false">MAX(0,IFERROR(INDEX(TAB_IR,MATCH($C258,TAB_IR_DIAS,1),MATCH($B$8,TAB_IR_REGIMES,0)),0)*IF($B$26=2,M258,MAX(0,P258))-O258)</f>
        <v>117475.465579261</v>
      </c>
      <c r="R258" s="181" t="n">
        <f aca="false">MAX(0,M258-Q258-M258*$B$25)</f>
        <v>815694.304949145</v>
      </c>
      <c r="S258" s="180" t="n">
        <f aca="false">R258/$D258</f>
        <v>428446.674857372</v>
      </c>
      <c r="U258" s="180" t="n">
        <f aca="false">AB257</f>
        <v>713769.972416952</v>
      </c>
      <c r="V258" s="180" t="n">
        <f aca="false">IF($C$9=0,0,IF($A258&gt;IN_PRAZO,0,IF(APORTE_CORRIGIDO="Sim",IN_APORTE*$D258,IN_APORTE))+IF(AND($C$35=1,PGBL_REINVESTE="Sim",$A258&gt;=13,$A258&lt;=IN_PRAZO,MONTH($B258)=5),PGBL_BENEFICIO,0))</f>
        <v>0</v>
      </c>
      <c r="W258" s="180" t="n">
        <f aca="false">V258*$C$24</f>
        <v>0</v>
      </c>
      <c r="X258" s="180" t="n">
        <f aca="false">U258*$C$19</f>
        <v>5822.38257835652</v>
      </c>
      <c r="Y258" s="180" t="n">
        <f aca="false">U258*$C$22</f>
        <v>118.961662069492</v>
      </c>
      <c r="Z258" s="180" t="n">
        <f aca="false">$C$23*MAX(0,X258-U258*$C$18)</f>
        <v>0</v>
      </c>
      <c r="AA258" s="180" t="n">
        <f aca="false">IF(AND($C$27=1,OR(MONTH($B258)=5,MONTH($B258)=11)),MAX(0,$C$28*MAX(0,(U258+X258-Y258-Z258+V258-W258)+AD257-AC258)-AD257),0)</f>
        <v>0</v>
      </c>
      <c r="AB258" s="181" t="n">
        <f aca="false">U258+X258-Y258-Z258+V258-W258-AA258</f>
        <v>719473.393333239</v>
      </c>
      <c r="AC258" s="180" t="n">
        <f aca="false">AC257+V258-W258</f>
        <v>150000</v>
      </c>
      <c r="AD258" s="180" t="n">
        <f aca="false">AD257+AA258</f>
        <v>0</v>
      </c>
      <c r="AE258" s="180" t="n">
        <f aca="false">AB258+AD258-AC258</f>
        <v>569473.393333239</v>
      </c>
      <c r="AF258" s="180" t="n">
        <f aca="false">MAX(0,IFERROR(INDEX(TAB_IR,MATCH($C258,TAB_IR_DIAS,1),MATCH($C$8,TAB_IR_REGIMES,0)),0)*IF($C$26=2,AB258,MAX(0,AE258))-AD258)</f>
        <v>85421.0089999859</v>
      </c>
      <c r="AG258" s="181" t="n">
        <f aca="false">MAX(0,AB258-AF258-AB258*$C$25)</f>
        <v>634052.384333254</v>
      </c>
      <c r="AH258" s="180" t="n">
        <f aca="false">AG258/$D258</f>
        <v>333038.534294913</v>
      </c>
      <c r="AJ258" s="180" t="n">
        <f aca="false">AQ257</f>
        <v>583972.92256366</v>
      </c>
      <c r="AK258" s="180" t="n">
        <f aca="false">IF($D$9=0,0,IF($A258&gt;IN_PRAZO,0,IF(APORTE_CORRIGIDO="Sim",IN_APORTE*$D258,IN_APORTE))+IF(AND($D$35=1,PGBL_REINVESTE="Sim",$A258&gt;=13,$A258&lt;=IN_PRAZO,MONTH($B258)=5),PGBL_BENEFICIO,0))</f>
        <v>0</v>
      </c>
      <c r="AL258" s="180" t="n">
        <f aca="false">AK258*$D$24</f>
        <v>0</v>
      </c>
      <c r="AM258" s="180" t="n">
        <f aca="false">AJ258*$D$19</f>
        <v>5249.15568606277</v>
      </c>
      <c r="AN258" s="180" t="n">
        <f aca="false">AJ258*$D$22</f>
        <v>486.644102136383</v>
      </c>
      <c r="AO258" s="180" t="n">
        <f aca="false">$D$23*MAX(0,AM258-AJ258*$D$18)</f>
        <v>0</v>
      </c>
      <c r="AP258" s="180" t="n">
        <f aca="false">IF(AND($D$27=1,OR(MONTH($B258)=5,MONTH($B258)=11)),MAX(0,$D$28*MAX(0,(AJ258+AM258-AN258-AO258+AK258-AL258)+AS257-AR258)-AS257),0)</f>
        <v>0</v>
      </c>
      <c r="AQ258" s="181" t="n">
        <f aca="false">AJ258+AM258-AN258-AO258+AK258-AL258-AP258</f>
        <v>588735.434147586</v>
      </c>
      <c r="AR258" s="180" t="n">
        <f aca="false">AR257+AK258-AL258</f>
        <v>150000</v>
      </c>
      <c r="AS258" s="180" t="n">
        <f aca="false">AS257+AP258</f>
        <v>75749.8123767902</v>
      </c>
      <c r="AT258" s="180" t="n">
        <f aca="false">AQ258+AS258-AR258</f>
        <v>514485.246524376</v>
      </c>
      <c r="AU258" s="180" t="n">
        <f aca="false">MAX(0,IFERROR(INDEX(TAB_IR,MATCH($C258,TAB_IR_DIAS,1),MATCH($D$8,TAB_IR_REGIMES,0)),0)*IF($D$26=2,AQ258,MAX(0,AT258))-AS258)</f>
        <v>1422.9746018662</v>
      </c>
      <c r="AV258" s="181" t="n">
        <f aca="false">MAX(0,AQ258-AU258-AQ258*$D$25)</f>
        <v>587312.45954572</v>
      </c>
      <c r="AW258" s="180" t="n">
        <f aca="false">AV258/$D258</f>
        <v>308488.203077937</v>
      </c>
      <c r="AY258" s="180" t="n">
        <f aca="false">BF257</f>
        <v>794032.665769863</v>
      </c>
      <c r="AZ258" s="180" t="n">
        <f aca="false">IF($E$9=0,0,IF($A258&gt;IN_PRAZO,0,IF(APORTE_CORRIGIDO="Sim",IN_APORTE*$D258,IN_APORTE))+IF(AND($E$35=1,PGBL_REINVESTE="Sim",$A258&gt;=13,$A258&lt;=IN_PRAZO,MONTH($B258)=5),PGBL_BENEFICIO,0))</f>
        <v>0</v>
      </c>
      <c r="BA258" s="180" t="n">
        <f aca="false">AZ258*$E$24</f>
        <v>0</v>
      </c>
      <c r="BB258" s="180" t="n">
        <f aca="false">AY258*$E$19</f>
        <v>7772.58356498504</v>
      </c>
      <c r="BC258" s="180" t="n">
        <f aca="false">AY258*$E$22</f>
        <v>992.540832212329</v>
      </c>
      <c r="BD258" s="180" t="n">
        <f aca="false">$E$23*MAX(0,BB258-AY258*$E$18)</f>
        <v>0</v>
      </c>
      <c r="BE258" s="180" t="n">
        <f aca="false">IF(AND($E$27=1,OR(MONTH($B258)=5,MONTH($B258)=11)),MAX(0,$E$28*MAX(0,(AY258+BB258-BC258-BD258+AZ258-BA258)+BH257-BG258)-BH257),0)</f>
        <v>0</v>
      </c>
      <c r="BF258" s="181" t="n">
        <f aca="false">AY258+BB258-BC258-BD258+AZ258-BA258-BE258</f>
        <v>800812.708502636</v>
      </c>
      <c r="BG258" s="180" t="n">
        <f aca="false">BG257+AZ258-BA258</f>
        <v>150000</v>
      </c>
      <c r="BH258" s="180" t="n">
        <f aca="false">BH257+BE258</f>
        <v>0</v>
      </c>
      <c r="BI258" s="180" t="n">
        <f aca="false">BF258+BH258-BG258</f>
        <v>650812.708502636</v>
      </c>
      <c r="BJ258" s="180" t="n">
        <f aca="false">MAX(0,IFERROR(INDEX(TAB_IR,MATCH($C258,TAB_IR_DIAS,1),MATCH($E$8,TAB_IR_REGIMES,0)),0)*IF($E$26=2,BF258,MAX(0,BI258))-BH258)</f>
        <v>65081.2708502636</v>
      </c>
      <c r="BK258" s="181" t="n">
        <f aca="false">MAX(0,BF258-BJ258-BF258*$E$25)</f>
        <v>735731.437652372</v>
      </c>
      <c r="BL258" s="180" t="n">
        <f aca="false">BK258/$D258</f>
        <v>386445.86107518</v>
      </c>
      <c r="BN258" s="180" t="n">
        <f aca="false">BU257</f>
        <v>794032.665769863</v>
      </c>
      <c r="BO258" s="180" t="n">
        <f aca="false">IF($F$9=0,0,IF($A258&gt;IN_PRAZO,0,IF(APORTE_CORRIGIDO="Sim",IN_APORTE*$D258,IN_APORTE))+IF(AND($F$35=1,PGBL_REINVESTE="Sim",$A258&gt;=13,$A258&lt;=IN_PRAZO,MONTH($B258)=5),PGBL_BENEFICIO,0))</f>
        <v>0</v>
      </c>
      <c r="BP258" s="180" t="n">
        <f aca="false">BO258*$F$24</f>
        <v>0</v>
      </c>
      <c r="BQ258" s="180" t="n">
        <f aca="false">BN258*$F$19</f>
        <v>7772.58356498504</v>
      </c>
      <c r="BR258" s="180" t="n">
        <f aca="false">BN258*$F$22</f>
        <v>992.540832212329</v>
      </c>
      <c r="BS258" s="180" t="n">
        <f aca="false">$F$23*MAX(0,BQ258-BN258*$F$18)</f>
        <v>0</v>
      </c>
      <c r="BT258" s="180" t="n">
        <f aca="false">IF(AND($F$27=1,OR(MONTH($B258)=5,MONTH($B258)=11)),MAX(0,$F$28*MAX(0,(BN258+BQ258-BR258-BS258+BO258-BP258)+BW257-BV258)-BW257),0)</f>
        <v>0</v>
      </c>
      <c r="BU258" s="181" t="n">
        <f aca="false">BN258+BQ258-BR258-BS258+BO258-BP258-BT258</f>
        <v>800812.708502636</v>
      </c>
      <c r="BV258" s="180" t="n">
        <f aca="false">BV257+BO258-BP258</f>
        <v>150000</v>
      </c>
      <c r="BW258" s="180" t="n">
        <f aca="false">BW257+BT258</f>
        <v>0</v>
      </c>
      <c r="BX258" s="180" t="n">
        <f aca="false">BU258+BW258-BV258</f>
        <v>650812.708502636</v>
      </c>
      <c r="BY258" s="180" t="n">
        <f aca="false">MAX(0,IFERROR(INDEX(TAB_IR,MATCH($C258,TAB_IR_DIAS,1),MATCH($F$8,TAB_IR_REGIMES,0)),0)*IF($F$26=2,BU258,MAX(0,BX258))-BW258)</f>
        <v>80081.2708502636</v>
      </c>
      <c r="BZ258" s="181" t="n">
        <f aca="false">MAX(0,BU258-BY258-BU258*$F$25)</f>
        <v>720731.437652372</v>
      </c>
      <c r="CA258" s="180" t="n">
        <f aca="false">BZ258/$D258</f>
        <v>378567.051472284</v>
      </c>
      <c r="CC258" s="180" t="n">
        <f aca="false">CJ257</f>
        <v>508438.898226153</v>
      </c>
      <c r="CD258" s="180" t="n">
        <f aca="false">IF($G$9=0,0,IF($A258&gt;IN_PRAZO,0,IF(APORTE_CORRIGIDO="Sim",IN_APORTE*$D258,IN_APORTE))+IF(AND($G$35=1,PGBL_REINVESTE="Sim",$A258&gt;=13,$A258&lt;=IN_PRAZO,MONTH($B258)=5),PGBL_BENEFICIO,0))</f>
        <v>0</v>
      </c>
      <c r="CE258" s="180" t="n">
        <f aca="false">CD258*$G$24</f>
        <v>0</v>
      </c>
      <c r="CF258" s="180" t="n">
        <f aca="false">CC258*$G$19</f>
        <v>4147.45071604308</v>
      </c>
      <c r="CG258" s="180" t="n">
        <f aca="false">CC258*$G$22</f>
        <v>423.699081855128</v>
      </c>
      <c r="CH258" s="180" t="n">
        <f aca="false">$G$23*MAX(0,CF258-CC258*$G$18)</f>
        <v>0</v>
      </c>
      <c r="CI258" s="180" t="n">
        <f aca="false">IF(AND($G$27=1,OR(MONTH($B258)=5,MONTH($B258)=11)),MAX(0,$G$28*MAX(0,(CC258+CF258-CG258-CH258+CD258-CE258)+CL257-CK258)-CL257),0)</f>
        <v>0</v>
      </c>
      <c r="CJ258" s="181" t="n">
        <f aca="false">CC258+CF258-CG258-CH258+CD258-CE258-CI258</f>
        <v>512162.649860341</v>
      </c>
      <c r="CK258" s="180" t="n">
        <f aca="false">CK257+CD258-CE258</f>
        <v>150000</v>
      </c>
      <c r="CL258" s="180" t="n">
        <f aca="false">CL257+CI258</f>
        <v>62601.5683516978</v>
      </c>
      <c r="CM258" s="180" t="n">
        <f aca="false">CJ258+CL258-CK258</f>
        <v>424764.218212039</v>
      </c>
      <c r="CN258" s="180" t="n">
        <f aca="false">MAX(0,IFERROR(INDEX(TAB_IR,MATCH($C258,TAB_IR_DIAS,1),MATCH($G$8,TAB_IR_REGIMES,0)),0)*IF($G$26=2,CJ258,MAX(0,CM258))-CL258)</f>
        <v>1113.06438010803</v>
      </c>
      <c r="CO258" s="181" t="n">
        <f aca="false">MAX(0,CJ258-CN258-CJ258*$G$25)</f>
        <v>511049.585480233</v>
      </c>
      <c r="CP258" s="180" t="n">
        <f aca="false">CO258/$D258</f>
        <v>268430.825442498</v>
      </c>
    </row>
    <row r="259" customFormat="false" ht="12" hidden="false" customHeight="true" outlineLevel="0" collapsed="false">
      <c r="A259" s="177" t="n">
        <v>198</v>
      </c>
      <c r="B259" s="178" t="n">
        <f aca="false">EDATE(DATA_INICIO,$A259)</f>
        <v>52285</v>
      </c>
      <c r="C259" s="177" t="n">
        <f aca="false">$A259*30</f>
        <v>5940</v>
      </c>
      <c r="D259" s="179" t="n">
        <f aca="false">(1+IPCA_CENARIO)^($A259/12)</f>
        <v>1.91007358411126</v>
      </c>
      <c r="F259" s="180" t="n">
        <f aca="false">M258</f>
        <v>933169.770528406</v>
      </c>
      <c r="G259" s="180" t="n">
        <f aca="false">IF($B$9=0,0,IF($A259&gt;IN_PRAZO,0,IF(APORTE_CORRIGIDO="Sim",IN_APORTE*$D259,IN_APORTE))+IF(AND($B$35=1,PGBL_REINVESTE="Sim",$A259&gt;=13,$A259&lt;=IN_PRAZO,MONTH($B259)=5),PGBL_BENEFICIO,0))</f>
        <v>0</v>
      </c>
      <c r="H259" s="180" t="n">
        <f aca="false">G259*$B$24</f>
        <v>0</v>
      </c>
      <c r="I259" s="180" t="n">
        <f aca="false">F259*$B$19</f>
        <v>8854.65472535642</v>
      </c>
      <c r="J259" s="180" t="n">
        <f aca="false">F259*$B$22</f>
        <v>155.528295088068</v>
      </c>
      <c r="K259" s="180" t="n">
        <f aca="false">$B$23*MAX(0,I259-F259*$B$18)</f>
        <v>0</v>
      </c>
      <c r="L259" s="180" t="n">
        <f aca="false">IF(AND($B$27=1,OR(MONTH($B259)=5,MONTH($B259)=11)),MAX(0,$B$28*MAX(0,(F259+I259-J259-K259+G259-H259)+O258-N259)-O258),0)</f>
        <v>0</v>
      </c>
      <c r="M259" s="181" t="n">
        <f aca="false">F259+I259-J259-K259+G259-H259-L259</f>
        <v>941868.896958674</v>
      </c>
      <c r="N259" s="180" t="n">
        <f aca="false">N258+G259-H259</f>
        <v>150000</v>
      </c>
      <c r="O259" s="180" t="n">
        <f aca="false">O258+L259</f>
        <v>0</v>
      </c>
      <c r="P259" s="180" t="n">
        <f aca="false">M259+O259-N259</f>
        <v>791868.896958674</v>
      </c>
      <c r="Q259" s="180" t="n">
        <f aca="false">MAX(0,IFERROR(INDEX(TAB_IR,MATCH($C259,TAB_IR_DIAS,1),MATCH($B$8,TAB_IR_REGIMES,0)),0)*IF($B$26=2,M259,MAX(0,P259))-O259)</f>
        <v>118780.334543801</v>
      </c>
      <c r="R259" s="181" t="n">
        <f aca="false">MAX(0,M259-Q259-M259*$B$25)</f>
        <v>823088.562414873</v>
      </c>
      <c r="S259" s="180" t="n">
        <f aca="false">R259/$D259</f>
        <v>430919.81861937</v>
      </c>
      <c r="U259" s="180" t="n">
        <f aca="false">AB258</f>
        <v>719473.393333239</v>
      </c>
      <c r="V259" s="180" t="n">
        <f aca="false">IF($C$9=0,0,IF($A259&gt;IN_PRAZO,0,IF(APORTE_CORRIGIDO="Sim",IN_APORTE*$D259,IN_APORTE))+IF(AND($C$35=1,PGBL_REINVESTE="Sim",$A259&gt;=13,$A259&lt;=IN_PRAZO,MONTH($B259)=5),PGBL_BENEFICIO,0))</f>
        <v>0</v>
      </c>
      <c r="W259" s="180" t="n">
        <f aca="false">V259*$C$24</f>
        <v>0</v>
      </c>
      <c r="X259" s="180" t="n">
        <f aca="false">U259*$C$19</f>
        <v>5868.90666855827</v>
      </c>
      <c r="Y259" s="180" t="n">
        <f aca="false">U259*$C$22</f>
        <v>119.912232222207</v>
      </c>
      <c r="Z259" s="180" t="n">
        <f aca="false">$C$23*MAX(0,X259-U259*$C$18)</f>
        <v>0</v>
      </c>
      <c r="AA259" s="180" t="n">
        <f aca="false">IF(AND($C$27=1,OR(MONTH($B259)=5,MONTH($B259)=11)),MAX(0,$C$28*MAX(0,(U259+X259-Y259-Z259+V259-W259)+AD258-AC259)-AD258),0)</f>
        <v>0</v>
      </c>
      <c r="AB259" s="181" t="n">
        <f aca="false">U259+X259-Y259-Z259+V259-W259-AA259</f>
        <v>725222.387769576</v>
      </c>
      <c r="AC259" s="180" t="n">
        <f aca="false">AC258+V259-W259</f>
        <v>150000</v>
      </c>
      <c r="AD259" s="180" t="n">
        <f aca="false">AD258+AA259</f>
        <v>0</v>
      </c>
      <c r="AE259" s="180" t="n">
        <f aca="false">AB259+AD259-AC259</f>
        <v>575222.387769576</v>
      </c>
      <c r="AF259" s="180" t="n">
        <f aca="false">MAX(0,IFERROR(INDEX(TAB_IR,MATCH($C259,TAB_IR_DIAS,1),MATCH($C$8,TAB_IR_REGIMES,0)),0)*IF($C$26=2,AB259,MAX(0,AE259))-AD259)</f>
        <v>86283.3581654363</v>
      </c>
      <c r="AG259" s="181" t="n">
        <f aca="false">MAX(0,AB259-AF259-AB259*$C$25)</f>
        <v>638939.029604139</v>
      </c>
      <c r="AH259" s="180" t="n">
        <f aca="false">AG259/$D259</f>
        <v>334510.164906256</v>
      </c>
      <c r="AJ259" s="180" t="n">
        <f aca="false">AQ258</f>
        <v>588735.434147586</v>
      </c>
      <c r="AK259" s="180" t="n">
        <f aca="false">IF($D$9=0,0,IF($A259&gt;IN_PRAZO,0,IF(APORTE_CORRIGIDO="Sim",IN_APORTE*$D259,IN_APORTE))+IF(AND($D$35=1,PGBL_REINVESTE="Sim",$A259&gt;=13,$A259&lt;=IN_PRAZO,MONTH($B259)=5),PGBL_BENEFICIO,0))</f>
        <v>0</v>
      </c>
      <c r="AL259" s="180" t="n">
        <f aca="false">AK259*$D$24</f>
        <v>0</v>
      </c>
      <c r="AM259" s="180" t="n">
        <f aca="false">AJ259*$D$19</f>
        <v>5291.96445988564</v>
      </c>
      <c r="AN259" s="180" t="n">
        <f aca="false">AJ259*$D$22</f>
        <v>490.612861789655</v>
      </c>
      <c r="AO259" s="180" t="n">
        <f aca="false">$D$23*MAX(0,AM259-AJ259*$D$18)</f>
        <v>0</v>
      </c>
      <c r="AP259" s="180" t="n">
        <f aca="false">IF(AND($D$27=1,OR(MONTH($B259)=5,MONTH($B259)=11)),MAX(0,$D$28*MAX(0,(AJ259+AM259-AN259-AO259+AK259-AL259)+AS258-AR259)-AS258),0)</f>
        <v>0</v>
      </c>
      <c r="AQ259" s="181" t="n">
        <f aca="false">AJ259+AM259-AN259-AO259+AK259-AL259-AP259</f>
        <v>593536.785745682</v>
      </c>
      <c r="AR259" s="180" t="n">
        <f aca="false">AR258+AK259-AL259</f>
        <v>150000</v>
      </c>
      <c r="AS259" s="180" t="n">
        <f aca="false">AS258+AP259</f>
        <v>75749.8123767902</v>
      </c>
      <c r="AT259" s="180" t="n">
        <f aca="false">AQ259+AS259-AR259</f>
        <v>519286.598122472</v>
      </c>
      <c r="AU259" s="180" t="n">
        <f aca="false">MAX(0,IFERROR(INDEX(TAB_IR,MATCH($C259,TAB_IR_DIAS,1),MATCH($D$8,TAB_IR_REGIMES,0)),0)*IF($D$26=2,AQ259,MAX(0,AT259))-AS259)</f>
        <v>2143.17734158059</v>
      </c>
      <c r="AV259" s="181" t="n">
        <f aca="false">MAX(0,AQ259-AU259-AQ259*$D$25)</f>
        <v>591393.608404102</v>
      </c>
      <c r="AW259" s="180" t="n">
        <f aca="false">AV259/$D259</f>
        <v>309618.233205017</v>
      </c>
      <c r="AY259" s="180" t="n">
        <f aca="false">BF258</f>
        <v>800812.708502636</v>
      </c>
      <c r="AZ259" s="180" t="n">
        <f aca="false">IF($E$9=0,0,IF($A259&gt;IN_PRAZO,0,IF(APORTE_CORRIGIDO="Sim",IN_APORTE*$D259,IN_APORTE))+IF(AND($E$35=1,PGBL_REINVESTE="Sim",$A259&gt;=13,$A259&lt;=IN_PRAZO,MONTH($B259)=5),PGBL_BENEFICIO,0))</f>
        <v>0</v>
      </c>
      <c r="BA259" s="180" t="n">
        <f aca="false">AZ259*$E$24</f>
        <v>0</v>
      </c>
      <c r="BB259" s="180" t="n">
        <f aca="false">AY259*$E$19</f>
        <v>7838.95167675982</v>
      </c>
      <c r="BC259" s="180" t="n">
        <f aca="false">AY259*$E$22</f>
        <v>1001.01588562829</v>
      </c>
      <c r="BD259" s="180" t="n">
        <f aca="false">$E$23*MAX(0,BB259-AY259*$E$18)</f>
        <v>0</v>
      </c>
      <c r="BE259" s="180" t="n">
        <f aca="false">IF(AND($E$27=1,OR(MONTH($B259)=5,MONTH($B259)=11)),MAX(0,$E$28*MAX(0,(AY259+BB259-BC259-BD259+AZ259-BA259)+BH258-BG259)-BH258),0)</f>
        <v>0</v>
      </c>
      <c r="BF259" s="181" t="n">
        <f aca="false">AY259+BB259-BC259-BD259+AZ259-BA259-BE259</f>
        <v>807650.644293767</v>
      </c>
      <c r="BG259" s="180" t="n">
        <f aca="false">BG258+AZ259-BA259</f>
        <v>150000</v>
      </c>
      <c r="BH259" s="180" t="n">
        <f aca="false">BH258+BE259</f>
        <v>0</v>
      </c>
      <c r="BI259" s="180" t="n">
        <f aca="false">BF259+BH259-BG259</f>
        <v>657650.644293767</v>
      </c>
      <c r="BJ259" s="180" t="n">
        <f aca="false">MAX(0,IFERROR(INDEX(TAB_IR,MATCH($C259,TAB_IR_DIAS,1),MATCH($E$8,TAB_IR_REGIMES,0)),0)*IF($E$26=2,BF259,MAX(0,BI259))-BH259)</f>
        <v>65765.0644293767</v>
      </c>
      <c r="BK259" s="181" t="n">
        <f aca="false">MAX(0,BF259-BJ259-BF259*$E$25)</f>
        <v>741885.57986439</v>
      </c>
      <c r="BL259" s="180" t="n">
        <f aca="false">BK259/$D259</f>
        <v>388406.805913493</v>
      </c>
      <c r="BN259" s="180" t="n">
        <f aca="false">BU258</f>
        <v>800812.708502636</v>
      </c>
      <c r="BO259" s="180" t="n">
        <f aca="false">IF($F$9=0,0,IF($A259&gt;IN_PRAZO,0,IF(APORTE_CORRIGIDO="Sim",IN_APORTE*$D259,IN_APORTE))+IF(AND($F$35=1,PGBL_REINVESTE="Sim",$A259&gt;=13,$A259&lt;=IN_PRAZO,MONTH($B259)=5),PGBL_BENEFICIO,0))</f>
        <v>0</v>
      </c>
      <c r="BP259" s="180" t="n">
        <f aca="false">BO259*$F$24</f>
        <v>0</v>
      </c>
      <c r="BQ259" s="180" t="n">
        <f aca="false">BN259*$F$19</f>
        <v>7838.95167675982</v>
      </c>
      <c r="BR259" s="180" t="n">
        <f aca="false">BN259*$F$22</f>
        <v>1001.01588562829</v>
      </c>
      <c r="BS259" s="180" t="n">
        <f aca="false">$F$23*MAX(0,BQ259-BN259*$F$18)</f>
        <v>0</v>
      </c>
      <c r="BT259" s="180" t="n">
        <f aca="false">IF(AND($F$27=1,OR(MONTH($B259)=5,MONTH($B259)=11)),MAX(0,$F$28*MAX(0,(BN259+BQ259-BR259-BS259+BO259-BP259)+BW258-BV259)-BW258),0)</f>
        <v>0</v>
      </c>
      <c r="BU259" s="181" t="n">
        <f aca="false">BN259+BQ259-BR259-BS259+BO259-BP259-BT259</f>
        <v>807650.644293767</v>
      </c>
      <c r="BV259" s="180" t="n">
        <f aca="false">BV258+BO259-BP259</f>
        <v>150000</v>
      </c>
      <c r="BW259" s="180" t="n">
        <f aca="false">BW258+BT259</f>
        <v>0</v>
      </c>
      <c r="BX259" s="180" t="n">
        <f aca="false">BU259+BW259-BV259</f>
        <v>657650.644293767</v>
      </c>
      <c r="BY259" s="180" t="n">
        <f aca="false">MAX(0,IFERROR(INDEX(TAB_IR,MATCH($C259,TAB_IR_DIAS,1),MATCH($F$8,TAB_IR_REGIMES,0)),0)*IF($F$26=2,BU259,MAX(0,BX259))-BW259)</f>
        <v>80765.0644293767</v>
      </c>
      <c r="BZ259" s="181" t="n">
        <f aca="false">MAX(0,BU259-BY259-BU259*$F$25)</f>
        <v>726885.57986439</v>
      </c>
      <c r="CA259" s="180" t="n">
        <f aca="false">BZ259/$D259</f>
        <v>380553.705318429</v>
      </c>
      <c r="CC259" s="180" t="n">
        <f aca="false">CJ258</f>
        <v>512162.649860341</v>
      </c>
      <c r="CD259" s="180" t="n">
        <f aca="false">IF($G$9=0,0,IF($A259&gt;IN_PRAZO,0,IF(APORTE_CORRIGIDO="Sim",IN_APORTE*$D259,IN_APORTE))+IF(AND($G$35=1,PGBL_REINVESTE="Sim",$A259&gt;=13,$A259&lt;=IN_PRAZO,MONTH($B259)=5),PGBL_BENEFICIO,0))</f>
        <v>0</v>
      </c>
      <c r="CE259" s="180" t="n">
        <f aca="false">CD259*$G$24</f>
        <v>0</v>
      </c>
      <c r="CF259" s="180" t="n">
        <f aca="false">CC259*$G$19</f>
        <v>4177.82619761119</v>
      </c>
      <c r="CG259" s="180" t="n">
        <f aca="false">CC259*$G$22</f>
        <v>426.802208216951</v>
      </c>
      <c r="CH259" s="180" t="n">
        <f aca="false">$G$23*MAX(0,CF259-CC259*$G$18)</f>
        <v>0</v>
      </c>
      <c r="CI259" s="180" t="n">
        <f aca="false">IF(AND($G$27=1,OR(MONTH($B259)=5,MONTH($B259)=11)),MAX(0,$G$28*MAX(0,(CC259+CF259-CG259-CH259+CD259-CE259)+CL258-CK259)-CL258),0)</f>
        <v>0</v>
      </c>
      <c r="CJ259" s="181" t="n">
        <f aca="false">CC259+CF259-CG259-CH259+CD259-CE259-CI259</f>
        <v>515913.673849735</v>
      </c>
      <c r="CK259" s="180" t="n">
        <f aca="false">CK258+CD259-CE259</f>
        <v>150000</v>
      </c>
      <c r="CL259" s="180" t="n">
        <f aca="false">CL258+CI259</f>
        <v>62601.5683516978</v>
      </c>
      <c r="CM259" s="180" t="n">
        <f aca="false">CJ259+CL259-CK259</f>
        <v>428515.242201433</v>
      </c>
      <c r="CN259" s="180" t="n">
        <f aca="false">MAX(0,IFERROR(INDEX(TAB_IR,MATCH($C259,TAB_IR_DIAS,1),MATCH($G$8,TAB_IR_REGIMES,0)),0)*IF($G$26=2,CJ259,MAX(0,CM259))-CL259)</f>
        <v>1675.71797851714</v>
      </c>
      <c r="CO259" s="181" t="n">
        <f aca="false">MAX(0,CJ259-CN259-CJ259*$G$25)</f>
        <v>514237.955871218</v>
      </c>
      <c r="CP259" s="180" t="n">
        <f aca="false">CO259/$D259</f>
        <v>269224.159817115</v>
      </c>
    </row>
    <row r="260" customFormat="false" ht="12" hidden="false" customHeight="true" outlineLevel="0" collapsed="false">
      <c r="A260" s="177" t="n">
        <v>199</v>
      </c>
      <c r="B260" s="178" t="n">
        <f aca="false">EDATE(DATA_INICIO,$A260)</f>
        <v>52313</v>
      </c>
      <c r="C260" s="177" t="n">
        <f aca="false">$A260*30</f>
        <v>5970</v>
      </c>
      <c r="D260" s="179" t="n">
        <f aca="false">(1+IPCA_CENARIO)^($A260/12)</f>
        <v>1.91632666799049</v>
      </c>
      <c r="F260" s="180" t="n">
        <f aca="false">M259</f>
        <v>941868.896958674</v>
      </c>
      <c r="G260" s="180" t="n">
        <f aca="false">IF($B$9=0,0,IF($A260&gt;IN_PRAZO,0,IF(APORTE_CORRIGIDO="Sim",IN_APORTE*$D260,IN_APORTE))+IF(AND($B$35=1,PGBL_REINVESTE="Sim",$A260&gt;=13,$A260&lt;=IN_PRAZO,MONTH($B260)=5),PGBL_BENEFICIO,0))</f>
        <v>0</v>
      </c>
      <c r="H260" s="180" t="n">
        <f aca="false">G260*$B$24</f>
        <v>0</v>
      </c>
      <c r="I260" s="180" t="n">
        <f aca="false">F260*$B$19</f>
        <v>8937.198934765</v>
      </c>
      <c r="J260" s="180" t="n">
        <f aca="false">F260*$B$22</f>
        <v>156.978149493112</v>
      </c>
      <c r="K260" s="180" t="n">
        <f aca="false">$B$23*MAX(0,I260-F260*$B$18)</f>
        <v>0</v>
      </c>
      <c r="L260" s="180" t="n">
        <f aca="false">IF(AND($B$27=1,OR(MONTH($B260)=5,MONTH($B260)=11)),MAX(0,$B$28*MAX(0,(F260+I260-J260-K260+G260-H260)+O259-N260)-O259),0)</f>
        <v>0</v>
      </c>
      <c r="M260" s="181" t="n">
        <f aca="false">F260+I260-J260-K260+G260-H260-L260</f>
        <v>950649.117743946</v>
      </c>
      <c r="N260" s="180" t="n">
        <f aca="false">N259+G260-H260</f>
        <v>150000</v>
      </c>
      <c r="O260" s="180" t="n">
        <f aca="false">O259+L260</f>
        <v>0</v>
      </c>
      <c r="P260" s="180" t="n">
        <f aca="false">M260+O260-N260</f>
        <v>800649.117743946</v>
      </c>
      <c r="Q260" s="180" t="n">
        <f aca="false">MAX(0,IFERROR(INDEX(TAB_IR,MATCH($C260,TAB_IR_DIAS,1),MATCH($B$8,TAB_IR_REGIMES,0)),0)*IF($B$26=2,M260,MAX(0,P260))-O260)</f>
        <v>120097.367661592</v>
      </c>
      <c r="R260" s="181" t="n">
        <f aca="false">MAX(0,M260-Q260-M260*$B$25)</f>
        <v>830551.750082354</v>
      </c>
      <c r="S260" s="180" t="n">
        <f aca="false">R260/$D260</f>
        <v>433408.230421013</v>
      </c>
      <c r="U260" s="180" t="n">
        <f aca="false">AB259</f>
        <v>725222.387769576</v>
      </c>
      <c r="V260" s="180" t="n">
        <f aca="false">IF($C$9=0,0,IF($A260&gt;IN_PRAZO,0,IF(APORTE_CORRIGIDO="Sim",IN_APORTE*$D260,IN_APORTE))+IF(AND($C$35=1,PGBL_REINVESTE="Sim",$A260&gt;=13,$A260&lt;=IN_PRAZO,MONTH($B260)=5),PGBL_BENEFICIO,0))</f>
        <v>0</v>
      </c>
      <c r="W260" s="180" t="n">
        <f aca="false">V260*$C$24</f>
        <v>0</v>
      </c>
      <c r="X260" s="180" t="n">
        <f aca="false">U260*$C$19</f>
        <v>5915.80251223721</v>
      </c>
      <c r="Y260" s="180" t="n">
        <f aca="false">U260*$C$22</f>
        <v>120.870397961596</v>
      </c>
      <c r="Z260" s="180" t="n">
        <f aca="false">$C$23*MAX(0,X260-U260*$C$18)</f>
        <v>0</v>
      </c>
      <c r="AA260" s="180" t="n">
        <f aca="false">IF(AND($C$27=1,OR(MONTH($B260)=5,MONTH($B260)=11)),MAX(0,$C$28*MAX(0,(U260+X260-Y260-Z260+V260-W260)+AD259-AC260)-AD259),0)</f>
        <v>0</v>
      </c>
      <c r="AB260" s="181" t="n">
        <f aca="false">U260+X260-Y260-Z260+V260-W260-AA260</f>
        <v>731017.319883851</v>
      </c>
      <c r="AC260" s="180" t="n">
        <f aca="false">AC259+V260-W260</f>
        <v>150000</v>
      </c>
      <c r="AD260" s="180" t="n">
        <f aca="false">AD259+AA260</f>
        <v>0</v>
      </c>
      <c r="AE260" s="180" t="n">
        <f aca="false">AB260+AD260-AC260</f>
        <v>581017.319883851</v>
      </c>
      <c r="AF260" s="180" t="n">
        <f aca="false">MAX(0,IFERROR(INDEX(TAB_IR,MATCH($C260,TAB_IR_DIAS,1),MATCH($C$8,TAB_IR_REGIMES,0)),0)*IF($C$26=2,AB260,MAX(0,AE260))-AD260)</f>
        <v>87152.5979825777</v>
      </c>
      <c r="AG260" s="181" t="n">
        <f aca="false">MAX(0,AB260-AF260-AB260*$C$25)</f>
        <v>643864.721901274</v>
      </c>
      <c r="AH260" s="180" t="n">
        <f aca="false">AG260/$D260</f>
        <v>335989.021421096</v>
      </c>
      <c r="AJ260" s="180" t="n">
        <f aca="false">AQ259</f>
        <v>593536.785745682</v>
      </c>
      <c r="AK260" s="180" t="n">
        <f aca="false">IF($D$9=0,0,IF($A260&gt;IN_PRAZO,0,IF(APORTE_CORRIGIDO="Sim",IN_APORTE*$D260,IN_APORTE))+IF(AND($D$35=1,PGBL_REINVESTE="Sim",$A260&gt;=13,$A260&lt;=IN_PRAZO,MONTH($B260)=5),PGBL_BENEFICIO,0))</f>
        <v>0</v>
      </c>
      <c r="AL260" s="180" t="n">
        <f aca="false">AK260*$D$24</f>
        <v>0</v>
      </c>
      <c r="AM260" s="180" t="n">
        <f aca="false">AJ260*$D$19</f>
        <v>5335.12235482928</v>
      </c>
      <c r="AN260" s="180" t="n">
        <f aca="false">AJ260*$D$22</f>
        <v>494.613988121402</v>
      </c>
      <c r="AO260" s="180" t="n">
        <f aca="false">$D$23*MAX(0,AM260-AJ260*$D$18)</f>
        <v>0</v>
      </c>
      <c r="AP260" s="180" t="n">
        <f aca="false">IF(AND($D$27=1,OR(MONTH($B260)=5,MONTH($B260)=11)),MAX(0,$D$28*MAX(0,(AJ260+AM260-AN260-AO260+AK260-AL260)+AS259-AR260)-AS259),0)</f>
        <v>0</v>
      </c>
      <c r="AQ260" s="181" t="n">
        <f aca="false">AJ260+AM260-AN260-AO260+AK260-AL260-AP260</f>
        <v>598377.29411239</v>
      </c>
      <c r="AR260" s="180" t="n">
        <f aca="false">AR259+AK260-AL260</f>
        <v>150000</v>
      </c>
      <c r="AS260" s="180" t="n">
        <f aca="false">AS259+AP260</f>
        <v>75749.8123767902</v>
      </c>
      <c r="AT260" s="180" t="n">
        <f aca="false">AQ260+AS260-AR260</f>
        <v>524127.10648918</v>
      </c>
      <c r="AU260" s="180" t="n">
        <f aca="false">MAX(0,IFERROR(INDEX(TAB_IR,MATCH($C260,TAB_IR_DIAS,1),MATCH($D$8,TAB_IR_REGIMES,0)),0)*IF($D$26=2,AQ260,MAX(0,AT260))-AS260)</f>
        <v>2869.25359658677</v>
      </c>
      <c r="AV260" s="181" t="n">
        <f aca="false">MAX(0,AQ260-AU260-AQ260*$D$25)</f>
        <v>595508.040515803</v>
      </c>
      <c r="AW260" s="180" t="n">
        <f aca="false">AV260/$D260</f>
        <v>310754.97224086</v>
      </c>
      <c r="AY260" s="180" t="n">
        <f aca="false">BF259</f>
        <v>807650.644293767</v>
      </c>
      <c r="AZ260" s="180" t="n">
        <f aca="false">IF($E$9=0,0,IF($A260&gt;IN_PRAZO,0,IF(APORTE_CORRIGIDO="Sim",IN_APORTE*$D260,IN_APORTE))+IF(AND($E$35=1,PGBL_REINVESTE="Sim",$A260&gt;=13,$A260&lt;=IN_PRAZO,MONTH($B260)=5),PGBL_BENEFICIO,0))</f>
        <v>0</v>
      </c>
      <c r="BA260" s="180" t="n">
        <f aca="false">AZ260*$E$24</f>
        <v>0</v>
      </c>
      <c r="BB260" s="180" t="n">
        <f aca="false">AY260*$E$19</f>
        <v>7905.88648894043</v>
      </c>
      <c r="BC260" s="180" t="n">
        <f aca="false">AY260*$E$22</f>
        <v>1009.56330536721</v>
      </c>
      <c r="BD260" s="180" t="n">
        <f aca="false">$E$23*MAX(0,BB260-AY260*$E$18)</f>
        <v>0</v>
      </c>
      <c r="BE260" s="180" t="n">
        <f aca="false">IF(AND($E$27=1,OR(MONTH($B260)=5,MONTH($B260)=11)),MAX(0,$E$28*MAX(0,(AY260+BB260-BC260-BD260+AZ260-BA260)+BH259-BG260)-BH259),0)</f>
        <v>0</v>
      </c>
      <c r="BF260" s="181" t="n">
        <f aca="false">AY260+BB260-BC260-BD260+AZ260-BA260-BE260</f>
        <v>814546.96747734</v>
      </c>
      <c r="BG260" s="180" t="n">
        <f aca="false">BG259+AZ260-BA260</f>
        <v>150000</v>
      </c>
      <c r="BH260" s="180" t="n">
        <f aca="false">BH259+BE260</f>
        <v>0</v>
      </c>
      <c r="BI260" s="180" t="n">
        <f aca="false">BF260+BH260-BG260</f>
        <v>664546.96747734</v>
      </c>
      <c r="BJ260" s="180" t="n">
        <f aca="false">MAX(0,IFERROR(INDEX(TAB_IR,MATCH($C260,TAB_IR_DIAS,1),MATCH($E$8,TAB_IR_REGIMES,0)),0)*IF($E$26=2,BF260,MAX(0,BI260))-BH260)</f>
        <v>66454.696747734</v>
      </c>
      <c r="BK260" s="181" t="n">
        <f aca="false">MAX(0,BF260-BJ260-BF260*$E$25)</f>
        <v>748092.270729606</v>
      </c>
      <c r="BL260" s="180" t="n">
        <f aca="false">BK260/$D260</f>
        <v>390378.260254592</v>
      </c>
      <c r="BN260" s="180" t="n">
        <f aca="false">BU259</f>
        <v>807650.644293767</v>
      </c>
      <c r="BO260" s="180" t="n">
        <f aca="false">IF($F$9=0,0,IF($A260&gt;IN_PRAZO,0,IF(APORTE_CORRIGIDO="Sim",IN_APORTE*$D260,IN_APORTE))+IF(AND($F$35=1,PGBL_REINVESTE="Sim",$A260&gt;=13,$A260&lt;=IN_PRAZO,MONTH($B260)=5),PGBL_BENEFICIO,0))</f>
        <v>0</v>
      </c>
      <c r="BP260" s="180" t="n">
        <f aca="false">BO260*$F$24</f>
        <v>0</v>
      </c>
      <c r="BQ260" s="180" t="n">
        <f aca="false">BN260*$F$19</f>
        <v>7905.88648894043</v>
      </c>
      <c r="BR260" s="180" t="n">
        <f aca="false">BN260*$F$22</f>
        <v>1009.56330536721</v>
      </c>
      <c r="BS260" s="180" t="n">
        <f aca="false">$F$23*MAX(0,BQ260-BN260*$F$18)</f>
        <v>0</v>
      </c>
      <c r="BT260" s="180" t="n">
        <f aca="false">IF(AND($F$27=1,OR(MONTH($B260)=5,MONTH($B260)=11)),MAX(0,$F$28*MAX(0,(BN260+BQ260-BR260-BS260+BO260-BP260)+BW259-BV260)-BW259),0)</f>
        <v>0</v>
      </c>
      <c r="BU260" s="181" t="n">
        <f aca="false">BN260+BQ260-BR260-BS260+BO260-BP260-BT260</f>
        <v>814546.96747734</v>
      </c>
      <c r="BV260" s="180" t="n">
        <f aca="false">BV259+BO260-BP260</f>
        <v>150000</v>
      </c>
      <c r="BW260" s="180" t="n">
        <f aca="false">BW259+BT260</f>
        <v>0</v>
      </c>
      <c r="BX260" s="180" t="n">
        <f aca="false">BU260+BW260-BV260</f>
        <v>664546.96747734</v>
      </c>
      <c r="BY260" s="180" t="n">
        <f aca="false">MAX(0,IFERROR(INDEX(TAB_IR,MATCH($C260,TAB_IR_DIAS,1),MATCH($F$8,TAB_IR_REGIMES,0)),0)*IF($F$26=2,BU260,MAX(0,BX260))-BW260)</f>
        <v>81454.696747734</v>
      </c>
      <c r="BZ260" s="181" t="n">
        <f aca="false">MAX(0,BU260-BY260-BU260*$F$25)</f>
        <v>733092.270729606</v>
      </c>
      <c r="CA260" s="180" t="n">
        <f aca="false">BZ260/$D260</f>
        <v>382550.784777392</v>
      </c>
      <c r="CC260" s="180" t="n">
        <f aca="false">CJ259</f>
        <v>515913.673849735</v>
      </c>
      <c r="CD260" s="180" t="n">
        <f aca="false">IF($G$9=0,0,IF($A260&gt;IN_PRAZO,0,IF(APORTE_CORRIGIDO="Sim",IN_APORTE*$D260,IN_APORTE))+IF(AND($G$35=1,PGBL_REINVESTE="Sim",$A260&gt;=13,$A260&lt;=IN_PRAZO,MONTH($B260)=5),PGBL_BENEFICIO,0))</f>
        <v>0</v>
      </c>
      <c r="CE260" s="180" t="n">
        <f aca="false">CD260*$G$24</f>
        <v>0</v>
      </c>
      <c r="CF260" s="180" t="n">
        <f aca="false">CC260*$G$19</f>
        <v>4208.42414592904</v>
      </c>
      <c r="CG260" s="180" t="n">
        <f aca="false">CC260*$G$22</f>
        <v>429.928061541446</v>
      </c>
      <c r="CH260" s="180" t="n">
        <f aca="false">$G$23*MAX(0,CF260-CC260*$G$18)</f>
        <v>0</v>
      </c>
      <c r="CI260" s="180" t="n">
        <f aca="false">IF(AND($G$27=1,OR(MONTH($B260)=5,MONTH($B260)=11)),MAX(0,$G$28*MAX(0,(CC260+CF260-CG260-CH260+CD260-CE260)+CL259-CK260)-CL259),0)</f>
        <v>0</v>
      </c>
      <c r="CJ260" s="181" t="n">
        <f aca="false">CC260+CF260-CG260-CH260+CD260-CE260-CI260</f>
        <v>519692.169934123</v>
      </c>
      <c r="CK260" s="180" t="n">
        <f aca="false">CK259+CD260-CE260</f>
        <v>150000</v>
      </c>
      <c r="CL260" s="180" t="n">
        <f aca="false">CL259+CI260</f>
        <v>62601.5683516978</v>
      </c>
      <c r="CM260" s="180" t="n">
        <f aca="false">CJ260+CL260-CK260</f>
        <v>432293.738285821</v>
      </c>
      <c r="CN260" s="180" t="n">
        <f aca="false">MAX(0,IFERROR(INDEX(TAB_IR,MATCH($C260,TAB_IR_DIAS,1),MATCH($G$8,TAB_IR_REGIMES,0)),0)*IF($G$26=2,CJ260,MAX(0,CM260))-CL260)</f>
        <v>2242.49239117529</v>
      </c>
      <c r="CO260" s="181" t="n">
        <f aca="false">MAX(0,CJ260-CN260-CJ260*$G$25)</f>
        <v>517449.677542948</v>
      </c>
      <c r="CP260" s="180" t="n">
        <f aca="false">CO260/$D260</f>
        <v>270021.644110166</v>
      </c>
    </row>
    <row r="261" customFormat="false" ht="12" hidden="false" customHeight="true" outlineLevel="0" collapsed="false">
      <c r="A261" s="177" t="n">
        <v>200</v>
      </c>
      <c r="B261" s="178" t="n">
        <f aca="false">EDATE(DATA_INICIO,$A261)</f>
        <v>52344</v>
      </c>
      <c r="C261" s="177" t="n">
        <f aca="false">$A261*30</f>
        <v>6000</v>
      </c>
      <c r="D261" s="179" t="n">
        <f aca="false">(1+IPCA_CENARIO)^($A261/12)</f>
        <v>1.92260022283918</v>
      </c>
      <c r="F261" s="180" t="n">
        <f aca="false">M260</f>
        <v>950649.117743946</v>
      </c>
      <c r="G261" s="180" t="n">
        <f aca="false">IF($B$9=0,0,IF($A261&gt;IN_PRAZO,0,IF(APORTE_CORRIGIDO="Sim",IN_APORTE*$D261,IN_APORTE))+IF(AND($B$35=1,PGBL_REINVESTE="Sim",$A261&gt;=13,$A261&lt;=IN_PRAZO,MONTH($B261)=5),PGBL_BENEFICIO,0))</f>
        <v>0</v>
      </c>
      <c r="H261" s="180" t="n">
        <f aca="false">G261*$B$24</f>
        <v>0</v>
      </c>
      <c r="I261" s="180" t="n">
        <f aca="false">F261*$B$19</f>
        <v>9020.51263171636</v>
      </c>
      <c r="J261" s="180" t="n">
        <f aca="false">F261*$B$22</f>
        <v>158.441519623991</v>
      </c>
      <c r="K261" s="180" t="n">
        <f aca="false">$B$23*MAX(0,I261-F261*$B$18)</f>
        <v>0</v>
      </c>
      <c r="L261" s="180" t="n">
        <f aca="false">IF(AND($B$27=1,OR(MONTH($B261)=5,MONTH($B261)=11)),MAX(0,$B$28*MAX(0,(F261+I261-J261-K261+G261-H261)+O260-N261)-O260),0)</f>
        <v>0</v>
      </c>
      <c r="M261" s="181" t="n">
        <f aca="false">F261+I261-J261-K261+G261-H261-L261</f>
        <v>959511.188856039</v>
      </c>
      <c r="N261" s="180" t="n">
        <f aca="false">N260+G261-H261</f>
        <v>150000</v>
      </c>
      <c r="O261" s="180" t="n">
        <f aca="false">O260+L261</f>
        <v>0</v>
      </c>
      <c r="P261" s="180" t="n">
        <f aca="false">M261+O261-N261</f>
        <v>809511.188856039</v>
      </c>
      <c r="Q261" s="180" t="n">
        <f aca="false">MAX(0,IFERROR(INDEX(TAB_IR,MATCH($C261,TAB_IR_DIAS,1),MATCH($B$8,TAB_IR_REGIMES,0)),0)*IF($B$26=2,M261,MAX(0,P261))-O261)</f>
        <v>121426.678328406</v>
      </c>
      <c r="R261" s="181" t="n">
        <f aca="false">MAX(0,M261-Q261-M261*$B$25)</f>
        <v>838084.510527633</v>
      </c>
      <c r="S261" s="180" t="n">
        <f aca="false">R261/$D261</f>
        <v>435912.00113875</v>
      </c>
      <c r="U261" s="180" t="n">
        <f aca="false">AB260</f>
        <v>731017.319883851</v>
      </c>
      <c r="V261" s="180" t="n">
        <f aca="false">IF($C$9=0,0,IF($A261&gt;IN_PRAZO,0,IF(APORTE_CORRIGIDO="Sim",IN_APORTE*$D261,IN_APORTE))+IF(AND($C$35=1,PGBL_REINVESTE="Sim",$A261&gt;=13,$A261&lt;=IN_PRAZO,MONTH($B261)=5),PGBL_BENEFICIO,0))</f>
        <v>0</v>
      </c>
      <c r="W261" s="180" t="n">
        <f aca="false">V261*$C$24</f>
        <v>0</v>
      </c>
      <c r="X261" s="180" t="n">
        <f aca="false">U261*$C$19</f>
        <v>5963.07307991137</v>
      </c>
      <c r="Y261" s="180" t="n">
        <f aca="false">U261*$C$22</f>
        <v>121.836219980642</v>
      </c>
      <c r="Z261" s="180" t="n">
        <f aca="false">$C$23*MAX(0,X261-U261*$C$18)</f>
        <v>0</v>
      </c>
      <c r="AA261" s="180" t="n">
        <f aca="false">IF(AND($C$27=1,OR(MONTH($B261)=5,MONTH($B261)=11)),MAX(0,$C$28*MAX(0,(U261+X261-Y261-Z261+V261-W261)+AD260-AC261)-AD260),0)</f>
        <v>0</v>
      </c>
      <c r="AB261" s="181" t="n">
        <f aca="false">U261+X261-Y261-Z261+V261-W261-AA261</f>
        <v>736858.556743782</v>
      </c>
      <c r="AC261" s="180" t="n">
        <f aca="false">AC260+V261-W261</f>
        <v>150000</v>
      </c>
      <c r="AD261" s="180" t="n">
        <f aca="false">AD260+AA261</f>
        <v>0</v>
      </c>
      <c r="AE261" s="180" t="n">
        <f aca="false">AB261+AD261-AC261</f>
        <v>586858.556743782</v>
      </c>
      <c r="AF261" s="180" t="n">
        <f aca="false">MAX(0,IFERROR(INDEX(TAB_IR,MATCH($C261,TAB_IR_DIAS,1),MATCH($C$8,TAB_IR_REGIMES,0)),0)*IF($C$26=2,AB261,MAX(0,AE261))-AD261)</f>
        <v>88028.7835115673</v>
      </c>
      <c r="AG261" s="181" t="n">
        <f aca="false">MAX(0,AB261-AF261-AB261*$C$25)</f>
        <v>648829.773232215</v>
      </c>
      <c r="AH261" s="180" t="n">
        <f aca="false">AG261/$D261</f>
        <v>337475.136809286</v>
      </c>
      <c r="AJ261" s="180" t="n">
        <f aca="false">AQ260</f>
        <v>598377.29411239</v>
      </c>
      <c r="AK261" s="180" t="n">
        <f aca="false">IF($D$9=0,0,IF($A261&gt;IN_PRAZO,0,IF(APORTE_CORRIGIDO="Sim",IN_APORTE*$D261,IN_APORTE))+IF(AND($D$35=1,PGBL_REINVESTE="Sim",$A261&gt;=13,$A261&lt;=IN_PRAZO,MONTH($B261)=5),PGBL_BENEFICIO,0))</f>
        <v>0</v>
      </c>
      <c r="AL261" s="180" t="n">
        <f aca="false">AK261*$D$24</f>
        <v>0</v>
      </c>
      <c r="AM261" s="180" t="n">
        <f aca="false">AJ261*$D$19</f>
        <v>5378.63221810341</v>
      </c>
      <c r="AN261" s="180" t="n">
        <f aca="false">AJ261*$D$22</f>
        <v>498.647745093658</v>
      </c>
      <c r="AO261" s="180" t="n">
        <f aca="false">$D$23*MAX(0,AM261-AJ261*$D$18)</f>
        <v>0</v>
      </c>
      <c r="AP261" s="180" t="n">
        <f aca="false">IF(AND($D$27=1,OR(MONTH($B261)=5,MONTH($B261)=11)),MAX(0,$D$28*MAX(0,(AJ261+AM261-AN261-AO261+AK261-AL261)+AS260-AR261)-AS260),0)</f>
        <v>0</v>
      </c>
      <c r="AQ261" s="181" t="n">
        <f aca="false">AJ261+AM261-AN261-AO261+AK261-AL261-AP261</f>
        <v>603257.2785854</v>
      </c>
      <c r="AR261" s="180" t="n">
        <f aca="false">AR260+AK261-AL261</f>
        <v>150000</v>
      </c>
      <c r="AS261" s="180" t="n">
        <f aca="false">AS260+AP261</f>
        <v>75749.8123767902</v>
      </c>
      <c r="AT261" s="180" t="n">
        <f aca="false">AQ261+AS261-AR261</f>
        <v>529007.09096219</v>
      </c>
      <c r="AU261" s="180" t="n">
        <f aca="false">MAX(0,IFERROR(INDEX(TAB_IR,MATCH($C261,TAB_IR_DIAS,1),MATCH($D$8,TAB_IR_REGIMES,0)),0)*IF($D$26=2,AQ261,MAX(0,AT261))-AS261)</f>
        <v>3601.25126753823</v>
      </c>
      <c r="AV261" s="181" t="n">
        <f aca="false">MAX(0,AQ261-AU261-AQ261*$D$25)</f>
        <v>599656.027317861</v>
      </c>
      <c r="AW261" s="180" t="n">
        <f aca="false">AV261/$D261</f>
        <v>311898.448878949</v>
      </c>
      <c r="AY261" s="180" t="n">
        <f aca="false">BF260</f>
        <v>814546.96747734</v>
      </c>
      <c r="AZ261" s="180" t="n">
        <f aca="false">IF($E$9=0,0,IF($A261&gt;IN_PRAZO,0,IF(APORTE_CORRIGIDO="Sim",IN_APORTE*$D261,IN_APORTE))+IF(AND($E$35=1,PGBL_REINVESTE="Sim",$A261&gt;=13,$A261&lt;=IN_PRAZO,MONTH($B261)=5),PGBL_BENEFICIO,0))</f>
        <v>0</v>
      </c>
      <c r="BA261" s="180" t="n">
        <f aca="false">AZ261*$E$24</f>
        <v>0</v>
      </c>
      <c r="BB261" s="180" t="n">
        <f aca="false">AY261*$E$19</f>
        <v>7973.39284043731</v>
      </c>
      <c r="BC261" s="180" t="n">
        <f aca="false">AY261*$E$22</f>
        <v>1018.18370934668</v>
      </c>
      <c r="BD261" s="180" t="n">
        <f aca="false">$E$23*MAX(0,BB261-AY261*$E$18)</f>
        <v>0</v>
      </c>
      <c r="BE261" s="180" t="n">
        <f aca="false">IF(AND($E$27=1,OR(MONTH($B261)=5,MONTH($B261)=11)),MAX(0,$E$28*MAX(0,(AY261+BB261-BC261-BD261+AZ261-BA261)+BH260-BG261)-BH260),0)</f>
        <v>0</v>
      </c>
      <c r="BF261" s="181" t="n">
        <f aca="false">AY261+BB261-BC261-BD261+AZ261-BA261-BE261</f>
        <v>821502.176608431</v>
      </c>
      <c r="BG261" s="180" t="n">
        <f aca="false">BG260+AZ261-BA261</f>
        <v>150000</v>
      </c>
      <c r="BH261" s="180" t="n">
        <f aca="false">BH260+BE261</f>
        <v>0</v>
      </c>
      <c r="BI261" s="180" t="n">
        <f aca="false">BF261+BH261-BG261</f>
        <v>671502.176608431</v>
      </c>
      <c r="BJ261" s="180" t="n">
        <f aca="false">MAX(0,IFERROR(INDEX(TAB_IR,MATCH($C261,TAB_IR_DIAS,1),MATCH($E$8,TAB_IR_REGIMES,0)),0)*IF($E$26=2,BF261,MAX(0,BI261))-BH261)</f>
        <v>67150.2176608431</v>
      </c>
      <c r="BK261" s="181" t="n">
        <f aca="false">MAX(0,BF261-BJ261-BF261*$E$25)</f>
        <v>754351.958947588</v>
      </c>
      <c r="BL261" s="180" t="n">
        <f aca="false">BK261/$D261</f>
        <v>392360.278536537</v>
      </c>
      <c r="BN261" s="180" t="n">
        <f aca="false">BU260</f>
        <v>814546.96747734</v>
      </c>
      <c r="BO261" s="180" t="n">
        <f aca="false">IF($F$9=0,0,IF($A261&gt;IN_PRAZO,0,IF(APORTE_CORRIGIDO="Sim",IN_APORTE*$D261,IN_APORTE))+IF(AND($F$35=1,PGBL_REINVESTE="Sim",$A261&gt;=13,$A261&lt;=IN_PRAZO,MONTH($B261)=5),PGBL_BENEFICIO,0))</f>
        <v>0</v>
      </c>
      <c r="BP261" s="180" t="n">
        <f aca="false">BO261*$F$24</f>
        <v>0</v>
      </c>
      <c r="BQ261" s="180" t="n">
        <f aca="false">BN261*$F$19</f>
        <v>7973.39284043731</v>
      </c>
      <c r="BR261" s="180" t="n">
        <f aca="false">BN261*$F$22</f>
        <v>1018.18370934668</v>
      </c>
      <c r="BS261" s="180" t="n">
        <f aca="false">$F$23*MAX(0,BQ261-BN261*$F$18)</f>
        <v>0</v>
      </c>
      <c r="BT261" s="180" t="n">
        <f aca="false">IF(AND($F$27=1,OR(MONTH($B261)=5,MONTH($B261)=11)),MAX(0,$F$28*MAX(0,(BN261+BQ261-BR261-BS261+BO261-BP261)+BW260-BV261)-BW260),0)</f>
        <v>0</v>
      </c>
      <c r="BU261" s="181" t="n">
        <f aca="false">BN261+BQ261-BR261-BS261+BO261-BP261-BT261</f>
        <v>821502.176608431</v>
      </c>
      <c r="BV261" s="180" t="n">
        <f aca="false">BV260+BO261-BP261</f>
        <v>150000</v>
      </c>
      <c r="BW261" s="180" t="n">
        <f aca="false">BW260+BT261</f>
        <v>0</v>
      </c>
      <c r="BX261" s="180" t="n">
        <f aca="false">BU261+BW261-BV261</f>
        <v>671502.176608431</v>
      </c>
      <c r="BY261" s="180" t="n">
        <f aca="false">MAX(0,IFERROR(INDEX(TAB_IR,MATCH($C261,TAB_IR_DIAS,1),MATCH($F$8,TAB_IR_REGIMES,0)),0)*IF($F$26=2,BU261,MAX(0,BX261))-BW261)</f>
        <v>82150.2176608431</v>
      </c>
      <c r="BZ261" s="181" t="n">
        <f aca="false">MAX(0,BU261-BY261-BU261*$F$25)</f>
        <v>739351.958947588</v>
      </c>
      <c r="CA261" s="180" t="n">
        <f aca="false">BZ261/$D261</f>
        <v>384558.344560971</v>
      </c>
      <c r="CC261" s="180" t="n">
        <f aca="false">CJ260</f>
        <v>519692.169934123</v>
      </c>
      <c r="CD261" s="180" t="n">
        <f aca="false">IF($G$9=0,0,IF($A261&gt;IN_PRAZO,0,IF(APORTE_CORRIGIDO="Sim",IN_APORTE*$D261,IN_APORTE))+IF(AND($G$35=1,PGBL_REINVESTE="Sim",$A261&gt;=13,$A261&lt;=IN_PRAZO,MONTH($B261)=5),PGBL_BENEFICIO,0))</f>
        <v>0</v>
      </c>
      <c r="CE261" s="180" t="n">
        <f aca="false">CD261*$G$24</f>
        <v>0</v>
      </c>
      <c r="CF261" s="180" t="n">
        <f aca="false">CC261*$G$19</f>
        <v>4239.2461903191</v>
      </c>
      <c r="CG261" s="180" t="n">
        <f aca="false">CC261*$G$22</f>
        <v>433.076808278436</v>
      </c>
      <c r="CH261" s="180" t="n">
        <f aca="false">$G$23*MAX(0,CF261-CC261*$G$18)</f>
        <v>0</v>
      </c>
      <c r="CI261" s="180" t="n">
        <f aca="false">IF(AND($G$27=1,OR(MONTH($B261)=5,MONTH($B261)=11)),MAX(0,$G$28*MAX(0,(CC261+CF261-CG261-CH261+CD261-CE261)+CL260-CK261)-CL260),0)</f>
        <v>0</v>
      </c>
      <c r="CJ261" s="181" t="n">
        <f aca="false">CC261+CF261-CG261-CH261+CD261-CE261-CI261</f>
        <v>523498.339316164</v>
      </c>
      <c r="CK261" s="180" t="n">
        <f aca="false">CK260+CD261-CE261</f>
        <v>150000</v>
      </c>
      <c r="CL261" s="180" t="n">
        <f aca="false">CL260+CI261</f>
        <v>62601.5683516978</v>
      </c>
      <c r="CM261" s="180" t="n">
        <f aca="false">CJ261+CL261-CK261</f>
        <v>436099.907667861</v>
      </c>
      <c r="CN261" s="180" t="n">
        <f aca="false">MAX(0,IFERROR(INDEX(TAB_IR,MATCH($C261,TAB_IR_DIAS,1),MATCH($G$8,TAB_IR_REGIMES,0)),0)*IF($G$26=2,CJ261,MAX(0,CM261))-CL261)</f>
        <v>2813.41779848138</v>
      </c>
      <c r="CO261" s="181" t="n">
        <f aca="false">MAX(0,CJ261-CN261-CJ261*$G$25)</f>
        <v>520684.921517682</v>
      </c>
      <c r="CP261" s="180" t="n">
        <f aca="false">CO261/$D261</f>
        <v>270823.291983586</v>
      </c>
    </row>
    <row r="262" customFormat="false" ht="12" hidden="false" customHeight="true" outlineLevel="0" collapsed="false">
      <c r="A262" s="177" t="n">
        <v>201</v>
      </c>
      <c r="B262" s="178" t="n">
        <f aca="false">EDATE(DATA_INICIO,$A262)</f>
        <v>52374</v>
      </c>
      <c r="C262" s="177" t="n">
        <f aca="false">$A262*30</f>
        <v>6030</v>
      </c>
      <c r="D262" s="179" t="n">
        <f aca="false">(1+IPCA_CENARIO)^($A262/12)</f>
        <v>1.92889431567395</v>
      </c>
      <c r="F262" s="180" t="n">
        <f aca="false">M261</f>
        <v>959511.188856039</v>
      </c>
      <c r="G262" s="180" t="n">
        <f aca="false">IF($B$9=0,0,IF($A262&gt;IN_PRAZO,0,IF(APORTE_CORRIGIDO="Sim",IN_APORTE*$D262,IN_APORTE))+IF(AND($B$35=1,PGBL_REINVESTE="Sim",$A262&gt;=13,$A262&lt;=IN_PRAZO,MONTH($B262)=5),PGBL_BENEFICIO,0))</f>
        <v>0</v>
      </c>
      <c r="H262" s="180" t="n">
        <f aca="false">G262*$B$24</f>
        <v>0</v>
      </c>
      <c r="I262" s="180" t="n">
        <f aca="false">F262*$B$19</f>
        <v>9104.60298947056</v>
      </c>
      <c r="J262" s="180" t="n">
        <f aca="false">F262*$B$22</f>
        <v>159.918531476006</v>
      </c>
      <c r="K262" s="180" t="n">
        <f aca="false">$B$23*MAX(0,I262-F262*$B$18)</f>
        <v>0</v>
      </c>
      <c r="L262" s="180" t="n">
        <f aca="false">IF(AND($B$27=1,OR(MONTH($B262)=5,MONTH($B262)=11)),MAX(0,$B$28*MAX(0,(F262+I262-J262-K262+G262-H262)+O261-N262)-O261),0)</f>
        <v>0</v>
      </c>
      <c r="M262" s="181" t="n">
        <f aca="false">F262+I262-J262-K262+G262-H262-L262</f>
        <v>968455.873314033</v>
      </c>
      <c r="N262" s="180" t="n">
        <f aca="false">N261+G262-H262</f>
        <v>150000</v>
      </c>
      <c r="O262" s="180" t="n">
        <f aca="false">O261+L262</f>
        <v>0</v>
      </c>
      <c r="P262" s="180" t="n">
        <f aca="false">M262+O262-N262</f>
        <v>818455.873314033</v>
      </c>
      <c r="Q262" s="180" t="n">
        <f aca="false">MAX(0,IFERROR(INDEX(TAB_IR,MATCH($C262,TAB_IR_DIAS,1),MATCH($B$8,TAB_IR_REGIMES,0)),0)*IF($B$26=2,M262,MAX(0,P262))-O262)</f>
        <v>122768.380997105</v>
      </c>
      <c r="R262" s="181" t="n">
        <f aca="false">MAX(0,M262-Q262-M262*$B$25)</f>
        <v>845687.492316928</v>
      </c>
      <c r="S262" s="180" t="n">
        <f aca="false">R262/$D262</f>
        <v>438431.222200708</v>
      </c>
      <c r="U262" s="180" t="n">
        <f aca="false">AB261</f>
        <v>736858.556743782</v>
      </c>
      <c r="V262" s="180" t="n">
        <f aca="false">IF($C$9=0,0,IF($A262&gt;IN_PRAZO,0,IF(APORTE_CORRIGIDO="Sim",IN_APORTE*$D262,IN_APORTE))+IF(AND($C$35=1,PGBL_REINVESTE="Sim",$A262&gt;=13,$A262&lt;=IN_PRAZO,MONTH($B262)=5),PGBL_BENEFICIO,0))</f>
        <v>0</v>
      </c>
      <c r="W262" s="180" t="n">
        <f aca="false">V262*$C$24</f>
        <v>0</v>
      </c>
      <c r="X262" s="180" t="n">
        <f aca="false">U262*$C$19</f>
        <v>6010.72136583485</v>
      </c>
      <c r="Y262" s="180" t="n">
        <f aca="false">U262*$C$22</f>
        <v>122.809759457297</v>
      </c>
      <c r="Z262" s="180" t="n">
        <f aca="false">$C$23*MAX(0,X262-U262*$C$18)</f>
        <v>0</v>
      </c>
      <c r="AA262" s="180" t="n">
        <f aca="false">IF(AND($C$27=1,OR(MONTH($B262)=5,MONTH($B262)=11)),MAX(0,$C$28*MAX(0,(U262+X262-Y262-Z262+V262-W262)+AD261-AC262)-AD261),0)</f>
        <v>0</v>
      </c>
      <c r="AB262" s="181" t="n">
        <f aca="false">U262+X262-Y262-Z262+V262-W262-AA262</f>
        <v>742746.46835016</v>
      </c>
      <c r="AC262" s="180" t="n">
        <f aca="false">AC261+V262-W262</f>
        <v>150000</v>
      </c>
      <c r="AD262" s="180" t="n">
        <f aca="false">AD261+AA262</f>
        <v>0</v>
      </c>
      <c r="AE262" s="180" t="n">
        <f aca="false">AB262+AD262-AC262</f>
        <v>592746.46835016</v>
      </c>
      <c r="AF262" s="180" t="n">
        <f aca="false">MAX(0,IFERROR(INDEX(TAB_IR,MATCH($C262,TAB_IR_DIAS,1),MATCH($C$8,TAB_IR_REGIMES,0)),0)*IF($C$26=2,AB262,MAX(0,AE262))-AD262)</f>
        <v>88911.9702525239</v>
      </c>
      <c r="AG262" s="181" t="n">
        <f aca="false">MAX(0,AB262-AF262-AB262*$C$25)</f>
        <v>653834.498097636</v>
      </c>
      <c r="AH262" s="180" t="n">
        <f aca="false">AG262/$D262</f>
        <v>338968.544198953</v>
      </c>
      <c r="AJ262" s="180" t="n">
        <f aca="false">AQ261</f>
        <v>603257.2785854</v>
      </c>
      <c r="AK262" s="180" t="n">
        <f aca="false">IF($D$9=0,0,IF($A262&gt;IN_PRAZO,0,IF(APORTE_CORRIGIDO="Sim",IN_APORTE*$D262,IN_APORTE))+IF(AND($D$35=1,PGBL_REINVESTE="Sim",$A262&gt;=13,$A262&lt;=IN_PRAZO,MONTH($B262)=5),PGBL_BENEFICIO,0))</f>
        <v>0</v>
      </c>
      <c r="AL262" s="180" t="n">
        <f aca="false">AK262*$D$24</f>
        <v>0</v>
      </c>
      <c r="AM262" s="180" t="n">
        <f aca="false">AJ262*$D$19</f>
        <v>5422.49692013778</v>
      </c>
      <c r="AN262" s="180" t="n">
        <f aca="false">AJ262*$D$22</f>
        <v>502.714398821166</v>
      </c>
      <c r="AO262" s="180" t="n">
        <f aca="false">$D$23*MAX(0,AM262-AJ262*$D$18)</f>
        <v>0</v>
      </c>
      <c r="AP262" s="180" t="n">
        <f aca="false">IF(AND($D$27=1,OR(MONTH($B262)=5,MONTH($B262)=11)),MAX(0,$D$28*MAX(0,(AJ262+AM262-AN262-AO262+AK262-AL262)+AS261-AR262)-AS261),0)</f>
        <v>4339.21864573573</v>
      </c>
      <c r="AQ262" s="181" t="n">
        <f aca="false">AJ262+AM262-AN262-AO262+AK262-AL262-AP262</f>
        <v>603837.842460981</v>
      </c>
      <c r="AR262" s="180" t="n">
        <f aca="false">AR261+AK262-AL262</f>
        <v>150000</v>
      </c>
      <c r="AS262" s="180" t="n">
        <f aca="false">AS261+AP262</f>
        <v>80089.031022526</v>
      </c>
      <c r="AT262" s="180" t="n">
        <f aca="false">AQ262+AS262-AR262</f>
        <v>533926.873483507</v>
      </c>
      <c r="AU262" s="180" t="n">
        <f aca="false">MAX(0,IFERROR(INDEX(TAB_IR,MATCH($C262,TAB_IR_DIAS,1),MATCH($D$8,TAB_IR_REGIMES,0)),0)*IF($D$26=2,AQ262,MAX(0,AT262))-AS262)</f>
        <v>0</v>
      </c>
      <c r="AV262" s="181" t="n">
        <f aca="false">MAX(0,AQ262-AU262-AQ262*$D$25)</f>
        <v>603837.842460981</v>
      </c>
      <c r="AW262" s="180" t="n">
        <f aca="false">AV262/$D262</f>
        <v>313048.691965273</v>
      </c>
      <c r="AY262" s="180" t="n">
        <f aca="false">BF261</f>
        <v>821502.176608431</v>
      </c>
      <c r="AZ262" s="180" t="n">
        <f aca="false">IF($E$9=0,0,IF($A262&gt;IN_PRAZO,0,IF(APORTE_CORRIGIDO="Sim",IN_APORTE*$D262,IN_APORTE))+IF(AND($E$35=1,PGBL_REINVESTE="Sim",$A262&gt;=13,$A262&lt;=IN_PRAZO,MONTH($B262)=5),PGBL_BENEFICIO,0))</f>
        <v>0</v>
      </c>
      <c r="BA262" s="180" t="n">
        <f aca="false">AZ262*$E$24</f>
        <v>0</v>
      </c>
      <c r="BB262" s="180" t="n">
        <f aca="false">AY262*$E$19</f>
        <v>8041.47561147915</v>
      </c>
      <c r="BC262" s="180" t="n">
        <f aca="false">AY262*$E$22</f>
        <v>1026.87772076054</v>
      </c>
      <c r="BD262" s="180" t="n">
        <f aca="false">$E$23*MAX(0,BB262-AY262*$E$18)</f>
        <v>0</v>
      </c>
      <c r="BE262" s="180" t="n">
        <f aca="false">IF(AND($E$27=1,OR(MONTH($B262)=5,MONTH($B262)=11)),MAX(0,$E$28*MAX(0,(AY262+BB262-BC262-BD262+AZ262-BA262)+BH261-BG262)-BH261),0)</f>
        <v>0</v>
      </c>
      <c r="BF262" s="181" t="n">
        <f aca="false">AY262+BB262-BC262-BD262+AZ262-BA262-BE262</f>
        <v>828516.77449915</v>
      </c>
      <c r="BG262" s="180" t="n">
        <f aca="false">BG261+AZ262-BA262</f>
        <v>150000</v>
      </c>
      <c r="BH262" s="180" t="n">
        <f aca="false">BH261+BE262</f>
        <v>0</v>
      </c>
      <c r="BI262" s="180" t="n">
        <f aca="false">BF262+BH262-BG262</f>
        <v>678516.77449915</v>
      </c>
      <c r="BJ262" s="180" t="n">
        <f aca="false">MAX(0,IFERROR(INDEX(TAB_IR,MATCH($C262,TAB_IR_DIAS,1),MATCH($E$8,TAB_IR_REGIMES,0)),0)*IF($E$26=2,BF262,MAX(0,BI262))-BH262)</f>
        <v>67851.677449915</v>
      </c>
      <c r="BK262" s="181" t="n">
        <f aca="false">MAX(0,BF262-BJ262-BF262*$E$25)</f>
        <v>760665.097049235</v>
      </c>
      <c r="BL262" s="180" t="n">
        <f aca="false">BK262/$D262</f>
        <v>394352.915485398</v>
      </c>
      <c r="BN262" s="180" t="n">
        <f aca="false">BU261</f>
        <v>821502.176608431</v>
      </c>
      <c r="BO262" s="180" t="n">
        <f aca="false">IF($F$9=0,0,IF($A262&gt;IN_PRAZO,0,IF(APORTE_CORRIGIDO="Sim",IN_APORTE*$D262,IN_APORTE))+IF(AND($F$35=1,PGBL_REINVESTE="Sim",$A262&gt;=13,$A262&lt;=IN_PRAZO,MONTH($B262)=5),PGBL_BENEFICIO,0))</f>
        <v>0</v>
      </c>
      <c r="BP262" s="180" t="n">
        <f aca="false">BO262*$F$24</f>
        <v>0</v>
      </c>
      <c r="BQ262" s="180" t="n">
        <f aca="false">BN262*$F$19</f>
        <v>8041.47561147915</v>
      </c>
      <c r="BR262" s="180" t="n">
        <f aca="false">BN262*$F$22</f>
        <v>1026.87772076054</v>
      </c>
      <c r="BS262" s="180" t="n">
        <f aca="false">$F$23*MAX(0,BQ262-BN262*$F$18)</f>
        <v>0</v>
      </c>
      <c r="BT262" s="180" t="n">
        <f aca="false">IF(AND($F$27=1,OR(MONTH($B262)=5,MONTH($B262)=11)),MAX(0,$F$28*MAX(0,(BN262+BQ262-BR262-BS262+BO262-BP262)+BW261-BV262)-BW261),0)</f>
        <v>0</v>
      </c>
      <c r="BU262" s="181" t="n">
        <f aca="false">BN262+BQ262-BR262-BS262+BO262-BP262-BT262</f>
        <v>828516.77449915</v>
      </c>
      <c r="BV262" s="180" t="n">
        <f aca="false">BV261+BO262-BP262</f>
        <v>150000</v>
      </c>
      <c r="BW262" s="180" t="n">
        <f aca="false">BW261+BT262</f>
        <v>0</v>
      </c>
      <c r="BX262" s="180" t="n">
        <f aca="false">BU262+BW262-BV262</f>
        <v>678516.77449915</v>
      </c>
      <c r="BY262" s="180" t="n">
        <f aca="false">MAX(0,IFERROR(INDEX(TAB_IR,MATCH($C262,TAB_IR_DIAS,1),MATCH($F$8,TAB_IR_REGIMES,0)),0)*IF($F$26=2,BU262,MAX(0,BX262))-BW262)</f>
        <v>82851.677449915</v>
      </c>
      <c r="BZ262" s="181" t="n">
        <f aca="false">MAX(0,BU262-BY262-BU262*$F$25)</f>
        <v>745665.097049235</v>
      </c>
      <c r="CA262" s="180" t="n">
        <f aca="false">BZ262/$D262</f>
        <v>386576.439668081</v>
      </c>
      <c r="CC262" s="180" t="n">
        <f aca="false">CJ261</f>
        <v>523498.339316164</v>
      </c>
      <c r="CD262" s="180" t="n">
        <f aca="false">IF($G$9=0,0,IF($A262&gt;IN_PRAZO,0,IF(APORTE_CORRIGIDO="Sim",IN_APORTE*$D262,IN_APORTE))+IF(AND($G$35=1,PGBL_REINVESTE="Sim",$A262&gt;=13,$A262&lt;=IN_PRAZO,MONTH($B262)=5),PGBL_BENEFICIO,0))</f>
        <v>0</v>
      </c>
      <c r="CE262" s="180" t="n">
        <f aca="false">CD262*$G$24</f>
        <v>0</v>
      </c>
      <c r="CF262" s="180" t="n">
        <f aca="false">CC262*$G$19</f>
        <v>4270.29397203682</v>
      </c>
      <c r="CG262" s="180" t="n">
        <f aca="false">CC262*$G$22</f>
        <v>436.248616096803</v>
      </c>
      <c r="CH262" s="180" t="n">
        <f aca="false">$G$23*MAX(0,CF262-CC262*$G$18)</f>
        <v>0</v>
      </c>
      <c r="CI262" s="180" t="n">
        <f aca="false">IF(AND($G$27=1,OR(MONTH($B262)=5,MONTH($B262)=11)),MAX(0,$G$28*MAX(0,(CC262+CF262-CG262-CH262+CD262-CE262)+CL261-CK262)-CL261),0)</f>
        <v>3388.52460187238</v>
      </c>
      <c r="CJ262" s="181" t="n">
        <f aca="false">CC262+CF262-CG262-CH262+CD262-CE262-CI262</f>
        <v>523943.860070231</v>
      </c>
      <c r="CK262" s="180" t="n">
        <f aca="false">CK261+CD262-CE262</f>
        <v>150000</v>
      </c>
      <c r="CL262" s="180" t="n">
        <f aca="false">CL261+CI262</f>
        <v>65990.0929535702</v>
      </c>
      <c r="CM262" s="180" t="n">
        <f aca="false">CJ262+CL262-CK262</f>
        <v>439933.953023801</v>
      </c>
      <c r="CN262" s="180" t="n">
        <f aca="false">MAX(0,IFERROR(INDEX(TAB_IR,MATCH($C262,TAB_IR_DIAS,1),MATCH($G$8,TAB_IR_REGIMES,0)),0)*IF($G$26=2,CJ262,MAX(0,CM262))-CL262)</f>
        <v>0</v>
      </c>
      <c r="CO262" s="181" t="n">
        <f aca="false">MAX(0,CJ262-CN262-CJ262*$G$25)</f>
        <v>523943.860070231</v>
      </c>
      <c r="CP262" s="180" t="n">
        <f aca="false">CO262/$D262</f>
        <v>271629.117164549</v>
      </c>
    </row>
    <row r="263" customFormat="false" ht="12" hidden="false" customHeight="true" outlineLevel="0" collapsed="false">
      <c r="A263" s="177" t="n">
        <v>202</v>
      </c>
      <c r="B263" s="178" t="n">
        <f aca="false">EDATE(DATA_INICIO,$A263)</f>
        <v>52405</v>
      </c>
      <c r="C263" s="177" t="n">
        <f aca="false">$A263*30</f>
        <v>6060</v>
      </c>
      <c r="D263" s="179" t="n">
        <f aca="false">(1+IPCA_CENARIO)^($A263/12)</f>
        <v>1.93520901373083</v>
      </c>
      <c r="F263" s="180" t="n">
        <f aca="false">M262</f>
        <v>968455.873314033</v>
      </c>
      <c r="G263" s="180" t="n">
        <f aca="false">IF($B$9=0,0,IF($A263&gt;IN_PRAZO,0,IF(APORTE_CORRIGIDO="Sim",IN_APORTE*$D263,IN_APORTE))+IF(AND($B$35=1,PGBL_REINVESTE="Sim",$A263&gt;=13,$A263&lt;=IN_PRAZO,MONTH($B263)=5),PGBL_BENEFICIO,0))</f>
        <v>0</v>
      </c>
      <c r="H263" s="180" t="n">
        <f aca="false">G263*$B$24</f>
        <v>0</v>
      </c>
      <c r="I263" s="180" t="n">
        <f aca="false">F263*$B$19</f>
        <v>9189.47724815765</v>
      </c>
      <c r="J263" s="180" t="n">
        <f aca="false">F263*$B$22</f>
        <v>161.409312219006</v>
      </c>
      <c r="K263" s="180" t="n">
        <f aca="false">$B$23*MAX(0,I263-F263*$B$18)</f>
        <v>0</v>
      </c>
      <c r="L263" s="180" t="n">
        <f aca="false">IF(AND($B$27=1,OR(MONTH($B263)=5,MONTH($B263)=11)),MAX(0,$B$28*MAX(0,(F263+I263-J263-K263+G263-H263)+O262-N263)-O262),0)</f>
        <v>0</v>
      </c>
      <c r="M263" s="181" t="n">
        <f aca="false">F263+I263-J263-K263+G263-H263-L263</f>
        <v>977483.941249972</v>
      </c>
      <c r="N263" s="180" t="n">
        <f aca="false">N262+G263-H263</f>
        <v>150000</v>
      </c>
      <c r="O263" s="180" t="n">
        <f aca="false">O262+L263</f>
        <v>0</v>
      </c>
      <c r="P263" s="180" t="n">
        <f aca="false">M263+O263-N263</f>
        <v>827483.941249972</v>
      </c>
      <c r="Q263" s="180" t="n">
        <f aca="false">MAX(0,IFERROR(INDEX(TAB_IR,MATCH($C263,TAB_IR_DIAS,1),MATCH($B$8,TAB_IR_REGIMES,0)),0)*IF($B$26=2,M263,MAX(0,P263))-O263)</f>
        <v>124122.591187496</v>
      </c>
      <c r="R263" s="181" t="n">
        <f aca="false">MAX(0,M263-Q263-M263*$B$25)</f>
        <v>853361.350062476</v>
      </c>
      <c r="S263" s="180" t="n">
        <f aca="false">R263/$D263</f>
        <v>440965.985590005</v>
      </c>
      <c r="U263" s="180" t="n">
        <f aca="false">AB262</f>
        <v>742746.46835016</v>
      </c>
      <c r="V263" s="180" t="n">
        <f aca="false">IF($C$9=0,0,IF($A263&gt;IN_PRAZO,0,IF(APORTE_CORRIGIDO="Sim",IN_APORTE*$D263,IN_APORTE))+IF(AND($C$35=1,PGBL_REINVESTE="Sim",$A263&gt;=13,$A263&lt;=IN_PRAZO,MONTH($B263)=5),PGBL_BENEFICIO,0))</f>
        <v>0</v>
      </c>
      <c r="W263" s="180" t="n">
        <f aca="false">V263*$C$24</f>
        <v>0</v>
      </c>
      <c r="X263" s="180" t="n">
        <f aca="false">U263*$C$19</f>
        <v>6058.75038818751</v>
      </c>
      <c r="Y263" s="180" t="n">
        <f aca="false">U263*$C$22</f>
        <v>123.79107805836</v>
      </c>
      <c r="Z263" s="180" t="n">
        <f aca="false">$C$23*MAX(0,X263-U263*$C$18)</f>
        <v>0</v>
      </c>
      <c r="AA263" s="180" t="n">
        <f aca="false">IF(AND($C$27=1,OR(MONTH($B263)=5,MONTH($B263)=11)),MAX(0,$C$28*MAX(0,(U263+X263-Y263-Z263+V263-W263)+AD262-AC263)-AD262),0)</f>
        <v>0</v>
      </c>
      <c r="AB263" s="181" t="n">
        <f aca="false">U263+X263-Y263-Z263+V263-W263-AA263</f>
        <v>748681.427660289</v>
      </c>
      <c r="AC263" s="180" t="n">
        <f aca="false">AC262+V263-W263</f>
        <v>150000</v>
      </c>
      <c r="AD263" s="180" t="n">
        <f aca="false">AD262+AA263</f>
        <v>0</v>
      </c>
      <c r="AE263" s="180" t="n">
        <f aca="false">AB263+AD263-AC263</f>
        <v>598681.427660289</v>
      </c>
      <c r="AF263" s="180" t="n">
        <f aca="false">MAX(0,IFERROR(INDEX(TAB_IR,MATCH($C263,TAB_IR_DIAS,1),MATCH($C$8,TAB_IR_REGIMES,0)),0)*IF($C$26=2,AB263,MAX(0,AE263))-AD263)</f>
        <v>89802.2141490433</v>
      </c>
      <c r="AG263" s="181" t="n">
        <f aca="false">MAX(0,AB263-AF263-AB263*$C$25)</f>
        <v>658879.213511245</v>
      </c>
      <c r="AH263" s="180" t="n">
        <f aca="false">AG263/$D263</f>
        <v>340469.276877236</v>
      </c>
      <c r="AJ263" s="180" t="n">
        <f aca="false">AQ262</f>
        <v>603837.842460981</v>
      </c>
      <c r="AK263" s="180" t="n">
        <f aca="false">IF($D$9=0,0,IF($A263&gt;IN_PRAZO,0,IF(APORTE_CORRIGIDO="Sim",IN_APORTE*$D263,IN_APORTE))+IF(AND($D$35=1,PGBL_REINVESTE="Sim",$A263&gt;=13,$A263&lt;=IN_PRAZO,MONTH($B263)=5),PGBL_BENEFICIO,0))</f>
        <v>0</v>
      </c>
      <c r="AL263" s="180" t="n">
        <f aca="false">AK263*$D$24</f>
        <v>0</v>
      </c>
      <c r="AM263" s="180" t="n">
        <f aca="false">AJ263*$D$19</f>
        <v>5427.71543293329</v>
      </c>
      <c r="AN263" s="180" t="n">
        <f aca="false">AJ263*$D$22</f>
        <v>503.198202050817</v>
      </c>
      <c r="AO263" s="180" t="n">
        <f aca="false">$D$23*MAX(0,AM263-AJ263*$D$18)</f>
        <v>0</v>
      </c>
      <c r="AP263" s="180" t="n">
        <f aca="false">IF(AND($D$27=1,OR(MONTH($B263)=5,MONTH($B263)=11)),MAX(0,$D$28*MAX(0,(AJ263+AM263-AN263-AO263+AK263-AL263)+AS262-AR263)-AS262),0)</f>
        <v>0</v>
      </c>
      <c r="AQ263" s="181" t="n">
        <f aca="false">AJ263+AM263-AN263-AO263+AK263-AL263-AP263</f>
        <v>608762.359691863</v>
      </c>
      <c r="AR263" s="180" t="n">
        <f aca="false">AR262+AK263-AL263</f>
        <v>150000</v>
      </c>
      <c r="AS263" s="180" t="n">
        <f aca="false">AS262+AP263</f>
        <v>80089.031022526</v>
      </c>
      <c r="AT263" s="180" t="n">
        <f aca="false">AQ263+AS263-AR263</f>
        <v>538851.390714389</v>
      </c>
      <c r="AU263" s="180" t="n">
        <f aca="false">MAX(0,IFERROR(INDEX(TAB_IR,MATCH($C263,TAB_IR_DIAS,1),MATCH($D$8,TAB_IR_REGIMES,0)),0)*IF($D$26=2,AQ263,MAX(0,AT263))-AS263)</f>
        <v>738.677584632358</v>
      </c>
      <c r="AV263" s="181" t="n">
        <f aca="false">MAX(0,AQ263-AU263-AQ263*$D$25)</f>
        <v>608023.682107231</v>
      </c>
      <c r="AW263" s="180" t="n">
        <f aca="false">AV263/$D263</f>
        <v>314190.18710286</v>
      </c>
      <c r="AY263" s="180" t="n">
        <f aca="false">BF262</f>
        <v>828516.77449915</v>
      </c>
      <c r="AZ263" s="180" t="n">
        <f aca="false">IF($E$9=0,0,IF($A263&gt;IN_PRAZO,0,IF(APORTE_CORRIGIDO="Sim",IN_APORTE*$D263,IN_APORTE))+IF(AND($E$35=1,PGBL_REINVESTE="Sim",$A263&gt;=13,$A263&lt;=IN_PRAZO,MONTH($B263)=5),PGBL_BENEFICIO,0))</f>
        <v>0</v>
      </c>
      <c r="BA263" s="180" t="n">
        <f aca="false">AZ263*$E$24</f>
        <v>0</v>
      </c>
      <c r="BB263" s="180" t="n">
        <f aca="false">AY263*$E$19</f>
        <v>8110.13972396565</v>
      </c>
      <c r="BC263" s="180" t="n">
        <f aca="false">AY263*$E$22</f>
        <v>1035.64596812394</v>
      </c>
      <c r="BD263" s="180" t="n">
        <f aca="false">$E$23*MAX(0,BB263-AY263*$E$18)</f>
        <v>0</v>
      </c>
      <c r="BE263" s="180" t="n">
        <f aca="false">IF(AND($E$27=1,OR(MONTH($B263)=5,MONTH($B263)=11)),MAX(0,$E$28*MAX(0,(AY263+BB263-BC263-BD263+AZ263-BA263)+BH262-BG263)-BH262),0)</f>
        <v>0</v>
      </c>
      <c r="BF263" s="181" t="n">
        <f aca="false">AY263+BB263-BC263-BD263+AZ263-BA263-BE263</f>
        <v>835591.268254991</v>
      </c>
      <c r="BG263" s="180" t="n">
        <f aca="false">BG262+AZ263-BA263</f>
        <v>150000</v>
      </c>
      <c r="BH263" s="180" t="n">
        <f aca="false">BH262+BE263</f>
        <v>0</v>
      </c>
      <c r="BI263" s="180" t="n">
        <f aca="false">BF263+BH263-BG263</f>
        <v>685591.268254991</v>
      </c>
      <c r="BJ263" s="180" t="n">
        <f aca="false">MAX(0,IFERROR(INDEX(TAB_IR,MATCH($C263,TAB_IR_DIAS,1),MATCH($E$8,TAB_IR_REGIMES,0)),0)*IF($E$26=2,BF263,MAX(0,BI263))-BH263)</f>
        <v>68559.1268254991</v>
      </c>
      <c r="BK263" s="181" t="n">
        <f aca="false">MAX(0,BF263-BJ263-BF263*$E$25)</f>
        <v>767032.141429492</v>
      </c>
      <c r="BL263" s="180" t="n">
        <f aca="false">BK263/$D263</f>
        <v>396356.226116762</v>
      </c>
      <c r="BN263" s="180" t="n">
        <f aca="false">BU262</f>
        <v>828516.77449915</v>
      </c>
      <c r="BO263" s="180" t="n">
        <f aca="false">IF($F$9=0,0,IF($A263&gt;IN_PRAZO,0,IF(APORTE_CORRIGIDO="Sim",IN_APORTE*$D263,IN_APORTE))+IF(AND($F$35=1,PGBL_REINVESTE="Sim",$A263&gt;=13,$A263&lt;=IN_PRAZO,MONTH($B263)=5),PGBL_BENEFICIO,0))</f>
        <v>0</v>
      </c>
      <c r="BP263" s="180" t="n">
        <f aca="false">BO263*$F$24</f>
        <v>0</v>
      </c>
      <c r="BQ263" s="180" t="n">
        <f aca="false">BN263*$F$19</f>
        <v>8110.13972396565</v>
      </c>
      <c r="BR263" s="180" t="n">
        <f aca="false">BN263*$F$22</f>
        <v>1035.64596812394</v>
      </c>
      <c r="BS263" s="180" t="n">
        <f aca="false">$F$23*MAX(0,BQ263-BN263*$F$18)</f>
        <v>0</v>
      </c>
      <c r="BT263" s="180" t="n">
        <f aca="false">IF(AND($F$27=1,OR(MONTH($B263)=5,MONTH($B263)=11)),MAX(0,$F$28*MAX(0,(BN263+BQ263-BR263-BS263+BO263-BP263)+BW262-BV263)-BW262),0)</f>
        <v>0</v>
      </c>
      <c r="BU263" s="181" t="n">
        <f aca="false">BN263+BQ263-BR263-BS263+BO263-BP263-BT263</f>
        <v>835591.268254991</v>
      </c>
      <c r="BV263" s="180" t="n">
        <f aca="false">BV262+BO263-BP263</f>
        <v>150000</v>
      </c>
      <c r="BW263" s="180" t="n">
        <f aca="false">BW262+BT263</f>
        <v>0</v>
      </c>
      <c r="BX263" s="180" t="n">
        <f aca="false">BU263+BW263-BV263</f>
        <v>685591.268254991</v>
      </c>
      <c r="BY263" s="180" t="n">
        <f aca="false">MAX(0,IFERROR(INDEX(TAB_IR,MATCH($C263,TAB_IR_DIAS,1),MATCH($F$8,TAB_IR_REGIMES,0)),0)*IF($F$26=2,BU263,MAX(0,BX263))-BW263)</f>
        <v>83559.1268254991</v>
      </c>
      <c r="BZ263" s="181" t="n">
        <f aca="false">MAX(0,BU263-BY263-BU263*$F$25)</f>
        <v>752032.141429492</v>
      </c>
      <c r="CA263" s="180" t="n">
        <f aca="false">BZ263/$D263</f>
        <v>388605.125386261</v>
      </c>
      <c r="CC263" s="180" t="n">
        <f aca="false">CJ262</f>
        <v>523943.860070231</v>
      </c>
      <c r="CD263" s="180" t="n">
        <f aca="false">IF($G$9=0,0,IF($A263&gt;IN_PRAZO,0,IF(APORTE_CORRIGIDO="Sim",IN_APORTE*$D263,IN_APORTE))+IF(AND($G$35=1,PGBL_REINVESTE="Sim",$A263&gt;=13,$A263&lt;=IN_PRAZO,MONTH($B263)=5),PGBL_BENEFICIO,0))</f>
        <v>0</v>
      </c>
      <c r="CE263" s="180" t="n">
        <f aca="false">CD263*$G$24</f>
        <v>0</v>
      </c>
      <c r="CF263" s="180" t="n">
        <f aca="false">CC263*$G$19</f>
        <v>4273.92818526661</v>
      </c>
      <c r="CG263" s="180" t="n">
        <f aca="false">CC263*$G$22</f>
        <v>436.619883391859</v>
      </c>
      <c r="CH263" s="180" t="n">
        <f aca="false">$G$23*MAX(0,CF263-CC263*$G$18)</f>
        <v>0</v>
      </c>
      <c r="CI263" s="180" t="n">
        <f aca="false">IF(AND($G$27=1,OR(MONTH($B263)=5,MONTH($B263)=11)),MAX(0,$G$28*MAX(0,(CC263+CF263-CG263-CH263+CD263-CE263)+CL262-CK263)-CL262),0)</f>
        <v>0</v>
      </c>
      <c r="CJ263" s="181" t="n">
        <f aca="false">CC263+CF263-CG263-CH263+CD263-CE263-CI263</f>
        <v>527781.168372106</v>
      </c>
      <c r="CK263" s="180" t="n">
        <f aca="false">CK262+CD263-CE263</f>
        <v>150000</v>
      </c>
      <c r="CL263" s="180" t="n">
        <f aca="false">CL262+CI263</f>
        <v>65990.0929535702</v>
      </c>
      <c r="CM263" s="180" t="n">
        <f aca="false">CJ263+CL263-CK263</f>
        <v>443771.261325676</v>
      </c>
      <c r="CN263" s="180" t="n">
        <f aca="false">MAX(0,IFERROR(INDEX(TAB_IR,MATCH($C263,TAB_IR_DIAS,1),MATCH($G$8,TAB_IR_REGIMES,0)),0)*IF($G$26=2,CJ263,MAX(0,CM263))-CL263)</f>
        <v>575.596245281209</v>
      </c>
      <c r="CO263" s="181" t="n">
        <f aca="false">MAX(0,CJ263-CN263-CJ263*$G$25)</f>
        <v>527205.572126825</v>
      </c>
      <c r="CP263" s="180" t="n">
        <f aca="false">CO263/$D263</f>
        <v>272428.233015741</v>
      </c>
    </row>
    <row r="264" customFormat="false" ht="12" hidden="false" customHeight="true" outlineLevel="0" collapsed="false">
      <c r="A264" s="177" t="n">
        <v>203</v>
      </c>
      <c r="B264" s="178" t="n">
        <f aca="false">EDATE(DATA_INICIO,$A264)</f>
        <v>52435</v>
      </c>
      <c r="C264" s="177" t="n">
        <f aca="false">$A264*30</f>
        <v>6090</v>
      </c>
      <c r="D264" s="179" t="n">
        <f aca="false">(1+IPCA_CENARIO)^($A264/12)</f>
        <v>1.94154438446595</v>
      </c>
      <c r="F264" s="180" t="n">
        <f aca="false">M263</f>
        <v>977483.941249972</v>
      </c>
      <c r="G264" s="180" t="n">
        <f aca="false">IF($B$9=0,0,IF($A264&gt;IN_PRAZO,0,IF(APORTE_CORRIGIDO="Sim",IN_APORTE*$D264,IN_APORTE))+IF(AND($B$35=1,PGBL_REINVESTE="Sim",$A264&gt;=13,$A264&lt;=IN_PRAZO,MONTH($B264)=5),PGBL_BENEFICIO,0))</f>
        <v>0</v>
      </c>
      <c r="H264" s="180" t="n">
        <f aca="false">G264*$B$24</f>
        <v>0</v>
      </c>
      <c r="I264" s="180" t="n">
        <f aca="false">F264*$B$19</f>
        <v>9275.14271540112</v>
      </c>
      <c r="J264" s="180" t="n">
        <f aca="false">F264*$B$22</f>
        <v>162.913990208329</v>
      </c>
      <c r="K264" s="180" t="n">
        <f aca="false">$B$23*MAX(0,I264-F264*$B$18)</f>
        <v>0</v>
      </c>
      <c r="L264" s="180" t="n">
        <f aca="false">IF(AND($B$27=1,OR(MONTH($B264)=5,MONTH($B264)=11)),MAX(0,$B$28*MAX(0,(F264+I264-J264-K264+G264-H264)+O263-N264)-O263),0)</f>
        <v>0</v>
      </c>
      <c r="M264" s="181" t="n">
        <f aca="false">F264+I264-J264-K264+G264-H264-L264</f>
        <v>986596.169975165</v>
      </c>
      <c r="N264" s="180" t="n">
        <f aca="false">N263+G264-H264</f>
        <v>150000</v>
      </c>
      <c r="O264" s="180" t="n">
        <f aca="false">O263+L264</f>
        <v>0</v>
      </c>
      <c r="P264" s="180" t="n">
        <f aca="false">M264+O264-N264</f>
        <v>836596.169975165</v>
      </c>
      <c r="Q264" s="180" t="n">
        <f aca="false">MAX(0,IFERROR(INDEX(TAB_IR,MATCH($C264,TAB_IR_DIAS,1),MATCH($B$8,TAB_IR_REGIMES,0)),0)*IF($B$26=2,M264,MAX(0,P264))-O264)</f>
        <v>125489.425496275</v>
      </c>
      <c r="R264" s="181" t="n">
        <f aca="false">MAX(0,M264-Q264-M264*$B$25)</f>
        <v>861106.74447889</v>
      </c>
      <c r="S264" s="180" t="n">
        <f aca="false">R264/$D264</f>
        <v>443516.383848083</v>
      </c>
      <c r="U264" s="180" t="n">
        <f aca="false">AB263</f>
        <v>748681.427660289</v>
      </c>
      <c r="V264" s="180" t="n">
        <f aca="false">IF($C$9=0,0,IF($A264&gt;IN_PRAZO,0,IF(APORTE_CORRIGIDO="Sim",IN_APORTE*$D264,IN_APORTE))+IF(AND($C$35=1,PGBL_REINVESTE="Sim",$A264&gt;=13,$A264&lt;=IN_PRAZO,MONTH($B264)=5),PGBL_BENEFICIO,0))</f>
        <v>0</v>
      </c>
      <c r="W264" s="180" t="n">
        <f aca="false">V264*$C$24</f>
        <v>0</v>
      </c>
      <c r="X264" s="180" t="n">
        <f aca="false">U264*$C$19</f>
        <v>6107.16318926619</v>
      </c>
      <c r="Y264" s="180" t="n">
        <f aca="false">U264*$C$22</f>
        <v>124.780237943381</v>
      </c>
      <c r="Z264" s="180" t="n">
        <f aca="false">$C$23*MAX(0,X264-U264*$C$18)</f>
        <v>0</v>
      </c>
      <c r="AA264" s="180" t="n">
        <f aca="false">IF(AND($C$27=1,OR(MONTH($B264)=5,MONTH($B264)=11)),MAX(0,$C$28*MAX(0,(U264+X264-Y264-Z264+V264-W264)+AD263-AC264)-AD263),0)</f>
        <v>0</v>
      </c>
      <c r="AB264" s="181" t="n">
        <f aca="false">U264+X264-Y264-Z264+V264-W264-AA264</f>
        <v>754663.810611612</v>
      </c>
      <c r="AC264" s="180" t="n">
        <f aca="false">AC263+V264-W264</f>
        <v>150000</v>
      </c>
      <c r="AD264" s="180" t="n">
        <f aca="false">AD263+AA264</f>
        <v>0</v>
      </c>
      <c r="AE264" s="180" t="n">
        <f aca="false">AB264+AD264-AC264</f>
        <v>604663.810611612</v>
      </c>
      <c r="AF264" s="180" t="n">
        <f aca="false">MAX(0,IFERROR(INDEX(TAB_IR,MATCH($C264,TAB_IR_DIAS,1),MATCH($C$8,TAB_IR_REGIMES,0)),0)*IF($C$26=2,AB264,MAX(0,AE264))-AD264)</f>
        <v>90699.5715917417</v>
      </c>
      <c r="AG264" s="181" t="n">
        <f aca="false">MAX(0,AB264-AF264-AB264*$C$25)</f>
        <v>663964.23901987</v>
      </c>
      <c r="AH264" s="180" t="n">
        <f aca="false">AG264/$D264</f>
        <v>341977.368291018</v>
      </c>
      <c r="AJ264" s="180" t="n">
        <f aca="false">AQ263</f>
        <v>608762.359691863</v>
      </c>
      <c r="AK264" s="180" t="n">
        <f aca="false">IF($D$9=0,0,IF($A264&gt;IN_PRAZO,0,IF(APORTE_CORRIGIDO="Sim",IN_APORTE*$D264,IN_APORTE))+IF(AND($D$35=1,PGBL_REINVESTE="Sim",$A264&gt;=13,$A264&lt;=IN_PRAZO,MONTH($B264)=5),PGBL_BENEFICIO,0))</f>
        <v>0</v>
      </c>
      <c r="AL264" s="180" t="n">
        <f aca="false">AK264*$D$24</f>
        <v>0</v>
      </c>
      <c r="AM264" s="180" t="n">
        <f aca="false">AJ264*$D$19</f>
        <v>5471.98042643696</v>
      </c>
      <c r="AN264" s="180" t="n">
        <f aca="false">AJ264*$D$22</f>
        <v>507.301966409886</v>
      </c>
      <c r="AO264" s="180" t="n">
        <f aca="false">$D$23*MAX(0,AM264-AJ264*$D$18)</f>
        <v>0</v>
      </c>
      <c r="AP264" s="180" t="n">
        <f aca="false">IF(AND($D$27=1,OR(MONTH($B264)=5,MONTH($B264)=11)),MAX(0,$D$28*MAX(0,(AJ264+AM264-AN264-AO264+AK264-AL264)+AS263-AR264)-AS263),0)</f>
        <v>0</v>
      </c>
      <c r="AQ264" s="181" t="n">
        <f aca="false">AJ264+AM264-AN264-AO264+AK264-AL264-AP264</f>
        <v>613727.03815189</v>
      </c>
      <c r="AR264" s="180" t="n">
        <f aca="false">AR263+AK264-AL264</f>
        <v>150000</v>
      </c>
      <c r="AS264" s="180" t="n">
        <f aca="false">AS263+AP264</f>
        <v>80089.031022526</v>
      </c>
      <c r="AT264" s="180" t="n">
        <f aca="false">AQ264+AS264-AR264</f>
        <v>543816.069174416</v>
      </c>
      <c r="AU264" s="180" t="n">
        <f aca="false">MAX(0,IFERROR(INDEX(TAB_IR,MATCH($C264,TAB_IR_DIAS,1),MATCH($D$8,TAB_IR_REGIMES,0)),0)*IF($D$26=2,AQ264,MAX(0,AT264))-AS264)</f>
        <v>1483.37935363642</v>
      </c>
      <c r="AV264" s="181" t="n">
        <f aca="false">MAX(0,AQ264-AU264-AQ264*$D$25)</f>
        <v>612243.658798254</v>
      </c>
      <c r="AW264" s="180" t="n">
        <f aca="false">AV264/$D264</f>
        <v>315338.481930538</v>
      </c>
      <c r="AY264" s="180" t="n">
        <f aca="false">BF263</f>
        <v>835591.268254991</v>
      </c>
      <c r="AZ264" s="180" t="n">
        <f aca="false">IF($E$9=0,0,IF($A264&gt;IN_PRAZO,0,IF(APORTE_CORRIGIDO="Sim",IN_APORTE*$D264,IN_APORTE))+IF(AND($E$35=1,PGBL_REINVESTE="Sim",$A264&gt;=13,$A264&lt;=IN_PRAZO,MONTH($B264)=5),PGBL_BENEFICIO,0))</f>
        <v>0</v>
      </c>
      <c r="BA264" s="180" t="n">
        <f aca="false">AZ264*$E$24</f>
        <v>0</v>
      </c>
      <c r="BB264" s="180" t="n">
        <f aca="false">AY264*$E$19</f>
        <v>8179.39014182337</v>
      </c>
      <c r="BC264" s="180" t="n">
        <f aca="false">AY264*$E$22</f>
        <v>1044.48908531874</v>
      </c>
      <c r="BD264" s="180" t="n">
        <f aca="false">$E$23*MAX(0,BB264-AY264*$E$18)</f>
        <v>0</v>
      </c>
      <c r="BE264" s="180" t="n">
        <f aca="false">IF(AND($E$27=1,OR(MONTH($B264)=5,MONTH($B264)=11)),MAX(0,$E$28*MAX(0,(AY264+BB264-BC264-BD264+AZ264-BA264)+BH263-BG264)-BH263),0)</f>
        <v>0</v>
      </c>
      <c r="BF264" s="181" t="n">
        <f aca="false">AY264+BB264-BC264-BD264+AZ264-BA264-BE264</f>
        <v>842726.169311496</v>
      </c>
      <c r="BG264" s="180" t="n">
        <f aca="false">BG263+AZ264-BA264</f>
        <v>150000</v>
      </c>
      <c r="BH264" s="180" t="n">
        <f aca="false">BH263+BE264</f>
        <v>0</v>
      </c>
      <c r="BI264" s="180" t="n">
        <f aca="false">BF264+BH264-BG264</f>
        <v>692726.169311496</v>
      </c>
      <c r="BJ264" s="180" t="n">
        <f aca="false">MAX(0,IFERROR(INDEX(TAB_IR,MATCH($C264,TAB_IR_DIAS,1),MATCH($E$8,TAB_IR_REGIMES,0)),0)*IF($E$26=2,BF264,MAX(0,BI264))-BH264)</f>
        <v>69272.6169311496</v>
      </c>
      <c r="BK264" s="181" t="n">
        <f aca="false">MAX(0,BF264-BJ264-BF264*$E$25)</f>
        <v>773453.552380346</v>
      </c>
      <c r="BL264" s="180" t="n">
        <f aca="false">BK264/$D264</f>
        <v>398370.26573724</v>
      </c>
      <c r="BN264" s="180" t="n">
        <f aca="false">BU263</f>
        <v>835591.268254991</v>
      </c>
      <c r="BO264" s="180" t="n">
        <f aca="false">IF($F$9=0,0,IF($A264&gt;IN_PRAZO,0,IF(APORTE_CORRIGIDO="Sim",IN_APORTE*$D264,IN_APORTE))+IF(AND($F$35=1,PGBL_REINVESTE="Sim",$A264&gt;=13,$A264&lt;=IN_PRAZO,MONTH($B264)=5),PGBL_BENEFICIO,0))</f>
        <v>0</v>
      </c>
      <c r="BP264" s="180" t="n">
        <f aca="false">BO264*$F$24</f>
        <v>0</v>
      </c>
      <c r="BQ264" s="180" t="n">
        <f aca="false">BN264*$F$19</f>
        <v>8179.39014182337</v>
      </c>
      <c r="BR264" s="180" t="n">
        <f aca="false">BN264*$F$22</f>
        <v>1044.48908531874</v>
      </c>
      <c r="BS264" s="180" t="n">
        <f aca="false">$F$23*MAX(0,BQ264-BN264*$F$18)</f>
        <v>0</v>
      </c>
      <c r="BT264" s="180" t="n">
        <f aca="false">IF(AND($F$27=1,OR(MONTH($B264)=5,MONTH($B264)=11)),MAX(0,$F$28*MAX(0,(BN264+BQ264-BR264-BS264+BO264-BP264)+BW263-BV264)-BW263),0)</f>
        <v>0</v>
      </c>
      <c r="BU264" s="181" t="n">
        <f aca="false">BN264+BQ264-BR264-BS264+BO264-BP264-BT264</f>
        <v>842726.169311496</v>
      </c>
      <c r="BV264" s="180" t="n">
        <f aca="false">BV263+BO264-BP264</f>
        <v>150000</v>
      </c>
      <c r="BW264" s="180" t="n">
        <f aca="false">BW263+BT264</f>
        <v>0</v>
      </c>
      <c r="BX264" s="180" t="n">
        <f aca="false">BU264+BW264-BV264</f>
        <v>692726.169311496</v>
      </c>
      <c r="BY264" s="180" t="n">
        <f aca="false">MAX(0,IFERROR(INDEX(TAB_IR,MATCH($C264,TAB_IR_DIAS,1),MATCH($F$8,TAB_IR_REGIMES,0)),0)*IF($F$26=2,BU264,MAX(0,BX264))-BW264)</f>
        <v>84272.6169311496</v>
      </c>
      <c r="BZ264" s="181" t="n">
        <f aca="false">MAX(0,BU264-BY264-BU264*$F$25)</f>
        <v>758453.552380346</v>
      </c>
      <c r="CA264" s="180" t="n">
        <f aca="false">BZ264/$D264</f>
        <v>390644.457293192</v>
      </c>
      <c r="CC264" s="180" t="n">
        <f aca="false">CJ263</f>
        <v>527781.168372106</v>
      </c>
      <c r="CD264" s="180" t="n">
        <f aca="false">IF($G$9=0,0,IF($A264&gt;IN_PRAZO,0,IF(APORTE_CORRIGIDO="Sim",IN_APORTE*$D264,IN_APORTE))+IF(AND($G$35=1,PGBL_REINVESTE="Sim",$A264&gt;=13,$A264&lt;=IN_PRAZO,MONTH($B264)=5),PGBL_BENEFICIO,0))</f>
        <v>0</v>
      </c>
      <c r="CE264" s="180" t="n">
        <f aca="false">CD264*$G$24</f>
        <v>0</v>
      </c>
      <c r="CF264" s="180" t="n">
        <f aca="false">CC264*$G$19</f>
        <v>4305.22997417342</v>
      </c>
      <c r="CG264" s="180" t="n">
        <f aca="false">CC264*$G$22</f>
        <v>439.817640310088</v>
      </c>
      <c r="CH264" s="180" t="n">
        <f aca="false">$G$23*MAX(0,CF264-CC264*$G$18)</f>
        <v>0</v>
      </c>
      <c r="CI264" s="180" t="n">
        <f aca="false">IF(AND($G$27=1,OR(MONTH($B264)=5,MONTH($B264)=11)),MAX(0,$G$28*MAX(0,(CC264+CF264-CG264-CH264+CD264-CE264)+CL263-CK264)-CL263),0)</f>
        <v>0</v>
      </c>
      <c r="CJ264" s="181" t="n">
        <f aca="false">CC264+CF264-CG264-CH264+CD264-CE264-CI264</f>
        <v>531646.580705969</v>
      </c>
      <c r="CK264" s="180" t="n">
        <f aca="false">CK263+CD264-CE264</f>
        <v>150000</v>
      </c>
      <c r="CL264" s="180" t="n">
        <f aca="false">CL263+CI264</f>
        <v>65990.0929535702</v>
      </c>
      <c r="CM264" s="180" t="n">
        <f aca="false">CJ264+CL264-CK264</f>
        <v>447636.67365954</v>
      </c>
      <c r="CN264" s="180" t="n">
        <f aca="false">MAX(0,IFERROR(INDEX(TAB_IR,MATCH($C264,TAB_IR_DIAS,1),MATCH($G$8,TAB_IR_REGIMES,0)),0)*IF($G$26=2,CJ264,MAX(0,CM264))-CL264)</f>
        <v>1155.40809536073</v>
      </c>
      <c r="CO264" s="181" t="n">
        <f aca="false">MAX(0,CJ264-CN264-CJ264*$G$25)</f>
        <v>530491.172610609</v>
      </c>
      <c r="CP264" s="180" t="n">
        <f aca="false">CO264/$D264</f>
        <v>273231.545389846</v>
      </c>
    </row>
    <row r="265" customFormat="false" ht="12" hidden="false" customHeight="true" outlineLevel="0" collapsed="false">
      <c r="A265" s="177" t="n">
        <v>204</v>
      </c>
      <c r="B265" s="178" t="n">
        <f aca="false">EDATE(DATA_INICIO,$A265)</f>
        <v>52466</v>
      </c>
      <c r="C265" s="177" t="n">
        <f aca="false">$A265*30</f>
        <v>6120</v>
      </c>
      <c r="D265" s="179" t="n">
        <f aca="false">(1+IPCA_CENARIO)^($A265/12)</f>
        <v>1.94790049555628</v>
      </c>
      <c r="F265" s="180" t="n">
        <f aca="false">M264</f>
        <v>986596.169975165</v>
      </c>
      <c r="G265" s="180" t="n">
        <f aca="false">IF($B$9=0,0,IF($A265&gt;IN_PRAZO,0,IF(APORTE_CORRIGIDO="Sim",IN_APORTE*$D265,IN_APORTE))+IF(AND($B$35=1,PGBL_REINVESTE="Sim",$A265&gt;=13,$A265&lt;=IN_PRAZO,MONTH($B265)=5),PGBL_BENEFICIO,0))</f>
        <v>0</v>
      </c>
      <c r="H265" s="180" t="n">
        <f aca="false">G265*$B$24</f>
        <v>0</v>
      </c>
      <c r="I265" s="180" t="n">
        <f aca="false">F265*$B$19</f>
        <v>9361.60676694703</v>
      </c>
      <c r="J265" s="180" t="n">
        <f aca="false">F265*$B$22</f>
        <v>164.432694995861</v>
      </c>
      <c r="K265" s="180" t="n">
        <f aca="false">$B$23*MAX(0,I265-F265*$B$18)</f>
        <v>0</v>
      </c>
      <c r="L265" s="180" t="n">
        <f aca="false">IF(AND($B$27=1,OR(MONTH($B265)=5,MONTH($B265)=11)),MAX(0,$B$28*MAX(0,(F265+I265-J265-K265+G265-H265)+O264-N265)-O264),0)</f>
        <v>0</v>
      </c>
      <c r="M265" s="181" t="n">
        <f aca="false">F265+I265-J265-K265+G265-H265-L265</f>
        <v>995793.344047116</v>
      </c>
      <c r="N265" s="180" t="n">
        <f aca="false">N264+G265-H265</f>
        <v>150000</v>
      </c>
      <c r="O265" s="180" t="n">
        <f aca="false">O264+L265</f>
        <v>0</v>
      </c>
      <c r="P265" s="180" t="n">
        <f aca="false">M265+O265-N265</f>
        <v>845793.344047116</v>
      </c>
      <c r="Q265" s="180" t="n">
        <f aca="false">MAX(0,IFERROR(INDEX(TAB_IR,MATCH($C265,TAB_IR_DIAS,1),MATCH($B$8,TAB_IR_REGIMES,0)),0)*IF($B$26=2,M265,MAX(0,P265))-O265)</f>
        <v>126869.001607067</v>
      </c>
      <c r="R265" s="181" t="n">
        <f aca="false">MAX(0,M265-Q265-M265*$B$25)</f>
        <v>868924.342440048</v>
      </c>
      <c r="S265" s="180" t="n">
        <f aca="false">R265/$D265</f>
        <v>446082.510078063</v>
      </c>
      <c r="U265" s="180" t="n">
        <f aca="false">AB264</f>
        <v>754663.810611612</v>
      </c>
      <c r="V265" s="180" t="n">
        <f aca="false">IF($C$9=0,0,IF($A265&gt;IN_PRAZO,0,IF(APORTE_CORRIGIDO="Sim",IN_APORTE*$D265,IN_APORTE))+IF(AND($C$35=1,PGBL_REINVESTE="Sim",$A265&gt;=13,$A265&lt;=IN_PRAZO,MONTH($B265)=5),PGBL_BENEFICIO,0))</f>
        <v>0</v>
      </c>
      <c r="W265" s="180" t="n">
        <f aca="false">V265*$C$24</f>
        <v>0</v>
      </c>
      <c r="X265" s="180" t="n">
        <f aca="false">U265*$C$19</f>
        <v>6155.96283567733</v>
      </c>
      <c r="Y265" s="180" t="n">
        <f aca="false">U265*$C$22</f>
        <v>125.777301768602</v>
      </c>
      <c r="Z265" s="180" t="n">
        <f aca="false">$C$23*MAX(0,X265-U265*$C$18)</f>
        <v>0</v>
      </c>
      <c r="AA265" s="180" t="n">
        <f aca="false">IF(AND($C$27=1,OR(MONTH($B265)=5,MONTH($B265)=11)),MAX(0,$C$28*MAX(0,(U265+X265-Y265-Z265+V265-W265)+AD264-AC265)-AD264),0)</f>
        <v>0</v>
      </c>
      <c r="AB265" s="181" t="n">
        <f aca="false">U265+X265-Y265-Z265+V265-W265-AA265</f>
        <v>760693.99614552</v>
      </c>
      <c r="AC265" s="180" t="n">
        <f aca="false">AC264+V265-W265</f>
        <v>150000</v>
      </c>
      <c r="AD265" s="180" t="n">
        <f aca="false">AD264+AA265</f>
        <v>0</v>
      </c>
      <c r="AE265" s="180" t="n">
        <f aca="false">AB265+AD265-AC265</f>
        <v>610693.99614552</v>
      </c>
      <c r="AF265" s="180" t="n">
        <f aca="false">MAX(0,IFERROR(INDEX(TAB_IR,MATCH($C265,TAB_IR_DIAS,1),MATCH($C$8,TAB_IR_REGIMES,0)),0)*IF($C$26=2,AB265,MAX(0,AE265))-AD265)</f>
        <v>91604.099421828</v>
      </c>
      <c r="AG265" s="181" t="n">
        <f aca="false">MAX(0,AB265-AF265-AB265*$C$25)</f>
        <v>669089.896723692</v>
      </c>
      <c r="AH265" s="180" t="n">
        <f aca="false">AG265/$D265</f>
        <v>343492.852047668</v>
      </c>
      <c r="AJ265" s="180" t="n">
        <f aca="false">AQ264</f>
        <v>613727.03815189</v>
      </c>
      <c r="AK265" s="180" t="n">
        <f aca="false">IF($D$9=0,0,IF($A265&gt;IN_PRAZO,0,IF(APORTE_CORRIGIDO="Sim",IN_APORTE*$D265,IN_APORTE))+IF(AND($D$35=1,PGBL_REINVESTE="Sim",$A265&gt;=13,$A265&lt;=IN_PRAZO,MONTH($B265)=5),PGBL_BENEFICIO,0))</f>
        <v>0</v>
      </c>
      <c r="AL265" s="180" t="n">
        <f aca="false">AK265*$D$24</f>
        <v>0</v>
      </c>
      <c r="AM265" s="180" t="n">
        <f aca="false">AJ265*$D$19</f>
        <v>5516.60641706255</v>
      </c>
      <c r="AN265" s="180" t="n">
        <f aca="false">AJ265*$D$22</f>
        <v>511.439198459908</v>
      </c>
      <c r="AO265" s="180" t="n">
        <f aca="false">$D$23*MAX(0,AM265-AJ265*$D$18)</f>
        <v>0</v>
      </c>
      <c r="AP265" s="180" t="n">
        <f aca="false">IF(AND($D$27=1,OR(MONTH($B265)=5,MONTH($B265)=11)),MAX(0,$D$28*MAX(0,(AJ265+AM265-AN265-AO265+AK265-AL265)+AS264-AR265)-AS264),0)</f>
        <v>0</v>
      </c>
      <c r="AQ265" s="181" t="n">
        <f aca="false">AJ265+AM265-AN265-AO265+AK265-AL265-AP265</f>
        <v>618732.205370493</v>
      </c>
      <c r="AR265" s="180" t="n">
        <f aca="false">AR264+AK265-AL265</f>
        <v>150000</v>
      </c>
      <c r="AS265" s="180" t="n">
        <f aca="false">AS264+AP265</f>
        <v>80089.031022526</v>
      </c>
      <c r="AT265" s="180" t="n">
        <f aca="false">AQ265+AS265-AR265</f>
        <v>548821.236393019</v>
      </c>
      <c r="AU265" s="180" t="n">
        <f aca="false">MAX(0,IFERROR(INDEX(TAB_IR,MATCH($C265,TAB_IR_DIAS,1),MATCH($D$8,TAB_IR_REGIMES,0)),0)*IF($D$26=2,AQ265,MAX(0,AT265))-AS265)</f>
        <v>2234.15443642682</v>
      </c>
      <c r="AV265" s="181" t="n">
        <f aca="false">MAX(0,AQ265-AU265-AQ265*$D$25)</f>
        <v>616498.050934066</v>
      </c>
      <c r="AW265" s="180" t="n">
        <f aca="false">AV265/$D265</f>
        <v>316493.605469311</v>
      </c>
      <c r="AY265" s="180" t="n">
        <f aca="false">BF264</f>
        <v>842726.169311496</v>
      </c>
      <c r="AZ265" s="180" t="n">
        <f aca="false">IF($E$9=0,0,IF($A265&gt;IN_PRAZO,0,IF(APORTE_CORRIGIDO="Sim",IN_APORTE*$D265,IN_APORTE))+IF(AND($E$35=1,PGBL_REINVESTE="Sim",$A265&gt;=13,$A265&lt;=IN_PRAZO,MONTH($B265)=5),PGBL_BENEFICIO,0))</f>
        <v>0</v>
      </c>
      <c r="BA265" s="180" t="n">
        <f aca="false">AZ265*$E$24</f>
        <v>0</v>
      </c>
      <c r="BB265" s="180" t="n">
        <f aca="false">AY265*$E$19</f>
        <v>8249.23187136458</v>
      </c>
      <c r="BC265" s="180" t="n">
        <f aca="false">AY265*$E$22</f>
        <v>1053.40771163937</v>
      </c>
      <c r="BD265" s="180" t="n">
        <f aca="false">$E$23*MAX(0,BB265-AY265*$E$18)</f>
        <v>0</v>
      </c>
      <c r="BE265" s="180" t="n">
        <f aca="false">IF(AND($E$27=1,OR(MONTH($B265)=5,MONTH($B265)=11)),MAX(0,$E$28*MAX(0,(AY265+BB265-BC265-BD265+AZ265-BA265)+BH264-BG265)-BH264),0)</f>
        <v>0</v>
      </c>
      <c r="BF265" s="181" t="n">
        <f aca="false">AY265+BB265-BC265-BD265+AZ265-BA265-BE265</f>
        <v>849921.993471221</v>
      </c>
      <c r="BG265" s="180" t="n">
        <f aca="false">BG264+AZ265-BA265</f>
        <v>150000</v>
      </c>
      <c r="BH265" s="180" t="n">
        <f aca="false">BH264+BE265</f>
        <v>0</v>
      </c>
      <c r="BI265" s="180" t="n">
        <f aca="false">BF265+BH265-BG265</f>
        <v>699921.993471221</v>
      </c>
      <c r="BJ265" s="180" t="n">
        <f aca="false">MAX(0,IFERROR(INDEX(TAB_IR,MATCH($C265,TAB_IR_DIAS,1),MATCH($E$8,TAB_IR_REGIMES,0)),0)*IF($E$26=2,BF265,MAX(0,BI265))-BH265)</f>
        <v>69992.1993471221</v>
      </c>
      <c r="BK265" s="181" t="n">
        <f aca="false">MAX(0,BF265-BJ265-BF265*$E$25)</f>
        <v>779929.794124099</v>
      </c>
      <c r="BL265" s="180" t="n">
        <f aca="false">BK265/$D265</f>
        <v>400395.089945992</v>
      </c>
      <c r="BN265" s="180" t="n">
        <f aca="false">BU264</f>
        <v>842726.169311496</v>
      </c>
      <c r="BO265" s="180" t="n">
        <f aca="false">IF($F$9=0,0,IF($A265&gt;IN_PRAZO,0,IF(APORTE_CORRIGIDO="Sim",IN_APORTE*$D265,IN_APORTE))+IF(AND($F$35=1,PGBL_REINVESTE="Sim",$A265&gt;=13,$A265&lt;=IN_PRAZO,MONTH($B265)=5),PGBL_BENEFICIO,0))</f>
        <v>0</v>
      </c>
      <c r="BP265" s="180" t="n">
        <f aca="false">BO265*$F$24</f>
        <v>0</v>
      </c>
      <c r="BQ265" s="180" t="n">
        <f aca="false">BN265*$F$19</f>
        <v>8249.23187136458</v>
      </c>
      <c r="BR265" s="180" t="n">
        <f aca="false">BN265*$F$22</f>
        <v>1053.40771163937</v>
      </c>
      <c r="BS265" s="180" t="n">
        <f aca="false">$F$23*MAX(0,BQ265-BN265*$F$18)</f>
        <v>0</v>
      </c>
      <c r="BT265" s="180" t="n">
        <f aca="false">IF(AND($F$27=1,OR(MONTH($B265)=5,MONTH($B265)=11)),MAX(0,$F$28*MAX(0,(BN265+BQ265-BR265-BS265+BO265-BP265)+BW264-BV265)-BW264),0)</f>
        <v>0</v>
      </c>
      <c r="BU265" s="181" t="n">
        <f aca="false">BN265+BQ265-BR265-BS265+BO265-BP265-BT265</f>
        <v>849921.993471221</v>
      </c>
      <c r="BV265" s="180" t="n">
        <f aca="false">BV264+BO265-BP265</f>
        <v>150000</v>
      </c>
      <c r="BW265" s="180" t="n">
        <f aca="false">BW264+BT265</f>
        <v>0</v>
      </c>
      <c r="BX265" s="180" t="n">
        <f aca="false">BU265+BW265-BV265</f>
        <v>699921.993471221</v>
      </c>
      <c r="BY265" s="180" t="n">
        <f aca="false">MAX(0,IFERROR(INDEX(TAB_IR,MATCH($C265,TAB_IR_DIAS,1),MATCH($F$8,TAB_IR_REGIMES,0)),0)*IF($F$26=2,BU265,MAX(0,BX265))-BW265)</f>
        <v>84992.1993471221</v>
      </c>
      <c r="BZ265" s="181" t="n">
        <f aca="false">MAX(0,BU265-BY265-BU265*$F$25)</f>
        <v>764929.794124099</v>
      </c>
      <c r="CA265" s="180" t="n">
        <f aca="false">BZ265/$D265</f>
        <v>392694.491258215</v>
      </c>
      <c r="CC265" s="180" t="n">
        <f aca="false">CJ264</f>
        <v>531646.580705969</v>
      </c>
      <c r="CD265" s="180" t="n">
        <f aca="false">IF($G$9=0,0,IF($A265&gt;IN_PRAZO,0,IF(APORTE_CORRIGIDO="Sim",IN_APORTE*$D265,IN_APORTE))+IF(AND($G$35=1,PGBL_REINVESTE="Sim",$A265&gt;=13,$A265&lt;=IN_PRAZO,MONTH($B265)=5),PGBL_BENEFICIO,0))</f>
        <v>0</v>
      </c>
      <c r="CE265" s="180" t="n">
        <f aca="false">CD265*$G$24</f>
        <v>0</v>
      </c>
      <c r="CF265" s="180" t="n">
        <f aca="false">CC265*$G$19</f>
        <v>4336.76101400498</v>
      </c>
      <c r="CG265" s="180" t="n">
        <f aca="false">CC265*$G$22</f>
        <v>443.038817254975</v>
      </c>
      <c r="CH265" s="180" t="n">
        <f aca="false">$G$23*MAX(0,CF265-CC265*$G$18)</f>
        <v>0</v>
      </c>
      <c r="CI265" s="180" t="n">
        <f aca="false">IF(AND($G$27=1,OR(MONTH($B265)=5,MONTH($B265)=11)),MAX(0,$G$28*MAX(0,(CC265+CF265-CG265-CH265+CD265-CE265)+CL264-CK265)-CL264),0)</f>
        <v>0</v>
      </c>
      <c r="CJ265" s="181" t="n">
        <f aca="false">CC265+CF265-CG265-CH265+CD265-CE265-CI265</f>
        <v>535540.302902719</v>
      </c>
      <c r="CK265" s="180" t="n">
        <f aca="false">CK264+CD265-CE265</f>
        <v>150000</v>
      </c>
      <c r="CL265" s="180" t="n">
        <f aca="false">CL264+CI265</f>
        <v>65990.0929535702</v>
      </c>
      <c r="CM265" s="180" t="n">
        <f aca="false">CJ265+CL265-CK265</f>
        <v>451530.39585629</v>
      </c>
      <c r="CN265" s="180" t="n">
        <f aca="false">MAX(0,IFERROR(INDEX(TAB_IR,MATCH($C265,TAB_IR_DIAS,1),MATCH($G$8,TAB_IR_REGIMES,0)),0)*IF($G$26=2,CJ265,MAX(0,CM265))-CL265)</f>
        <v>1739.46642487323</v>
      </c>
      <c r="CO265" s="181" t="n">
        <f aca="false">MAX(0,CJ265-CN265-CJ265*$G$25)</f>
        <v>533800.836477846</v>
      </c>
      <c r="CP265" s="180" t="n">
        <f aca="false">CO265/$D265</f>
        <v>274039.068061022</v>
      </c>
    </row>
    <row r="266" customFormat="false" ht="12" hidden="false" customHeight="true" outlineLevel="0" collapsed="false">
      <c r="A266" s="177" t="n">
        <v>205</v>
      </c>
      <c r="B266" s="178" t="n">
        <f aca="false">EDATE(DATA_INICIO,$A266)</f>
        <v>52497</v>
      </c>
      <c r="C266" s="177" t="n">
        <f aca="false">$A266*30</f>
        <v>6150</v>
      </c>
      <c r="D266" s="179" t="n">
        <f aca="false">(1+IPCA_CENARIO)^($A266/12)</f>
        <v>1.95427741490035</v>
      </c>
      <c r="F266" s="180" t="n">
        <f aca="false">M265</f>
        <v>995793.344047116</v>
      </c>
      <c r="G266" s="180" t="n">
        <f aca="false">IF($B$9=0,0,IF($A266&gt;IN_PRAZO,0,IF(APORTE_CORRIGIDO="Sim",IN_APORTE*$D266,IN_APORTE))+IF(AND($B$35=1,PGBL_REINVESTE="Sim",$A266&gt;=13,$A266&lt;=IN_PRAZO,MONTH($B266)=5),PGBL_BENEFICIO,0))</f>
        <v>0</v>
      </c>
      <c r="H266" s="180" t="n">
        <f aca="false">G266*$B$24</f>
        <v>0</v>
      </c>
      <c r="I266" s="180" t="n">
        <f aca="false">F266*$B$19</f>
        <v>9448.87684729909</v>
      </c>
      <c r="J266" s="180" t="n">
        <f aca="false">F266*$B$22</f>
        <v>165.965557341186</v>
      </c>
      <c r="K266" s="180" t="n">
        <f aca="false">$B$23*MAX(0,I266-F266*$B$18)</f>
        <v>0</v>
      </c>
      <c r="L266" s="180" t="n">
        <f aca="false">IF(AND($B$27=1,OR(MONTH($B266)=5,MONTH($B266)=11)),MAX(0,$B$28*MAX(0,(F266+I266-J266-K266+G266-H266)+O265-N266)-O265),0)</f>
        <v>0</v>
      </c>
      <c r="M266" s="181" t="n">
        <f aca="false">F266+I266-J266-K266+G266-H266-L266</f>
        <v>1005076.25533707</v>
      </c>
      <c r="N266" s="180" t="n">
        <f aca="false">N265+G266-H266</f>
        <v>150000</v>
      </c>
      <c r="O266" s="180" t="n">
        <f aca="false">O265+L266</f>
        <v>0</v>
      </c>
      <c r="P266" s="180" t="n">
        <f aca="false">M266+O266-N266</f>
        <v>855076.255337074</v>
      </c>
      <c r="Q266" s="180" t="n">
        <f aca="false">MAX(0,IFERROR(INDEX(TAB_IR,MATCH($C266,TAB_IR_DIAS,1),MATCH($B$8,TAB_IR_REGIMES,0)),0)*IF($B$26=2,M266,MAX(0,P266))-O266)</f>
        <v>128261.438300561</v>
      </c>
      <c r="R266" s="181" t="n">
        <f aca="false">MAX(0,M266-Q266-M266*$B$25)</f>
        <v>876814.817036512</v>
      </c>
      <c r="S266" s="180" t="n">
        <f aca="false">R266/$D266</f>
        <v>448664.457948117</v>
      </c>
      <c r="U266" s="180" t="n">
        <f aca="false">AB265</f>
        <v>760693.99614552</v>
      </c>
      <c r="V266" s="180" t="n">
        <f aca="false">IF($C$9=0,0,IF($A266&gt;IN_PRAZO,0,IF(APORTE_CORRIGIDO="Sim",IN_APORTE*$D266,IN_APORTE))+IF(AND($C$35=1,PGBL_REINVESTE="Sim",$A266&gt;=13,$A266&lt;=IN_PRAZO,MONTH($B266)=5),PGBL_BENEFICIO,0))</f>
        <v>0</v>
      </c>
      <c r="W266" s="180" t="n">
        <f aca="false">V266*$C$24</f>
        <v>0</v>
      </c>
      <c r="X266" s="180" t="n">
        <f aca="false">U266*$C$19</f>
        <v>6205.15241853131</v>
      </c>
      <c r="Y266" s="180" t="n">
        <f aca="false">U266*$C$22</f>
        <v>126.78233269092</v>
      </c>
      <c r="Z266" s="180" t="n">
        <f aca="false">$C$23*MAX(0,X266-U266*$C$18)</f>
        <v>0</v>
      </c>
      <c r="AA266" s="180" t="n">
        <f aca="false">IF(AND($C$27=1,OR(MONTH($B266)=5,MONTH($B266)=11)),MAX(0,$C$28*MAX(0,(U266+X266-Y266-Z266+V266-W266)+AD265-AC266)-AD265),0)</f>
        <v>0</v>
      </c>
      <c r="AB266" s="181" t="n">
        <f aca="false">U266+X266-Y266-Z266+V266-W266-AA266</f>
        <v>766772.366231361</v>
      </c>
      <c r="AC266" s="180" t="n">
        <f aca="false">AC265+V266-W266</f>
        <v>150000</v>
      </c>
      <c r="AD266" s="180" t="n">
        <f aca="false">AD265+AA266</f>
        <v>0</v>
      </c>
      <c r="AE266" s="180" t="n">
        <f aca="false">AB266+AD266-AC266</f>
        <v>616772.366231361</v>
      </c>
      <c r="AF266" s="180" t="n">
        <f aca="false">MAX(0,IFERROR(INDEX(TAB_IR,MATCH($C266,TAB_IR_DIAS,1),MATCH($C$8,TAB_IR_REGIMES,0)),0)*IF($C$26=2,AB266,MAX(0,AE266))-AD266)</f>
        <v>92515.8549347041</v>
      </c>
      <c r="AG266" s="181" t="n">
        <f aca="false">MAX(0,AB266-AF266-AB266*$C$25)</f>
        <v>674256.511296656</v>
      </c>
      <c r="AH266" s="180" t="n">
        <f aca="false">AG266/$D266</f>
        <v>345015.761915786</v>
      </c>
      <c r="AJ266" s="180" t="n">
        <f aca="false">AQ265</f>
        <v>618732.205370493</v>
      </c>
      <c r="AK266" s="180" t="n">
        <f aca="false">IF($D$9=0,0,IF($A266&gt;IN_PRAZO,0,IF(APORTE_CORRIGIDO="Sim",IN_APORTE*$D266,IN_APORTE))+IF(AND($D$35=1,PGBL_REINVESTE="Sim",$A266&gt;=13,$A266&lt;=IN_PRAZO,MONTH($B266)=5),PGBL_BENEFICIO,0))</f>
        <v>0</v>
      </c>
      <c r="AL266" s="180" t="n">
        <f aca="false">AK266*$D$24</f>
        <v>0</v>
      </c>
      <c r="AM266" s="180" t="n">
        <f aca="false">AJ266*$D$19</f>
        <v>5561.59634887289</v>
      </c>
      <c r="AN266" s="180" t="n">
        <f aca="false">AJ266*$D$22</f>
        <v>515.610171142077</v>
      </c>
      <c r="AO266" s="180" t="n">
        <f aca="false">$D$23*MAX(0,AM266-AJ266*$D$18)</f>
        <v>0</v>
      </c>
      <c r="AP266" s="180" t="n">
        <f aca="false">IF(AND($D$27=1,OR(MONTH($B266)=5,MONTH($B266)=11)),MAX(0,$D$28*MAX(0,(AJ266+AM266-AN266-AO266+AK266-AL266)+AS265-AR266)-AS265),0)</f>
        <v>0</v>
      </c>
      <c r="AQ266" s="181" t="n">
        <f aca="false">AJ266+AM266-AN266-AO266+AK266-AL266-AP266</f>
        <v>623778.191548224</v>
      </c>
      <c r="AR266" s="180" t="n">
        <f aca="false">AR265+AK266-AL266</f>
        <v>150000</v>
      </c>
      <c r="AS266" s="180" t="n">
        <f aca="false">AS265+AP266</f>
        <v>80089.031022526</v>
      </c>
      <c r="AT266" s="180" t="n">
        <f aca="false">AQ266+AS266-AR266</f>
        <v>553867.22257075</v>
      </c>
      <c r="AU266" s="180" t="n">
        <f aca="false">MAX(0,IFERROR(INDEX(TAB_IR,MATCH($C266,TAB_IR_DIAS,1),MATCH($D$8,TAB_IR_REGIMES,0)),0)*IF($D$26=2,AQ266,MAX(0,AT266))-AS266)</f>
        <v>2991.05236308645</v>
      </c>
      <c r="AV266" s="181" t="n">
        <f aca="false">MAX(0,AQ266-AU266-AQ266*$D$25)</f>
        <v>620787.139185137</v>
      </c>
      <c r="AW266" s="180" t="n">
        <f aca="false">AV266/$D266</f>
        <v>317655.586894654</v>
      </c>
      <c r="AY266" s="180" t="n">
        <f aca="false">BF265</f>
        <v>849921.993471221</v>
      </c>
      <c r="AZ266" s="180" t="n">
        <f aca="false">IF($E$9=0,0,IF($A266&gt;IN_PRAZO,0,IF(APORTE_CORRIGIDO="Sim",IN_APORTE*$D266,IN_APORTE))+IF(AND($E$35=1,PGBL_REINVESTE="Sim",$A266&gt;=13,$A266&lt;=IN_PRAZO,MONTH($B266)=5),PGBL_BENEFICIO,0))</f>
        <v>0</v>
      </c>
      <c r="BA266" s="180" t="n">
        <f aca="false">AZ266*$E$24</f>
        <v>0</v>
      </c>
      <c r="BB266" s="180" t="n">
        <f aca="false">AY266*$E$19</f>
        <v>8319.66996164916</v>
      </c>
      <c r="BC266" s="180" t="n">
        <f aca="false">AY266*$E$22</f>
        <v>1062.40249183903</v>
      </c>
      <c r="BD266" s="180" t="n">
        <f aca="false">$E$23*MAX(0,BB266-AY266*$E$18)</f>
        <v>0</v>
      </c>
      <c r="BE266" s="180" t="n">
        <f aca="false">IF(AND($E$27=1,OR(MONTH($B266)=5,MONTH($B266)=11)),MAX(0,$E$28*MAX(0,(AY266+BB266-BC266-BD266+AZ266-BA266)+BH265-BG266)-BH265),0)</f>
        <v>0</v>
      </c>
      <c r="BF266" s="181" t="n">
        <f aca="false">AY266+BB266-BC266-BD266+AZ266-BA266-BE266</f>
        <v>857179.260941031</v>
      </c>
      <c r="BG266" s="180" t="n">
        <f aca="false">BG265+AZ266-BA266</f>
        <v>150000</v>
      </c>
      <c r="BH266" s="180" t="n">
        <f aca="false">BH265+BE266</f>
        <v>0</v>
      </c>
      <c r="BI266" s="180" t="n">
        <f aca="false">BF266+BH266-BG266</f>
        <v>707179.260941031</v>
      </c>
      <c r="BJ266" s="180" t="n">
        <f aca="false">MAX(0,IFERROR(INDEX(TAB_IR,MATCH($C266,TAB_IR_DIAS,1),MATCH($E$8,TAB_IR_REGIMES,0)),0)*IF($E$26=2,BF266,MAX(0,BI266))-BH266)</f>
        <v>70717.9260941031</v>
      </c>
      <c r="BK266" s="181" t="n">
        <f aca="false">MAX(0,BF266-BJ266-BF266*$E$25)</f>
        <v>786461.334846928</v>
      </c>
      <c r="BL266" s="180" t="n">
        <f aca="false">BK266/$D266</f>
        <v>402430.75463625</v>
      </c>
      <c r="BN266" s="180" t="n">
        <f aca="false">BU265</f>
        <v>849921.993471221</v>
      </c>
      <c r="BO266" s="180" t="n">
        <f aca="false">IF($F$9=0,0,IF($A266&gt;IN_PRAZO,0,IF(APORTE_CORRIGIDO="Sim",IN_APORTE*$D266,IN_APORTE))+IF(AND($F$35=1,PGBL_REINVESTE="Sim",$A266&gt;=13,$A266&lt;=IN_PRAZO,MONTH($B266)=5),PGBL_BENEFICIO,0))</f>
        <v>0</v>
      </c>
      <c r="BP266" s="180" t="n">
        <f aca="false">BO266*$F$24</f>
        <v>0</v>
      </c>
      <c r="BQ266" s="180" t="n">
        <f aca="false">BN266*$F$19</f>
        <v>8319.66996164916</v>
      </c>
      <c r="BR266" s="180" t="n">
        <f aca="false">BN266*$F$22</f>
        <v>1062.40249183903</v>
      </c>
      <c r="BS266" s="180" t="n">
        <f aca="false">$F$23*MAX(0,BQ266-BN266*$F$18)</f>
        <v>0</v>
      </c>
      <c r="BT266" s="180" t="n">
        <f aca="false">IF(AND($F$27=1,OR(MONTH($B266)=5,MONTH($B266)=11)),MAX(0,$F$28*MAX(0,(BN266+BQ266-BR266-BS266+BO266-BP266)+BW265-BV266)-BW265),0)</f>
        <v>0</v>
      </c>
      <c r="BU266" s="181" t="n">
        <f aca="false">BN266+BQ266-BR266-BS266+BO266-BP266-BT266</f>
        <v>857179.260941031</v>
      </c>
      <c r="BV266" s="180" t="n">
        <f aca="false">BV265+BO266-BP266</f>
        <v>150000</v>
      </c>
      <c r="BW266" s="180" t="n">
        <f aca="false">BW265+BT266</f>
        <v>0</v>
      </c>
      <c r="BX266" s="180" t="n">
        <f aca="false">BU266+BW266-BV266</f>
        <v>707179.260941031</v>
      </c>
      <c r="BY266" s="180" t="n">
        <f aca="false">MAX(0,IFERROR(INDEX(TAB_IR,MATCH($C266,TAB_IR_DIAS,1),MATCH($F$8,TAB_IR_REGIMES,0)),0)*IF($F$26=2,BU266,MAX(0,BX266))-BW266)</f>
        <v>85717.9260941031</v>
      </c>
      <c r="BZ266" s="181" t="n">
        <f aca="false">MAX(0,BU266-BY266-BU266*$F$25)</f>
        <v>771461.334846928</v>
      </c>
      <c r="CA266" s="180" t="n">
        <f aca="false">BZ266/$D266</f>
        <v>394755.283443864</v>
      </c>
      <c r="CC266" s="180" t="n">
        <f aca="false">CJ265</f>
        <v>535540.302902719</v>
      </c>
      <c r="CD266" s="180" t="n">
        <f aca="false">IF($G$9=0,0,IF($A266&gt;IN_PRAZO,0,IF(APORTE_CORRIGIDO="Sim",IN_APORTE*$D266,IN_APORTE))+IF(AND($G$35=1,PGBL_REINVESTE="Sim",$A266&gt;=13,$A266&lt;=IN_PRAZO,MONTH($B266)=5),PGBL_BENEFICIO,0))</f>
        <v>0</v>
      </c>
      <c r="CE266" s="180" t="n">
        <f aca="false">CD266*$G$24</f>
        <v>0</v>
      </c>
      <c r="CF266" s="180" t="n">
        <f aca="false">CC266*$G$19</f>
        <v>4368.52298377033</v>
      </c>
      <c r="CG266" s="180" t="n">
        <f aca="false">CC266*$G$22</f>
        <v>446.283585752266</v>
      </c>
      <c r="CH266" s="180" t="n">
        <f aca="false">$G$23*MAX(0,CF266-CC266*$G$18)</f>
        <v>0</v>
      </c>
      <c r="CI266" s="180" t="n">
        <f aca="false">IF(AND($G$27=1,OR(MONTH($B266)=5,MONTH($B266)=11)),MAX(0,$G$28*MAX(0,(CC266+CF266-CG266-CH266+CD266-CE266)+CL265-CK266)-CL265),0)</f>
        <v>0</v>
      </c>
      <c r="CJ266" s="181" t="n">
        <f aca="false">CC266+CF266-CG266-CH266+CD266-CE266-CI266</f>
        <v>539462.542300738</v>
      </c>
      <c r="CK266" s="180" t="n">
        <f aca="false">CK265+CD266-CE266</f>
        <v>150000</v>
      </c>
      <c r="CL266" s="180" t="n">
        <f aca="false">CL265+CI266</f>
        <v>65990.0929535702</v>
      </c>
      <c r="CM266" s="180" t="n">
        <f aca="false">CJ266+CL266-CK266</f>
        <v>455452.635254308</v>
      </c>
      <c r="CN266" s="180" t="n">
        <f aca="false">MAX(0,IFERROR(INDEX(TAB_IR,MATCH($C266,TAB_IR_DIAS,1),MATCH($G$8,TAB_IR_REGIMES,0)),0)*IF($G$26=2,CJ266,MAX(0,CM266))-CL266)</f>
        <v>2327.80233457594</v>
      </c>
      <c r="CO266" s="181" t="n">
        <f aca="false">MAX(0,CJ266-CN266-CJ266*$G$25)</f>
        <v>537134.739966162</v>
      </c>
      <c r="CP266" s="180" t="n">
        <f aca="false">CO266/$D266</f>
        <v>274850.814869367</v>
      </c>
    </row>
    <row r="267" customFormat="false" ht="12" hidden="false" customHeight="true" outlineLevel="0" collapsed="false">
      <c r="A267" s="177" t="n">
        <v>206</v>
      </c>
      <c r="B267" s="178" t="n">
        <f aca="false">EDATE(DATA_INICIO,$A267)</f>
        <v>52527</v>
      </c>
      <c r="C267" s="177" t="n">
        <f aca="false">$A267*30</f>
        <v>6180</v>
      </c>
      <c r="D267" s="179" t="n">
        <f aca="false">(1+IPCA_CENARIO)^($A267/12)</f>
        <v>1.96067521061896</v>
      </c>
      <c r="F267" s="180" t="n">
        <f aca="false">M266</f>
        <v>1005076.25533707</v>
      </c>
      <c r="G267" s="180" t="n">
        <f aca="false">IF($B$9=0,0,IF($A267&gt;IN_PRAZO,0,IF(APORTE_CORRIGIDO="Sim",IN_APORTE*$D267,IN_APORTE))+IF(AND($B$35=1,PGBL_REINVESTE="Sim",$A267&gt;=13,$A267&lt;=IN_PRAZO,MONTH($B267)=5),PGBL_BENEFICIO,0))</f>
        <v>0</v>
      </c>
      <c r="H267" s="180" t="n">
        <f aca="false">G267*$B$24</f>
        <v>0</v>
      </c>
      <c r="I267" s="180" t="n">
        <f aca="false">F267*$B$19</f>
        <v>9536.96047035961</v>
      </c>
      <c r="J267" s="180" t="n">
        <f aca="false">F267*$B$22</f>
        <v>167.512709222846</v>
      </c>
      <c r="K267" s="180" t="n">
        <f aca="false">$B$23*MAX(0,I267-F267*$B$18)</f>
        <v>0</v>
      </c>
      <c r="L267" s="180" t="n">
        <f aca="false">IF(AND($B$27=1,OR(MONTH($B267)=5,MONTH($B267)=11)),MAX(0,$B$28*MAX(0,(F267+I267-J267-K267+G267-H267)+O266-N267)-O266),0)</f>
        <v>0</v>
      </c>
      <c r="M267" s="181" t="n">
        <f aca="false">F267+I267-J267-K267+G267-H267-L267</f>
        <v>1014445.70309821</v>
      </c>
      <c r="N267" s="180" t="n">
        <f aca="false">N266+G267-H267</f>
        <v>150000</v>
      </c>
      <c r="O267" s="180" t="n">
        <f aca="false">O266+L267</f>
        <v>0</v>
      </c>
      <c r="P267" s="180" t="n">
        <f aca="false">M267+O267-N267</f>
        <v>864445.70309821</v>
      </c>
      <c r="Q267" s="180" t="n">
        <f aca="false">MAX(0,IFERROR(INDEX(TAB_IR,MATCH($C267,TAB_IR_DIAS,1),MATCH($B$8,TAB_IR_REGIMES,0)),0)*IF($B$26=2,M267,MAX(0,P267))-O267)</f>
        <v>129666.855464732</v>
      </c>
      <c r="R267" s="181" t="n">
        <f aca="false">MAX(0,M267-Q267-M267*$B$25)</f>
        <v>884778.847633479</v>
      </c>
      <c r="S267" s="180" t="n">
        <f aca="false">R267/$D267</f>
        <v>451262.321694864</v>
      </c>
      <c r="U267" s="180" t="n">
        <f aca="false">AB266</f>
        <v>766772.366231361</v>
      </c>
      <c r="V267" s="180" t="n">
        <f aca="false">IF($C$9=0,0,IF($A267&gt;IN_PRAZO,0,IF(APORTE_CORRIGIDO="Sim",IN_APORTE*$D267,IN_APORTE))+IF(AND($C$35=1,PGBL_REINVESTE="Sim",$A267&gt;=13,$A267&lt;=IN_PRAZO,MONTH($B267)=5),PGBL_BENEFICIO,0))</f>
        <v>0</v>
      </c>
      <c r="W267" s="180" t="n">
        <f aca="false">V267*$C$24</f>
        <v>0</v>
      </c>
      <c r="X267" s="180" t="n">
        <f aca="false">U267*$C$19</f>
        <v>6254.7350536382</v>
      </c>
      <c r="Y267" s="180" t="n">
        <f aca="false">U267*$C$22</f>
        <v>127.795394371893</v>
      </c>
      <c r="Z267" s="180" t="n">
        <f aca="false">$C$23*MAX(0,X267-U267*$C$18)</f>
        <v>0</v>
      </c>
      <c r="AA267" s="180" t="n">
        <f aca="false">IF(AND($C$27=1,OR(MONTH($B267)=5,MONTH($B267)=11)),MAX(0,$C$28*MAX(0,(U267+X267-Y267-Z267+V267-W267)+AD266-AC267)-AD266),0)</f>
        <v>0</v>
      </c>
      <c r="AB267" s="181" t="n">
        <f aca="false">U267+X267-Y267-Z267+V267-W267-AA267</f>
        <v>772899.305890627</v>
      </c>
      <c r="AC267" s="180" t="n">
        <f aca="false">AC266+V267-W267</f>
        <v>150000</v>
      </c>
      <c r="AD267" s="180" t="n">
        <f aca="false">AD266+AA267</f>
        <v>0</v>
      </c>
      <c r="AE267" s="180" t="n">
        <f aca="false">AB267+AD267-AC267</f>
        <v>622899.305890627</v>
      </c>
      <c r="AF267" s="180" t="n">
        <f aca="false">MAX(0,IFERROR(INDEX(TAB_IR,MATCH($C267,TAB_IR_DIAS,1),MATCH($C$8,TAB_IR_REGIMES,0)),0)*IF($C$26=2,AB267,MAX(0,AE267))-AD267)</f>
        <v>93434.895883594</v>
      </c>
      <c r="AG267" s="181" t="n">
        <f aca="false">MAX(0,AB267-AF267-AB267*$C$25)</f>
        <v>679464.410007033</v>
      </c>
      <c r="AH267" s="180" t="n">
        <f aca="false">AG267/$D267</f>
        <v>346546.131825951</v>
      </c>
      <c r="AJ267" s="180" t="n">
        <f aca="false">AQ266</f>
        <v>623778.191548224</v>
      </c>
      <c r="AK267" s="180" t="n">
        <f aca="false">IF($D$9=0,0,IF($A267&gt;IN_PRAZO,0,IF(APORTE_CORRIGIDO="Sim",IN_APORTE*$D267,IN_APORTE))+IF(AND($D$35=1,PGBL_REINVESTE="Sim",$A267&gt;=13,$A267&lt;=IN_PRAZO,MONTH($B267)=5),PGBL_BENEFICIO,0))</f>
        <v>0</v>
      </c>
      <c r="AL267" s="180" t="n">
        <f aca="false">AK267*$D$24</f>
        <v>0</v>
      </c>
      <c r="AM267" s="180" t="n">
        <f aca="false">AJ267*$D$19</f>
        <v>5606.95318994071</v>
      </c>
      <c r="AN267" s="180" t="n">
        <f aca="false">AJ267*$D$22</f>
        <v>519.81515962352</v>
      </c>
      <c r="AO267" s="180" t="n">
        <f aca="false">$D$23*MAX(0,AM267-AJ267*$D$18)</f>
        <v>0</v>
      </c>
      <c r="AP267" s="180" t="n">
        <f aca="false">IF(AND($D$27=1,OR(MONTH($B267)=5,MONTH($B267)=11)),MAX(0,$D$28*MAX(0,(AJ267+AM267-AN267-AO267+AK267-AL267)+AS266-AR267)-AS266),0)</f>
        <v>0</v>
      </c>
      <c r="AQ267" s="181" t="n">
        <f aca="false">AJ267+AM267-AN267-AO267+AK267-AL267-AP267</f>
        <v>628865.329578541</v>
      </c>
      <c r="AR267" s="180" t="n">
        <f aca="false">AR266+AK267-AL267</f>
        <v>150000</v>
      </c>
      <c r="AS267" s="180" t="n">
        <f aca="false">AS266+AP267</f>
        <v>80089.031022526</v>
      </c>
      <c r="AT267" s="180" t="n">
        <f aca="false">AQ267+AS267-AR267</f>
        <v>558954.360601067</v>
      </c>
      <c r="AU267" s="180" t="n">
        <f aca="false">MAX(0,IFERROR(INDEX(TAB_IR,MATCH($C267,TAB_IR_DIAS,1),MATCH($D$8,TAB_IR_REGIMES,0)),0)*IF($D$26=2,AQ267,MAX(0,AT267))-AS267)</f>
        <v>3754.12306763402</v>
      </c>
      <c r="AV267" s="181" t="n">
        <f aca="false">MAX(0,AQ267-AU267-AQ267*$D$25)</f>
        <v>625111.206510907</v>
      </c>
      <c r="AW267" s="180" t="n">
        <f aca="false">AV267/$D267</f>
        <v>318824.455537216</v>
      </c>
      <c r="AY267" s="180" t="n">
        <f aca="false">BF266</f>
        <v>857179.260941031</v>
      </c>
      <c r="AZ267" s="180" t="n">
        <f aca="false">IF($E$9=0,0,IF($A267&gt;IN_PRAZO,0,IF(APORTE_CORRIGIDO="Sim",IN_APORTE*$D267,IN_APORTE))+IF(AND($E$35=1,PGBL_REINVESTE="Sim",$A267&gt;=13,$A267&lt;=IN_PRAZO,MONTH($B267)=5),PGBL_BENEFICIO,0))</f>
        <v>0</v>
      </c>
      <c r="BA267" s="180" t="n">
        <f aca="false">AZ267*$E$24</f>
        <v>0</v>
      </c>
      <c r="BB267" s="180" t="n">
        <f aca="false">AY267*$E$19</f>
        <v>8390.70950484963</v>
      </c>
      <c r="BC267" s="180" t="n">
        <f aca="false">AY267*$E$22</f>
        <v>1071.47407617629</v>
      </c>
      <c r="BD267" s="180" t="n">
        <f aca="false">$E$23*MAX(0,BB267-AY267*$E$18)</f>
        <v>0</v>
      </c>
      <c r="BE267" s="180" t="n">
        <f aca="false">IF(AND($E$27=1,OR(MONTH($B267)=5,MONTH($B267)=11)),MAX(0,$E$28*MAX(0,(AY267+BB267-BC267-BD267+AZ267-BA267)+BH266-BG267)-BH266),0)</f>
        <v>0</v>
      </c>
      <c r="BF267" s="181" t="n">
        <f aca="false">AY267+BB267-BC267-BD267+AZ267-BA267-BE267</f>
        <v>864498.496369705</v>
      </c>
      <c r="BG267" s="180" t="n">
        <f aca="false">BG266+AZ267-BA267</f>
        <v>150000</v>
      </c>
      <c r="BH267" s="180" t="n">
        <f aca="false">BH266+BE267</f>
        <v>0</v>
      </c>
      <c r="BI267" s="180" t="n">
        <f aca="false">BF267+BH267-BG267</f>
        <v>714498.496369705</v>
      </c>
      <c r="BJ267" s="180" t="n">
        <f aca="false">MAX(0,IFERROR(INDEX(TAB_IR,MATCH($C267,TAB_IR_DIAS,1),MATCH($E$8,TAB_IR_REGIMES,0)),0)*IF($E$26=2,BF267,MAX(0,BI267))-BH267)</f>
        <v>71449.8496369705</v>
      </c>
      <c r="BK267" s="181" t="n">
        <f aca="false">MAX(0,BF267-BJ267-BF267*$E$25)</f>
        <v>793048.646732734</v>
      </c>
      <c r="BL267" s="180" t="n">
        <f aca="false">BK267/$D267</f>
        <v>404477.315996859</v>
      </c>
      <c r="BN267" s="180" t="n">
        <f aca="false">BU266</f>
        <v>857179.260941031</v>
      </c>
      <c r="BO267" s="180" t="n">
        <f aca="false">IF($F$9=0,0,IF($A267&gt;IN_PRAZO,0,IF(APORTE_CORRIGIDO="Sim",IN_APORTE*$D267,IN_APORTE))+IF(AND($F$35=1,PGBL_REINVESTE="Sim",$A267&gt;=13,$A267&lt;=IN_PRAZO,MONTH($B267)=5),PGBL_BENEFICIO,0))</f>
        <v>0</v>
      </c>
      <c r="BP267" s="180" t="n">
        <f aca="false">BO267*$F$24</f>
        <v>0</v>
      </c>
      <c r="BQ267" s="180" t="n">
        <f aca="false">BN267*$F$19</f>
        <v>8390.70950484963</v>
      </c>
      <c r="BR267" s="180" t="n">
        <f aca="false">BN267*$F$22</f>
        <v>1071.47407617629</v>
      </c>
      <c r="BS267" s="180" t="n">
        <f aca="false">$F$23*MAX(0,BQ267-BN267*$F$18)</f>
        <v>0</v>
      </c>
      <c r="BT267" s="180" t="n">
        <f aca="false">IF(AND($F$27=1,OR(MONTH($B267)=5,MONTH($B267)=11)),MAX(0,$F$28*MAX(0,(BN267+BQ267-BR267-BS267+BO267-BP267)+BW266-BV267)-BW266),0)</f>
        <v>0</v>
      </c>
      <c r="BU267" s="181" t="n">
        <f aca="false">BN267+BQ267-BR267-BS267+BO267-BP267-BT267</f>
        <v>864498.496369705</v>
      </c>
      <c r="BV267" s="180" t="n">
        <f aca="false">BV266+BO267-BP267</f>
        <v>150000</v>
      </c>
      <c r="BW267" s="180" t="n">
        <f aca="false">BW266+BT267</f>
        <v>0</v>
      </c>
      <c r="BX267" s="180" t="n">
        <f aca="false">BU267+BW267-BV267</f>
        <v>714498.496369705</v>
      </c>
      <c r="BY267" s="180" t="n">
        <f aca="false">MAX(0,IFERROR(INDEX(TAB_IR,MATCH($C267,TAB_IR_DIAS,1),MATCH($F$8,TAB_IR_REGIMES,0)),0)*IF($F$26=2,BU267,MAX(0,BX267))-BW267)</f>
        <v>86449.8496369705</v>
      </c>
      <c r="BZ267" s="181" t="n">
        <f aca="false">MAX(0,BU267-BY267-BU267*$F$25)</f>
        <v>778048.646732734</v>
      </c>
      <c r="CA267" s="180" t="n">
        <f aca="false">BZ267/$D267</f>
        <v>396826.890307403</v>
      </c>
      <c r="CC267" s="180" t="n">
        <f aca="false">CJ266</f>
        <v>539462.542300738</v>
      </c>
      <c r="CD267" s="180" t="n">
        <f aca="false">IF($G$9=0,0,IF($A267&gt;IN_PRAZO,0,IF(APORTE_CORRIGIDO="Sim",IN_APORTE*$D267,IN_APORTE))+IF(AND($G$35=1,PGBL_REINVESTE="Sim",$A267&gt;=13,$A267&lt;=IN_PRAZO,MONTH($B267)=5),PGBL_BENEFICIO,0))</f>
        <v>0</v>
      </c>
      <c r="CE267" s="180" t="n">
        <f aca="false">CD267*$G$24</f>
        <v>0</v>
      </c>
      <c r="CF267" s="180" t="n">
        <f aca="false">CC267*$G$19</f>
        <v>4400.51757477537</v>
      </c>
      <c r="CG267" s="180" t="n">
        <f aca="false">CC267*$G$22</f>
        <v>449.552118583948</v>
      </c>
      <c r="CH267" s="180" t="n">
        <f aca="false">$G$23*MAX(0,CF267-CC267*$G$18)</f>
        <v>0</v>
      </c>
      <c r="CI267" s="180" t="n">
        <f aca="false">IF(AND($G$27=1,OR(MONTH($B267)=5,MONTH($B267)=11)),MAX(0,$G$28*MAX(0,(CC267+CF267-CG267-CH267+CD267-CE267)+CL266-CK267)-CL266),0)</f>
        <v>0</v>
      </c>
      <c r="CJ267" s="181" t="n">
        <f aca="false">CC267+CF267-CG267-CH267+CD267-CE267-CI267</f>
        <v>543413.507756929</v>
      </c>
      <c r="CK267" s="180" t="n">
        <f aca="false">CK266+CD267-CE267</f>
        <v>150000</v>
      </c>
      <c r="CL267" s="180" t="n">
        <f aca="false">CL266+CI267</f>
        <v>65990.0929535702</v>
      </c>
      <c r="CM267" s="180" t="n">
        <f aca="false">CJ267+CL267-CK267</f>
        <v>459403.600710499</v>
      </c>
      <c r="CN267" s="180" t="n">
        <f aca="false">MAX(0,IFERROR(INDEX(TAB_IR,MATCH($C267,TAB_IR_DIAS,1),MATCH($G$8,TAB_IR_REGIMES,0)),0)*IF($G$26=2,CJ267,MAX(0,CM267))-CL267)</f>
        <v>2920.44715300466</v>
      </c>
      <c r="CO267" s="181" t="n">
        <f aca="false">MAX(0,CJ267-CN267-CJ267*$G$25)</f>
        <v>540493.060603924</v>
      </c>
      <c r="CP267" s="180" t="n">
        <f aca="false">CO267/$D267</f>
        <v>275666.799721152</v>
      </c>
    </row>
    <row r="268" customFormat="false" ht="12" hidden="false" customHeight="true" outlineLevel="0" collapsed="false">
      <c r="A268" s="177" t="n">
        <v>207</v>
      </c>
      <c r="B268" s="178" t="n">
        <f aca="false">EDATE(DATA_INICIO,$A268)</f>
        <v>52558</v>
      </c>
      <c r="C268" s="177" t="n">
        <f aca="false">$A268*30</f>
        <v>6210</v>
      </c>
      <c r="D268" s="179" t="n">
        <f aca="false">(1+IPCA_CENARIO)^($A268/12)</f>
        <v>1.96709395105594</v>
      </c>
      <c r="F268" s="180" t="n">
        <f aca="false">M267</f>
        <v>1014445.70309821</v>
      </c>
      <c r="G268" s="180" t="n">
        <f aca="false">IF($B$9=0,0,IF($A268&gt;IN_PRAZO,0,IF(APORTE_CORRIGIDO="Sim",IN_APORTE*$D268,IN_APORTE))+IF(AND($B$35=1,PGBL_REINVESTE="Sim",$A268&gt;=13,$A268&lt;=IN_PRAZO,MONTH($B268)=5),PGBL_BENEFICIO,0))</f>
        <v>0</v>
      </c>
      <c r="H268" s="180" t="n">
        <f aca="false">G268*$B$24</f>
        <v>0</v>
      </c>
      <c r="I268" s="180" t="n">
        <f aca="false">F268*$B$19</f>
        <v>9625.86522007643</v>
      </c>
      <c r="J268" s="180" t="n">
        <f aca="false">F268*$B$22</f>
        <v>169.074283849702</v>
      </c>
      <c r="K268" s="180" t="n">
        <f aca="false">$B$23*MAX(0,I268-F268*$B$18)</f>
        <v>0</v>
      </c>
      <c r="L268" s="180" t="n">
        <f aca="false">IF(AND($B$27=1,OR(MONTH($B268)=5,MONTH($B268)=11)),MAX(0,$B$28*MAX(0,(F268+I268-J268-K268+G268-H268)+O267-N268)-O267),0)</f>
        <v>0</v>
      </c>
      <c r="M268" s="181" t="n">
        <f aca="false">F268+I268-J268-K268+G268-H268-L268</f>
        <v>1023902.49403444</v>
      </c>
      <c r="N268" s="180" t="n">
        <f aca="false">N267+G268-H268</f>
        <v>150000</v>
      </c>
      <c r="O268" s="180" t="n">
        <f aca="false">O267+L268</f>
        <v>0</v>
      </c>
      <c r="P268" s="180" t="n">
        <f aca="false">M268+O268-N268</f>
        <v>873902.494034437</v>
      </c>
      <c r="Q268" s="180" t="n">
        <f aca="false">MAX(0,IFERROR(INDEX(TAB_IR,MATCH($C268,TAB_IR_DIAS,1),MATCH($B$8,TAB_IR_REGIMES,0)),0)*IF($B$26=2,M268,MAX(0,P268))-O268)</f>
        <v>131085.374105166</v>
      </c>
      <c r="R268" s="181" t="n">
        <f aca="false">MAX(0,M268-Q268-M268*$B$25)</f>
        <v>892817.119929272</v>
      </c>
      <c r="S268" s="180" t="n">
        <f aca="false">R268/$D268</f>
        <v>453876.196126783</v>
      </c>
      <c r="U268" s="180" t="n">
        <f aca="false">AB267</f>
        <v>772899.305890627</v>
      </c>
      <c r="V268" s="180" t="n">
        <f aca="false">IF($C$9=0,0,IF($A268&gt;IN_PRAZO,0,IF(APORTE_CORRIGIDO="Sim",IN_APORTE*$D268,IN_APORTE))+IF(AND($C$35=1,PGBL_REINVESTE="Sim",$A268&gt;=13,$A268&lt;=IN_PRAZO,MONTH($B268)=5),PGBL_BENEFICIO,0))</f>
        <v>0</v>
      </c>
      <c r="W268" s="180" t="n">
        <f aca="false">V268*$C$24</f>
        <v>0</v>
      </c>
      <c r="X268" s="180" t="n">
        <f aca="false">U268*$C$19</f>
        <v>6304.71388170511</v>
      </c>
      <c r="Y268" s="180" t="n">
        <f aca="false">U268*$C$22</f>
        <v>128.816550981771</v>
      </c>
      <c r="Z268" s="180" t="n">
        <f aca="false">$C$23*MAX(0,X268-U268*$C$18)</f>
        <v>0</v>
      </c>
      <c r="AA268" s="180" t="n">
        <f aca="false">IF(AND($C$27=1,OR(MONTH($B268)=5,MONTH($B268)=11)),MAX(0,$C$28*MAX(0,(U268+X268-Y268-Z268+V268-W268)+AD267-AC268)-AD267),0)</f>
        <v>0</v>
      </c>
      <c r="AB268" s="181" t="n">
        <f aca="false">U268+X268-Y268-Z268+V268-W268-AA268</f>
        <v>779075.20322135</v>
      </c>
      <c r="AC268" s="180" t="n">
        <f aca="false">AC267+V268-W268</f>
        <v>150000</v>
      </c>
      <c r="AD268" s="180" t="n">
        <f aca="false">AD267+AA268</f>
        <v>0</v>
      </c>
      <c r="AE268" s="180" t="n">
        <f aca="false">AB268+AD268-AC268</f>
        <v>629075.20322135</v>
      </c>
      <c r="AF268" s="180" t="n">
        <f aca="false">MAX(0,IFERROR(INDEX(TAB_IR,MATCH($C268,TAB_IR_DIAS,1),MATCH($C$8,TAB_IR_REGIMES,0)),0)*IF($C$26=2,AB268,MAX(0,AE268))-AD268)</f>
        <v>94361.2804832025</v>
      </c>
      <c r="AG268" s="181" t="n">
        <f aca="false">MAX(0,AB268-AF268-AB268*$C$25)</f>
        <v>684713.922738148</v>
      </c>
      <c r="AH268" s="180" t="n">
        <f aca="false">AG268/$D268</f>
        <v>348083.99587147</v>
      </c>
      <c r="AJ268" s="180" t="n">
        <f aca="false">AQ267</f>
        <v>628865.329578541</v>
      </c>
      <c r="AK268" s="180" t="n">
        <f aca="false">IF($D$9=0,0,IF($A268&gt;IN_PRAZO,0,IF(APORTE_CORRIGIDO="Sim",IN_APORTE*$D268,IN_APORTE))+IF(AND($D$35=1,PGBL_REINVESTE="Sim",$A268&gt;=13,$A268&lt;=IN_PRAZO,MONTH($B268)=5),PGBL_BENEFICIO,0))</f>
        <v>0</v>
      </c>
      <c r="AL268" s="180" t="n">
        <f aca="false">AK268*$D$24</f>
        <v>0</v>
      </c>
      <c r="AM268" s="180" t="n">
        <f aca="false">AJ268*$D$19</f>
        <v>5652.67993254445</v>
      </c>
      <c r="AN268" s="180" t="n">
        <f aca="false">AJ268*$D$22</f>
        <v>524.054441315451</v>
      </c>
      <c r="AO268" s="180" t="n">
        <f aca="false">$D$23*MAX(0,AM268-AJ268*$D$18)</f>
        <v>0</v>
      </c>
      <c r="AP268" s="180" t="n">
        <f aca="false">IF(AND($D$27=1,OR(MONTH($B268)=5,MONTH($B268)=11)),MAX(0,$D$28*MAX(0,(AJ268+AM268-AN268-AO268+AK268-AL268)+AS267-AR268)-AS267),0)</f>
        <v>4523.41689131837</v>
      </c>
      <c r="AQ268" s="181" t="n">
        <f aca="false">AJ268+AM268-AN268-AO268+AK268-AL268-AP268</f>
        <v>629470.538178451</v>
      </c>
      <c r="AR268" s="180" t="n">
        <f aca="false">AR267+AK268-AL268</f>
        <v>150000</v>
      </c>
      <c r="AS268" s="180" t="n">
        <f aca="false">AS267+AP268</f>
        <v>84612.4479138443</v>
      </c>
      <c r="AT268" s="180" t="n">
        <f aca="false">AQ268+AS268-AR268</f>
        <v>564082.986092296</v>
      </c>
      <c r="AU268" s="180" t="n">
        <f aca="false">MAX(0,IFERROR(INDEX(TAB_IR,MATCH($C268,TAB_IR_DIAS,1),MATCH($D$8,TAB_IR_REGIMES,0)),0)*IF($D$26=2,AQ268,MAX(0,AT268))-AS268)</f>
        <v>0</v>
      </c>
      <c r="AV268" s="181" t="n">
        <f aca="false">MAX(0,AQ268-AU268-AQ268*$D$25)</f>
        <v>629470.538178451</v>
      </c>
      <c r="AW268" s="180" t="n">
        <f aca="false">AV268/$D268</f>
        <v>320000.240883539</v>
      </c>
      <c r="AY268" s="180" t="n">
        <f aca="false">BF267</f>
        <v>864498.496369705</v>
      </c>
      <c r="AZ268" s="180" t="n">
        <f aca="false">IF($E$9=0,0,IF($A268&gt;IN_PRAZO,0,IF(APORTE_CORRIGIDO="Sim",IN_APORTE*$D268,IN_APORTE))+IF(AND($E$35=1,PGBL_REINVESTE="Sim",$A268&gt;=13,$A268&lt;=IN_PRAZO,MONTH($B268)=5),PGBL_BENEFICIO,0))</f>
        <v>0</v>
      </c>
      <c r="BA268" s="180" t="n">
        <f aca="false">AZ268*$E$24</f>
        <v>0</v>
      </c>
      <c r="BB268" s="180" t="n">
        <f aca="false">AY268*$E$19</f>
        <v>8462.35563661929</v>
      </c>
      <c r="BC268" s="180" t="n">
        <f aca="false">AY268*$E$22</f>
        <v>1080.62312046213</v>
      </c>
      <c r="BD268" s="180" t="n">
        <f aca="false">$E$23*MAX(0,BB268-AY268*$E$18)</f>
        <v>0</v>
      </c>
      <c r="BE268" s="180" t="n">
        <f aca="false">IF(AND($E$27=1,OR(MONTH($B268)=5,MONTH($B268)=11)),MAX(0,$E$28*MAX(0,(AY268+BB268-BC268-BD268+AZ268-BA268)+BH267-BG268)-BH267),0)</f>
        <v>0</v>
      </c>
      <c r="BF268" s="181" t="n">
        <f aca="false">AY268+BB268-BC268-BD268+AZ268-BA268-BE268</f>
        <v>871880.228885862</v>
      </c>
      <c r="BG268" s="180" t="n">
        <f aca="false">BG267+AZ268-BA268</f>
        <v>150000</v>
      </c>
      <c r="BH268" s="180" t="n">
        <f aca="false">BH267+BE268</f>
        <v>0</v>
      </c>
      <c r="BI268" s="180" t="n">
        <f aca="false">BF268+BH268-BG268</f>
        <v>721880.228885862</v>
      </c>
      <c r="BJ268" s="180" t="n">
        <f aca="false">MAX(0,IFERROR(INDEX(TAB_IR,MATCH($C268,TAB_IR_DIAS,1),MATCH($E$8,TAB_IR_REGIMES,0)),0)*IF($E$26=2,BF268,MAX(0,BI268))-BH268)</f>
        <v>72188.0228885862</v>
      </c>
      <c r="BK268" s="181" t="n">
        <f aca="false">MAX(0,BF268-BJ268-BF268*$E$25)</f>
        <v>799692.205997275</v>
      </c>
      <c r="BL268" s="180" t="n">
        <f aca="false">BK268/$D268</f>
        <v>406534.830513815</v>
      </c>
      <c r="BN268" s="180" t="n">
        <f aca="false">BU267</f>
        <v>864498.496369705</v>
      </c>
      <c r="BO268" s="180" t="n">
        <f aca="false">IF($F$9=0,0,IF($A268&gt;IN_PRAZO,0,IF(APORTE_CORRIGIDO="Sim",IN_APORTE*$D268,IN_APORTE))+IF(AND($F$35=1,PGBL_REINVESTE="Sim",$A268&gt;=13,$A268&lt;=IN_PRAZO,MONTH($B268)=5),PGBL_BENEFICIO,0))</f>
        <v>0</v>
      </c>
      <c r="BP268" s="180" t="n">
        <f aca="false">BO268*$F$24</f>
        <v>0</v>
      </c>
      <c r="BQ268" s="180" t="n">
        <f aca="false">BN268*$F$19</f>
        <v>8462.35563661929</v>
      </c>
      <c r="BR268" s="180" t="n">
        <f aca="false">BN268*$F$22</f>
        <v>1080.62312046213</v>
      </c>
      <c r="BS268" s="180" t="n">
        <f aca="false">$F$23*MAX(0,BQ268-BN268*$F$18)</f>
        <v>0</v>
      </c>
      <c r="BT268" s="180" t="n">
        <f aca="false">IF(AND($F$27=1,OR(MONTH($B268)=5,MONTH($B268)=11)),MAX(0,$F$28*MAX(0,(BN268+BQ268-BR268-BS268+BO268-BP268)+BW267-BV268)-BW267),0)</f>
        <v>0</v>
      </c>
      <c r="BU268" s="181" t="n">
        <f aca="false">BN268+BQ268-BR268-BS268+BO268-BP268-BT268</f>
        <v>871880.228885862</v>
      </c>
      <c r="BV268" s="180" t="n">
        <f aca="false">BV267+BO268-BP268</f>
        <v>150000</v>
      </c>
      <c r="BW268" s="180" t="n">
        <f aca="false">BW267+BT268</f>
        <v>0</v>
      </c>
      <c r="BX268" s="180" t="n">
        <f aca="false">BU268+BW268-BV268</f>
        <v>721880.228885862</v>
      </c>
      <c r="BY268" s="180" t="n">
        <f aca="false">MAX(0,IFERROR(INDEX(TAB_IR,MATCH($C268,TAB_IR_DIAS,1),MATCH($F$8,TAB_IR_REGIMES,0)),0)*IF($F$26=2,BU268,MAX(0,BX268))-BW268)</f>
        <v>87188.0228885862</v>
      </c>
      <c r="BZ268" s="181" t="n">
        <f aca="false">MAX(0,BU268-BY268-BU268*$F$25)</f>
        <v>784692.205997275</v>
      </c>
      <c r="CA268" s="180" t="n">
        <f aca="false">BZ268/$D268</f>
        <v>398909.368602376</v>
      </c>
      <c r="CC268" s="180" t="n">
        <f aca="false">CJ267</f>
        <v>543413.507756929</v>
      </c>
      <c r="CD268" s="180" t="n">
        <f aca="false">IF($G$9=0,0,IF($A268&gt;IN_PRAZO,0,IF(APORTE_CORRIGIDO="Sim",IN_APORTE*$D268,IN_APORTE))+IF(AND($G$35=1,PGBL_REINVESTE="Sim",$A268&gt;=13,$A268&lt;=IN_PRAZO,MONTH($B268)=5),PGBL_BENEFICIO,0))</f>
        <v>0</v>
      </c>
      <c r="CE268" s="180" t="n">
        <f aca="false">CD268*$G$24</f>
        <v>0</v>
      </c>
      <c r="CF268" s="180" t="n">
        <f aca="false">CC268*$G$19</f>
        <v>4432.74649071298</v>
      </c>
      <c r="CG268" s="180" t="n">
        <f aca="false">CC268*$G$22</f>
        <v>452.844589797441</v>
      </c>
      <c r="CH268" s="180" t="n">
        <f aca="false">$G$23*MAX(0,CF268-CC268*$G$18)</f>
        <v>0</v>
      </c>
      <c r="CI268" s="180" t="n">
        <f aca="false">IF(AND($G$27=1,OR(MONTH($B268)=5,MONTH($B268)=11)),MAX(0,$G$28*MAX(0,(CC268+CF268-CG268-CH268+CD268-CE268)+CL267-CK268)-CL267),0)</f>
        <v>3517.43243814199</v>
      </c>
      <c r="CJ268" s="181" t="n">
        <f aca="false">CC268+CF268-CG268-CH268+CD268-CE268-CI268</f>
        <v>543875.977219702</v>
      </c>
      <c r="CK268" s="180" t="n">
        <f aca="false">CK267+CD268-CE268</f>
        <v>150000</v>
      </c>
      <c r="CL268" s="180" t="n">
        <f aca="false">CL267+CI268</f>
        <v>69507.5253917122</v>
      </c>
      <c r="CM268" s="180" t="n">
        <f aca="false">CJ268+CL268-CK268</f>
        <v>463383.502611415</v>
      </c>
      <c r="CN268" s="180" t="n">
        <f aca="false">MAX(0,IFERROR(INDEX(TAB_IR,MATCH($C268,TAB_IR_DIAS,1),MATCH($G$8,TAB_IR_REGIMES,0)),0)*IF($G$26=2,CJ268,MAX(0,CM268))-CL268)</f>
        <v>0</v>
      </c>
      <c r="CO268" s="181" t="n">
        <f aca="false">MAX(0,CJ268-CN268-CJ268*$G$25)</f>
        <v>543875.977219702</v>
      </c>
      <c r="CP268" s="180" t="n">
        <f aca="false">CO268/$D268</f>
        <v>276487.036589051</v>
      </c>
    </row>
    <row r="269" customFormat="false" ht="12" hidden="false" customHeight="true" outlineLevel="0" collapsed="false">
      <c r="A269" s="177" t="n">
        <v>208</v>
      </c>
      <c r="B269" s="178" t="n">
        <f aca="false">EDATE(DATA_INICIO,$A269)</f>
        <v>52588</v>
      </c>
      <c r="C269" s="177" t="n">
        <f aca="false">$A269*30</f>
        <v>6240</v>
      </c>
      <c r="D269" s="179" t="n">
        <f aca="false">(1+IPCA_CENARIO)^($A269/12)</f>
        <v>1.97353370477883</v>
      </c>
      <c r="F269" s="180" t="n">
        <f aca="false">M268</f>
        <v>1023902.49403444</v>
      </c>
      <c r="G269" s="180" t="n">
        <f aca="false">IF($B$9=0,0,IF($A269&gt;IN_PRAZO,0,IF(APORTE_CORRIGIDO="Sim",IN_APORTE*$D269,IN_APORTE))+IF(AND($B$35=1,PGBL_REINVESTE="Sim",$A269&gt;=13,$A269&lt;=IN_PRAZO,MONTH($B269)=5),PGBL_BENEFICIO,0))</f>
        <v>0</v>
      </c>
      <c r="H269" s="180" t="n">
        <f aca="false">G269*$B$24</f>
        <v>0</v>
      </c>
      <c r="I269" s="180" t="n">
        <f aca="false">F269*$B$19</f>
        <v>9715.59875109593</v>
      </c>
      <c r="J269" s="180" t="n">
        <f aca="false">F269*$B$22</f>
        <v>170.650415672406</v>
      </c>
      <c r="K269" s="180" t="n">
        <f aca="false">$B$23*MAX(0,I269-F269*$B$18)</f>
        <v>0</v>
      </c>
      <c r="L269" s="180" t="n">
        <f aca="false">IF(AND($B$27=1,OR(MONTH($B269)=5,MONTH($B269)=11)),MAX(0,$B$28*MAX(0,(F269+I269-J269-K269+G269-H269)+O268-N269)-O268),0)</f>
        <v>0</v>
      </c>
      <c r="M269" s="181" t="n">
        <f aca="false">F269+I269-J269-K269+G269-H269-L269</f>
        <v>1033447.44236986</v>
      </c>
      <c r="N269" s="180" t="n">
        <f aca="false">N268+G269-H269</f>
        <v>150000</v>
      </c>
      <c r="O269" s="180" t="n">
        <f aca="false">O268+L269</f>
        <v>0</v>
      </c>
      <c r="P269" s="180" t="n">
        <f aca="false">M269+O269-N269</f>
        <v>883447.442369861</v>
      </c>
      <c r="Q269" s="180" t="n">
        <f aca="false">MAX(0,IFERROR(INDEX(TAB_IR,MATCH($C269,TAB_IR_DIAS,1),MATCH($B$8,TAB_IR_REGIMES,0)),0)*IF($B$26=2,M269,MAX(0,P269))-O269)</f>
        <v>132517.116355479</v>
      </c>
      <c r="R269" s="181" t="n">
        <f aca="false">MAX(0,M269-Q269-M269*$B$25)</f>
        <v>900930.326014381</v>
      </c>
      <c r="S269" s="180" t="n">
        <f aca="false">R269/$D269</f>
        <v>456506.176627648</v>
      </c>
      <c r="U269" s="180" t="n">
        <f aca="false">AB268</f>
        <v>779075.20322135</v>
      </c>
      <c r="V269" s="180" t="n">
        <f aca="false">IF($C$9=0,0,IF($A269&gt;IN_PRAZO,0,IF(APORTE_CORRIGIDO="Sim",IN_APORTE*$D269,IN_APORTE))+IF(AND($C$35=1,PGBL_REINVESTE="Sim",$A269&gt;=13,$A269&lt;=IN_PRAZO,MONTH($B269)=5),PGBL_BENEFICIO,0))</f>
        <v>0</v>
      </c>
      <c r="W269" s="180" t="n">
        <f aca="false">V269*$C$24</f>
        <v>0</v>
      </c>
      <c r="X269" s="180" t="n">
        <f aca="false">U269*$C$19</f>
        <v>6355.09206853519</v>
      </c>
      <c r="Y269" s="180" t="n">
        <f aca="false">U269*$C$22</f>
        <v>129.845867203558</v>
      </c>
      <c r="Z269" s="180" t="n">
        <f aca="false">$C$23*MAX(0,X269-U269*$C$18)</f>
        <v>0</v>
      </c>
      <c r="AA269" s="180" t="n">
        <f aca="false">IF(AND($C$27=1,OR(MONTH($B269)=5,MONTH($B269)=11)),MAX(0,$C$28*MAX(0,(U269+X269-Y269-Z269+V269-W269)+AD268-AC269)-AD268),0)</f>
        <v>0</v>
      </c>
      <c r="AB269" s="181" t="n">
        <f aca="false">U269+X269-Y269-Z269+V269-W269-AA269</f>
        <v>785300.449422682</v>
      </c>
      <c r="AC269" s="180" t="n">
        <f aca="false">AC268+V269-W269</f>
        <v>150000</v>
      </c>
      <c r="AD269" s="180" t="n">
        <f aca="false">AD268+AA269</f>
        <v>0</v>
      </c>
      <c r="AE269" s="180" t="n">
        <f aca="false">AB269+AD269-AC269</f>
        <v>635300.449422682</v>
      </c>
      <c r="AF269" s="180" t="n">
        <f aca="false">MAX(0,IFERROR(INDEX(TAB_IR,MATCH($C269,TAB_IR_DIAS,1),MATCH($C$8,TAB_IR_REGIMES,0)),0)*IF($C$26=2,AB269,MAX(0,AE269))-AD269)</f>
        <v>95295.0674134023</v>
      </c>
      <c r="AG269" s="181" t="n">
        <f aca="false">MAX(0,AB269-AF269-AB269*$C$25)</f>
        <v>690005.38200928</v>
      </c>
      <c r="AH269" s="180" t="n">
        <f aca="false">AG269/$D269</f>
        <v>349629.388309133</v>
      </c>
      <c r="AJ269" s="180" t="n">
        <f aca="false">AQ268</f>
        <v>629470.538178451</v>
      </c>
      <c r="AK269" s="180" t="n">
        <f aca="false">IF($D$9=0,0,IF($A269&gt;IN_PRAZO,0,IF(APORTE_CORRIGIDO="Sim",IN_APORTE*$D269,IN_APORTE))+IF(AND($D$35=1,PGBL_REINVESTE="Sim",$A269&gt;=13,$A269&lt;=IN_PRAZO,MONTH($B269)=5),PGBL_BENEFICIO,0))</f>
        <v>0</v>
      </c>
      <c r="AL269" s="180" t="n">
        <f aca="false">AK269*$D$24</f>
        <v>0</v>
      </c>
      <c r="AM269" s="180" t="n">
        <f aca="false">AJ269*$D$19</f>
        <v>5658.11996930083</v>
      </c>
      <c r="AN269" s="180" t="n">
        <f aca="false">AJ269*$D$22</f>
        <v>524.558781815376</v>
      </c>
      <c r="AO269" s="180" t="n">
        <f aca="false">$D$23*MAX(0,AM269-AJ269*$D$18)</f>
        <v>0</v>
      </c>
      <c r="AP269" s="180" t="n">
        <f aca="false">IF(AND($D$27=1,OR(MONTH($B269)=5,MONTH($B269)=11)),MAX(0,$D$28*MAX(0,(AJ269+AM269-AN269-AO269+AK269-AL269)+AS268-AR269)-AS268),0)</f>
        <v>0</v>
      </c>
      <c r="AQ269" s="181" t="n">
        <f aca="false">AJ269+AM269-AN269-AO269+AK269-AL269-AP269</f>
        <v>634604.099365937</v>
      </c>
      <c r="AR269" s="180" t="n">
        <f aca="false">AR268+AK269-AL269</f>
        <v>150000</v>
      </c>
      <c r="AS269" s="180" t="n">
        <f aca="false">AS268+AP269</f>
        <v>84612.4479138443</v>
      </c>
      <c r="AT269" s="180" t="n">
        <f aca="false">AQ269+AS269-AR269</f>
        <v>569216.547279781</v>
      </c>
      <c r="AU269" s="180" t="n">
        <f aca="false">MAX(0,IFERROR(INDEX(TAB_IR,MATCH($C269,TAB_IR_DIAS,1),MATCH($D$8,TAB_IR_REGIMES,0)),0)*IF($D$26=2,AQ269,MAX(0,AT269))-AS269)</f>
        <v>770.03417812282</v>
      </c>
      <c r="AV269" s="181" t="n">
        <f aca="false">MAX(0,AQ269-AU269-AQ269*$D$25)</f>
        <v>633834.065187814</v>
      </c>
      <c r="AW269" s="180" t="n">
        <f aca="false">AV269/$D269</f>
        <v>321167.084024464</v>
      </c>
      <c r="AY269" s="180" t="n">
        <f aca="false">BF268</f>
        <v>871880.228885862</v>
      </c>
      <c r="AZ269" s="180" t="n">
        <f aca="false">IF($E$9=0,0,IF($A269&gt;IN_PRAZO,0,IF(APORTE_CORRIGIDO="Sim",IN_APORTE*$D269,IN_APORTE))+IF(AND($E$35=1,PGBL_REINVESTE="Sim",$A269&gt;=13,$A269&lt;=IN_PRAZO,MONTH($B269)=5),PGBL_BENEFICIO,0))</f>
        <v>0</v>
      </c>
      <c r="BA269" s="180" t="n">
        <f aca="false">AZ269*$E$24</f>
        <v>0</v>
      </c>
      <c r="BB269" s="180" t="n">
        <f aca="false">AY269*$E$19</f>
        <v>8534.61353646346</v>
      </c>
      <c r="BC269" s="180" t="n">
        <f aca="false">AY269*$E$22</f>
        <v>1089.85028610733</v>
      </c>
      <c r="BD269" s="180" t="n">
        <f aca="false">$E$23*MAX(0,BB269-AY269*$E$18)</f>
        <v>0</v>
      </c>
      <c r="BE269" s="180" t="n">
        <f aca="false">IF(AND($E$27=1,OR(MONTH($B269)=5,MONTH($B269)=11)),MAX(0,$E$28*MAX(0,(AY269+BB269-BC269-BD269+AZ269-BA269)+BH268-BG269)-BH268),0)</f>
        <v>0</v>
      </c>
      <c r="BF269" s="181" t="n">
        <f aca="false">AY269+BB269-BC269-BD269+AZ269-BA269-BE269</f>
        <v>879324.992136218</v>
      </c>
      <c r="BG269" s="180" t="n">
        <f aca="false">BG268+AZ269-BA269</f>
        <v>150000</v>
      </c>
      <c r="BH269" s="180" t="n">
        <f aca="false">BH268+BE269</f>
        <v>0</v>
      </c>
      <c r="BI269" s="180" t="n">
        <f aca="false">BF269+BH269-BG269</f>
        <v>729324.992136218</v>
      </c>
      <c r="BJ269" s="180" t="n">
        <f aca="false">MAX(0,IFERROR(INDEX(TAB_IR,MATCH($C269,TAB_IR_DIAS,1),MATCH($E$8,TAB_IR_REGIMES,0)),0)*IF($E$26=2,BF269,MAX(0,BI269))-BH269)</f>
        <v>72932.4992136218</v>
      </c>
      <c r="BK269" s="181" t="n">
        <f aca="false">MAX(0,BF269-BJ269-BF269*$E$25)</f>
        <v>806392.492922596</v>
      </c>
      <c r="BL269" s="180" t="n">
        <f aca="false">BK269/$D269</f>
        <v>408603.35497182</v>
      </c>
      <c r="BN269" s="180" t="n">
        <f aca="false">BU268</f>
        <v>871880.228885862</v>
      </c>
      <c r="BO269" s="180" t="n">
        <f aca="false">IF($F$9=0,0,IF($A269&gt;IN_PRAZO,0,IF(APORTE_CORRIGIDO="Sim",IN_APORTE*$D269,IN_APORTE))+IF(AND($F$35=1,PGBL_REINVESTE="Sim",$A269&gt;=13,$A269&lt;=IN_PRAZO,MONTH($B269)=5),PGBL_BENEFICIO,0))</f>
        <v>0</v>
      </c>
      <c r="BP269" s="180" t="n">
        <f aca="false">BO269*$F$24</f>
        <v>0</v>
      </c>
      <c r="BQ269" s="180" t="n">
        <f aca="false">BN269*$F$19</f>
        <v>8534.61353646346</v>
      </c>
      <c r="BR269" s="180" t="n">
        <f aca="false">BN269*$F$22</f>
        <v>1089.85028610733</v>
      </c>
      <c r="BS269" s="180" t="n">
        <f aca="false">$F$23*MAX(0,BQ269-BN269*$F$18)</f>
        <v>0</v>
      </c>
      <c r="BT269" s="180" t="n">
        <f aca="false">IF(AND($F$27=1,OR(MONTH($B269)=5,MONTH($B269)=11)),MAX(0,$F$28*MAX(0,(BN269+BQ269-BR269-BS269+BO269-BP269)+BW268-BV269)-BW268),0)</f>
        <v>0</v>
      </c>
      <c r="BU269" s="181" t="n">
        <f aca="false">BN269+BQ269-BR269-BS269+BO269-BP269-BT269</f>
        <v>879324.992136218</v>
      </c>
      <c r="BV269" s="180" t="n">
        <f aca="false">BV268+BO269-BP269</f>
        <v>150000</v>
      </c>
      <c r="BW269" s="180" t="n">
        <f aca="false">BW268+BT269</f>
        <v>0</v>
      </c>
      <c r="BX269" s="180" t="n">
        <f aca="false">BU269+BW269-BV269</f>
        <v>729324.992136218</v>
      </c>
      <c r="BY269" s="180" t="n">
        <f aca="false">MAX(0,IFERROR(INDEX(TAB_IR,MATCH($C269,TAB_IR_DIAS,1),MATCH($F$8,TAB_IR_REGIMES,0)),0)*IF($F$26=2,BU269,MAX(0,BX269))-BW269)</f>
        <v>87932.4992136218</v>
      </c>
      <c r="BZ269" s="181" t="n">
        <f aca="false">MAX(0,BU269-BY269-BU269*$F$25)</f>
        <v>791392.492922596</v>
      </c>
      <c r="CA269" s="180" t="n">
        <f aca="false">BZ269/$D269</f>
        <v>401002.775380158</v>
      </c>
      <c r="CC269" s="180" t="n">
        <f aca="false">CJ268</f>
        <v>543875.977219702</v>
      </c>
      <c r="CD269" s="180" t="n">
        <f aca="false">IF($G$9=0,0,IF($A269&gt;IN_PRAZO,0,IF(APORTE_CORRIGIDO="Sim",IN_APORTE*$D269,IN_APORTE))+IF(AND($G$35=1,PGBL_REINVESTE="Sim",$A269&gt;=13,$A269&lt;=IN_PRAZO,MONTH($B269)=5),PGBL_BENEFICIO,0))</f>
        <v>0</v>
      </c>
      <c r="CE269" s="180" t="n">
        <f aca="false">CD269*$G$24</f>
        <v>0</v>
      </c>
      <c r="CF269" s="180" t="n">
        <f aca="false">CC269*$G$19</f>
        <v>4436.51895838062</v>
      </c>
      <c r="CG269" s="180" t="n">
        <f aca="false">CC269*$G$22</f>
        <v>453.229981016419</v>
      </c>
      <c r="CH269" s="180" t="n">
        <f aca="false">$G$23*MAX(0,CF269-CC269*$G$18)</f>
        <v>0</v>
      </c>
      <c r="CI269" s="180" t="n">
        <f aca="false">IF(AND($G$27=1,OR(MONTH($B269)=5,MONTH($B269)=11)),MAX(0,$G$28*MAX(0,(CC269+CF269-CG269-CH269+CD269-CE269)+CL268-CK269)-CL268),0)</f>
        <v>0</v>
      </c>
      <c r="CJ269" s="181" t="n">
        <f aca="false">CC269+CF269-CG269-CH269+CD269-CE269-CI269</f>
        <v>547859.266197067</v>
      </c>
      <c r="CK269" s="180" t="n">
        <f aca="false">CK268+CD269-CE269</f>
        <v>150000</v>
      </c>
      <c r="CL269" s="180" t="n">
        <f aca="false">CL268+CI269</f>
        <v>69507.5253917122</v>
      </c>
      <c r="CM269" s="180" t="n">
        <f aca="false">CJ269+CL269-CK269</f>
        <v>467366.791588779</v>
      </c>
      <c r="CN269" s="180" t="n">
        <f aca="false">MAX(0,IFERROR(INDEX(TAB_IR,MATCH($C269,TAB_IR_DIAS,1),MATCH($G$8,TAB_IR_REGIMES,0)),0)*IF($G$26=2,CJ269,MAX(0,CM269))-CL269)</f>
        <v>597.49334660465</v>
      </c>
      <c r="CO269" s="181" t="n">
        <f aca="false">MAX(0,CJ269-CN269-CJ269*$G$25)</f>
        <v>547261.772850462</v>
      </c>
      <c r="CP269" s="180" t="n">
        <f aca="false">CO269/$D269</f>
        <v>277300.44413495</v>
      </c>
    </row>
    <row r="270" customFormat="false" ht="12" hidden="false" customHeight="true" outlineLevel="0" collapsed="false">
      <c r="A270" s="177" t="n">
        <v>209</v>
      </c>
      <c r="B270" s="178" t="n">
        <f aca="false">EDATE(DATA_INICIO,$A270)</f>
        <v>52619</v>
      </c>
      <c r="C270" s="177" t="n">
        <f aca="false">$A270*30</f>
        <v>6270</v>
      </c>
      <c r="D270" s="179" t="n">
        <f aca="false">(1+IPCA_CENARIO)^($A270/12)</f>
        <v>1.97999454057967</v>
      </c>
      <c r="F270" s="180" t="n">
        <f aca="false">M269</f>
        <v>1033447.44236986</v>
      </c>
      <c r="G270" s="180" t="n">
        <f aca="false">IF($B$9=0,0,IF($A270&gt;IN_PRAZO,0,IF(APORTE_CORRIGIDO="Sim",IN_APORTE*$D270,IN_APORTE))+IF(AND($B$35=1,PGBL_REINVESTE="Sim",$A270&gt;=13,$A270&lt;=IN_PRAZO,MONTH($B270)=5),PGBL_BENEFICIO,0))</f>
        <v>0</v>
      </c>
      <c r="H270" s="180" t="n">
        <f aca="false">G270*$B$24</f>
        <v>0</v>
      </c>
      <c r="I270" s="180" t="n">
        <f aca="false">F270*$B$19</f>
        <v>9806.16878942205</v>
      </c>
      <c r="J270" s="180" t="n">
        <f aca="false">F270*$B$22</f>
        <v>172.241240394977</v>
      </c>
      <c r="K270" s="180" t="n">
        <f aca="false">$B$23*MAX(0,I270-F270*$B$18)</f>
        <v>0</v>
      </c>
      <c r="L270" s="180" t="n">
        <f aca="false">IF(AND($B$27=1,OR(MONTH($B270)=5,MONTH($B270)=11)),MAX(0,$B$28*MAX(0,(F270+I270-J270-K270+G270-H270)+O269-N270)-O269),0)</f>
        <v>0</v>
      </c>
      <c r="M270" s="181" t="n">
        <f aca="false">F270+I270-J270-K270+G270-H270-L270</f>
        <v>1043081.36991889</v>
      </c>
      <c r="N270" s="180" t="n">
        <f aca="false">N269+G270-H270</f>
        <v>150000</v>
      </c>
      <c r="O270" s="180" t="n">
        <f aca="false">O269+L270</f>
        <v>0</v>
      </c>
      <c r="P270" s="180" t="n">
        <f aca="false">M270+O270-N270</f>
        <v>893081.369918888</v>
      </c>
      <c r="Q270" s="180" t="n">
        <f aca="false">MAX(0,IFERROR(INDEX(TAB_IR,MATCH($C270,TAB_IR_DIAS,1),MATCH($B$8,TAB_IR_REGIMES,0)),0)*IF($B$26=2,M270,MAX(0,P270))-O270)</f>
        <v>133962.205487833</v>
      </c>
      <c r="R270" s="181" t="n">
        <f aca="false">MAX(0,M270-Q270-M270*$B$25)</f>
        <v>909119.164431054</v>
      </c>
      <c r="S270" s="180" t="n">
        <f aca="false">R270/$D270</f>
        <v>459152.359159988</v>
      </c>
      <c r="U270" s="180" t="n">
        <f aca="false">AB269</f>
        <v>785300.449422682</v>
      </c>
      <c r="V270" s="180" t="n">
        <f aca="false">IF($C$9=0,0,IF($A270&gt;IN_PRAZO,0,IF(APORTE_CORRIGIDO="Sim",IN_APORTE*$D270,IN_APORTE))+IF(AND($C$35=1,PGBL_REINVESTE="Sim",$A270&gt;=13,$A270&lt;=IN_PRAZO,MONTH($B270)=5),PGBL_BENEFICIO,0))</f>
        <v>0</v>
      </c>
      <c r="W270" s="180" t="n">
        <f aca="false">V270*$C$24</f>
        <v>0</v>
      </c>
      <c r="X270" s="180" t="n">
        <f aca="false">U270*$C$19</f>
        <v>6405.8728052281</v>
      </c>
      <c r="Y270" s="180" t="n">
        <f aca="false">U270*$C$22</f>
        <v>130.883408237114</v>
      </c>
      <c r="Z270" s="180" t="n">
        <f aca="false">$C$23*MAX(0,X270-U270*$C$18)</f>
        <v>0</v>
      </c>
      <c r="AA270" s="180" t="n">
        <f aca="false">IF(AND($C$27=1,OR(MONTH($B270)=5,MONTH($B270)=11)),MAX(0,$C$28*MAX(0,(U270+X270-Y270-Z270+V270-W270)+AD269-AC270)-AD269),0)</f>
        <v>0</v>
      </c>
      <c r="AB270" s="181" t="n">
        <f aca="false">U270+X270-Y270-Z270+V270-W270-AA270</f>
        <v>791575.438819673</v>
      </c>
      <c r="AC270" s="180" t="n">
        <f aca="false">AC269+V270-W270</f>
        <v>150000</v>
      </c>
      <c r="AD270" s="180" t="n">
        <f aca="false">AD269+AA270</f>
        <v>0</v>
      </c>
      <c r="AE270" s="180" t="n">
        <f aca="false">AB270+AD270-AC270</f>
        <v>641575.438819673</v>
      </c>
      <c r="AF270" s="180" t="n">
        <f aca="false">MAX(0,IFERROR(INDEX(TAB_IR,MATCH($C270,TAB_IR_DIAS,1),MATCH($C$8,TAB_IR_REGIMES,0)),0)*IF($C$26=2,AB270,MAX(0,AE270))-AD270)</f>
        <v>96236.3158229509</v>
      </c>
      <c r="AG270" s="181" t="n">
        <f aca="false">MAX(0,AB270-AF270-AB270*$C$25)</f>
        <v>695339.122996722</v>
      </c>
      <c r="AH270" s="180" t="n">
        <f aca="false">AG270/$D270</f>
        <v>351182.343559973</v>
      </c>
      <c r="AJ270" s="180" t="n">
        <f aca="false">AQ269</f>
        <v>634604.099365937</v>
      </c>
      <c r="AK270" s="180" t="n">
        <f aca="false">IF($D$9=0,0,IF($A270&gt;IN_PRAZO,0,IF(APORTE_CORRIGIDO="Sim",IN_APORTE*$D270,IN_APORTE))+IF(AND($D$35=1,PGBL_REINVESTE="Sim",$A270&gt;=13,$A270&lt;=IN_PRAZO,MONTH($B270)=5),PGBL_BENEFICIO,0))</f>
        <v>0</v>
      </c>
      <c r="AL270" s="180" t="n">
        <f aca="false">AK270*$D$24</f>
        <v>0</v>
      </c>
      <c r="AM270" s="180" t="n">
        <f aca="false">AJ270*$D$19</f>
        <v>5704.26399560044</v>
      </c>
      <c r="AN270" s="180" t="n">
        <f aca="false">AJ270*$D$22</f>
        <v>528.836749471614</v>
      </c>
      <c r="AO270" s="180" t="n">
        <f aca="false">$D$23*MAX(0,AM270-AJ270*$D$18)</f>
        <v>0</v>
      </c>
      <c r="AP270" s="180" t="n">
        <f aca="false">IF(AND($D$27=1,OR(MONTH($B270)=5,MONTH($B270)=11)),MAX(0,$D$28*MAX(0,(AJ270+AM270-AN270-AO270+AK270-AL270)+AS269-AR270)-AS269),0)</f>
        <v>0</v>
      </c>
      <c r="AQ270" s="181" t="n">
        <f aca="false">AJ270+AM270-AN270-AO270+AK270-AL270-AP270</f>
        <v>639779.526612066</v>
      </c>
      <c r="AR270" s="180" t="n">
        <f aca="false">AR269+AK270-AL270</f>
        <v>150000</v>
      </c>
      <c r="AS270" s="180" t="n">
        <f aca="false">AS269+AP270</f>
        <v>84612.4479138443</v>
      </c>
      <c r="AT270" s="180" t="n">
        <f aca="false">AQ270+AS270-AR270</f>
        <v>574391.97452591</v>
      </c>
      <c r="AU270" s="180" t="n">
        <f aca="false">MAX(0,IFERROR(INDEX(TAB_IR,MATCH($C270,TAB_IR_DIAS,1),MATCH($D$8,TAB_IR_REGIMES,0)),0)*IF($D$26=2,AQ270,MAX(0,AT270))-AS270)</f>
        <v>1546.34826504214</v>
      </c>
      <c r="AV270" s="181" t="n">
        <f aca="false">MAX(0,AQ270-AU270-AQ270*$D$25)</f>
        <v>638233.178347023</v>
      </c>
      <c r="AW270" s="180" t="n">
        <f aca="false">AV270/$D270</f>
        <v>322340.877849174</v>
      </c>
      <c r="AY270" s="180" t="n">
        <f aca="false">BF269</f>
        <v>879324.992136218</v>
      </c>
      <c r="AZ270" s="180" t="n">
        <f aca="false">IF($E$9=0,0,IF($A270&gt;IN_PRAZO,0,IF(APORTE_CORRIGIDO="Sim",IN_APORTE*$D270,IN_APORTE))+IF(AND($E$35=1,PGBL_REINVESTE="Sim",$A270&gt;=13,$A270&lt;=IN_PRAZO,MONTH($B270)=5),PGBL_BENEFICIO,0))</f>
        <v>0</v>
      </c>
      <c r="BA270" s="180" t="n">
        <f aca="false">AZ270*$E$24</f>
        <v>0</v>
      </c>
      <c r="BB270" s="180" t="n">
        <f aca="false">AY270*$E$19</f>
        <v>8607.48842811394</v>
      </c>
      <c r="BC270" s="180" t="n">
        <f aca="false">AY270*$E$22</f>
        <v>1099.15624017027</v>
      </c>
      <c r="BD270" s="180" t="n">
        <f aca="false">$E$23*MAX(0,BB270-AY270*$E$18)</f>
        <v>0</v>
      </c>
      <c r="BE270" s="180" t="n">
        <f aca="false">IF(AND($E$27=1,OR(MONTH($B270)=5,MONTH($B270)=11)),MAX(0,$E$28*MAX(0,(AY270+BB270-BC270-BD270+AZ270-BA270)+BH269-BG270)-BH269),0)</f>
        <v>0</v>
      </c>
      <c r="BF270" s="181" t="n">
        <f aca="false">AY270+BB270-BC270-BD270+AZ270-BA270-BE270</f>
        <v>886833.324324162</v>
      </c>
      <c r="BG270" s="180" t="n">
        <f aca="false">BG269+AZ270-BA270</f>
        <v>150000</v>
      </c>
      <c r="BH270" s="180" t="n">
        <f aca="false">BH269+BE270</f>
        <v>0</v>
      </c>
      <c r="BI270" s="180" t="n">
        <f aca="false">BF270+BH270-BG270</f>
        <v>736833.324324162</v>
      </c>
      <c r="BJ270" s="180" t="n">
        <f aca="false">MAX(0,IFERROR(INDEX(TAB_IR,MATCH($C270,TAB_IR_DIAS,1),MATCH($E$8,TAB_IR_REGIMES,0)),0)*IF($E$26=2,BF270,MAX(0,BI270))-BH270)</f>
        <v>73683.3324324162</v>
      </c>
      <c r="BK270" s="181" t="n">
        <f aca="false">MAX(0,BF270-BJ270-BF270*$E$25)</f>
        <v>813149.991891745</v>
      </c>
      <c r="BL270" s="180" t="n">
        <f aca="false">BK270/$D270</f>
        <v>410682.946455844</v>
      </c>
      <c r="BN270" s="180" t="n">
        <f aca="false">BU269</f>
        <v>879324.992136218</v>
      </c>
      <c r="BO270" s="180" t="n">
        <f aca="false">IF($F$9=0,0,IF($A270&gt;IN_PRAZO,0,IF(APORTE_CORRIGIDO="Sim",IN_APORTE*$D270,IN_APORTE))+IF(AND($F$35=1,PGBL_REINVESTE="Sim",$A270&gt;=13,$A270&lt;=IN_PRAZO,MONTH($B270)=5),PGBL_BENEFICIO,0))</f>
        <v>0</v>
      </c>
      <c r="BP270" s="180" t="n">
        <f aca="false">BO270*$F$24</f>
        <v>0</v>
      </c>
      <c r="BQ270" s="180" t="n">
        <f aca="false">BN270*$F$19</f>
        <v>8607.48842811394</v>
      </c>
      <c r="BR270" s="180" t="n">
        <f aca="false">BN270*$F$22</f>
        <v>1099.15624017027</v>
      </c>
      <c r="BS270" s="180" t="n">
        <f aca="false">$F$23*MAX(0,BQ270-BN270*$F$18)</f>
        <v>0</v>
      </c>
      <c r="BT270" s="180" t="n">
        <f aca="false">IF(AND($F$27=1,OR(MONTH($B270)=5,MONTH($B270)=11)),MAX(0,$F$28*MAX(0,(BN270+BQ270-BR270-BS270+BO270-BP270)+BW269-BV270)-BW269),0)</f>
        <v>0</v>
      </c>
      <c r="BU270" s="181" t="n">
        <f aca="false">BN270+BQ270-BR270-BS270+BO270-BP270-BT270</f>
        <v>886833.324324162</v>
      </c>
      <c r="BV270" s="180" t="n">
        <f aca="false">BV269+BO270-BP270</f>
        <v>150000</v>
      </c>
      <c r="BW270" s="180" t="n">
        <f aca="false">BW269+BT270</f>
        <v>0</v>
      </c>
      <c r="BX270" s="180" t="n">
        <f aca="false">BU270+BW270-BV270</f>
        <v>736833.324324162</v>
      </c>
      <c r="BY270" s="180" t="n">
        <f aca="false">MAX(0,IFERROR(INDEX(TAB_IR,MATCH($C270,TAB_IR_DIAS,1),MATCH($F$8,TAB_IR_REGIMES,0)),0)*IF($F$26=2,BU270,MAX(0,BX270))-BW270)</f>
        <v>88683.3324324162</v>
      </c>
      <c r="BZ270" s="181" t="n">
        <f aca="false">MAX(0,BU270-BY270-BU270*$F$25)</f>
        <v>798149.991891745</v>
      </c>
      <c r="CA270" s="180" t="n">
        <f aca="false">BZ270/$D270</f>
        <v>403107.167991521</v>
      </c>
      <c r="CC270" s="180" t="n">
        <f aca="false">CJ269</f>
        <v>547859.266197067</v>
      </c>
      <c r="CD270" s="180" t="n">
        <f aca="false">IF($G$9=0,0,IF($A270&gt;IN_PRAZO,0,IF(APORTE_CORRIGIDO="Sim",IN_APORTE*$D270,IN_APORTE))+IF(AND($G$35=1,PGBL_REINVESTE="Sim",$A270&gt;=13,$A270&lt;=IN_PRAZO,MONTH($B270)=5),PGBL_BENEFICIO,0))</f>
        <v>0</v>
      </c>
      <c r="CE270" s="180" t="n">
        <f aca="false">CD270*$G$24</f>
        <v>0</v>
      </c>
      <c r="CF270" s="180" t="n">
        <f aca="false">CC270*$G$19</f>
        <v>4469.0115445675</v>
      </c>
      <c r="CG270" s="180" t="n">
        <f aca="false">CC270*$G$22</f>
        <v>456.549388497556</v>
      </c>
      <c r="CH270" s="180" t="n">
        <f aca="false">$G$23*MAX(0,CF270-CC270*$G$18)</f>
        <v>0</v>
      </c>
      <c r="CI270" s="180" t="n">
        <f aca="false">IF(AND($G$27=1,OR(MONTH($B270)=5,MONTH($B270)=11)),MAX(0,$G$28*MAX(0,(CC270+CF270-CG270-CH270+CD270-CE270)+CL269-CK270)-CL269),0)</f>
        <v>0</v>
      </c>
      <c r="CJ270" s="181" t="n">
        <f aca="false">CC270+CF270-CG270-CH270+CD270-CE270-CI270</f>
        <v>551871.728353137</v>
      </c>
      <c r="CK270" s="180" t="n">
        <f aca="false">CK269+CD270-CE270</f>
        <v>150000</v>
      </c>
      <c r="CL270" s="180" t="n">
        <f aca="false">CL269+CI270</f>
        <v>69507.5253917122</v>
      </c>
      <c r="CM270" s="180" t="n">
        <f aca="false">CJ270+CL270-CK270</f>
        <v>471379.253744849</v>
      </c>
      <c r="CN270" s="180" t="n">
        <f aca="false">MAX(0,IFERROR(INDEX(TAB_IR,MATCH($C270,TAB_IR_DIAS,1),MATCH($G$8,TAB_IR_REGIMES,0)),0)*IF($G$26=2,CJ270,MAX(0,CM270))-CL270)</f>
        <v>1199.36267001514</v>
      </c>
      <c r="CO270" s="181" t="n">
        <f aca="false">MAX(0,CJ270-CN270-CJ270*$G$25)</f>
        <v>550672.365683122</v>
      </c>
      <c r="CP270" s="180" t="n">
        <f aca="false">CO270/$D270</f>
        <v>278118.123255988</v>
      </c>
    </row>
    <row r="271" customFormat="false" ht="12" hidden="false" customHeight="true" outlineLevel="0" collapsed="false">
      <c r="A271" s="177" t="n">
        <v>210</v>
      </c>
      <c r="B271" s="178" t="n">
        <f aca="false">EDATE(DATA_INICIO,$A271)</f>
        <v>52650</v>
      </c>
      <c r="C271" s="177" t="n">
        <f aca="false">$A271*30</f>
        <v>6300</v>
      </c>
      <c r="D271" s="179" t="n">
        <f aca="false">(1+IPCA_CENARIO)^($A271/12)</f>
        <v>1.98647652747571</v>
      </c>
      <c r="F271" s="180" t="n">
        <f aca="false">M270</f>
        <v>1043081.36991889</v>
      </c>
      <c r="G271" s="180" t="n">
        <f aca="false">IF($B$9=0,0,IF($A271&gt;IN_PRAZO,0,IF(APORTE_CORRIGIDO="Sim",IN_APORTE*$D271,IN_APORTE))+IF(AND($B$35=1,PGBL_REINVESTE="Sim",$A271&gt;=13,$A271&lt;=IN_PRAZO,MONTH($B271)=5),PGBL_BENEFICIO,0))</f>
        <v>0</v>
      </c>
      <c r="H271" s="180" t="n">
        <f aca="false">G271*$B$24</f>
        <v>0</v>
      </c>
      <c r="I271" s="180" t="n">
        <f aca="false">F271*$B$19</f>
        <v>9897.58313308154</v>
      </c>
      <c r="J271" s="180" t="n">
        <f aca="false">F271*$B$22</f>
        <v>173.846894986481</v>
      </c>
      <c r="K271" s="180" t="n">
        <f aca="false">$B$23*MAX(0,I271-F271*$B$18)</f>
        <v>0</v>
      </c>
      <c r="L271" s="180" t="n">
        <f aca="false">IF(AND($B$27=1,OR(MONTH($B271)=5,MONTH($B271)=11)),MAX(0,$B$28*MAX(0,(F271+I271-J271-K271+G271-H271)+O270-N271)-O270),0)</f>
        <v>0</v>
      </c>
      <c r="M271" s="181" t="n">
        <f aca="false">F271+I271-J271-K271+G271-H271-L271</f>
        <v>1052805.10615698</v>
      </c>
      <c r="N271" s="180" t="n">
        <f aca="false">N270+G271-H271</f>
        <v>150000</v>
      </c>
      <c r="O271" s="180" t="n">
        <f aca="false">O270+L271</f>
        <v>0</v>
      </c>
      <c r="P271" s="180" t="n">
        <f aca="false">M271+O271-N271</f>
        <v>902805.106156983</v>
      </c>
      <c r="Q271" s="180" t="n">
        <f aca="false">MAX(0,IFERROR(INDEX(TAB_IR,MATCH($C271,TAB_IR_DIAS,1),MATCH($B$8,TAB_IR_REGIMES,0)),0)*IF($B$26=2,M271,MAX(0,P271))-O271)</f>
        <v>135420.765923547</v>
      </c>
      <c r="R271" s="181" t="n">
        <f aca="false">MAX(0,M271-Q271-M271*$B$25)</f>
        <v>917384.340233435</v>
      </c>
      <c r="S271" s="180" t="n">
        <f aca="false">R271/$D271</f>
        <v>461814.840268559</v>
      </c>
      <c r="U271" s="180" t="n">
        <f aca="false">AB270</f>
        <v>791575.438819673</v>
      </c>
      <c r="V271" s="180" t="n">
        <f aca="false">IF($C$9=0,0,IF($A271&gt;IN_PRAZO,0,IF(APORTE_CORRIGIDO="Sim",IN_APORTE*$D271,IN_APORTE))+IF(AND($C$35=1,PGBL_REINVESTE="Sim",$A271&gt;=13,$A271&lt;=IN_PRAZO,MONTH($B271)=5),PGBL_BENEFICIO,0))</f>
        <v>0</v>
      </c>
      <c r="W271" s="180" t="n">
        <f aca="false">V271*$C$24</f>
        <v>0</v>
      </c>
      <c r="X271" s="180" t="n">
        <f aca="false">U271*$C$19</f>
        <v>6457.05930838219</v>
      </c>
      <c r="Y271" s="180" t="n">
        <f aca="false">U271*$C$22</f>
        <v>131.929239803279</v>
      </c>
      <c r="Z271" s="180" t="n">
        <f aca="false">$C$23*MAX(0,X271-U271*$C$18)</f>
        <v>0</v>
      </c>
      <c r="AA271" s="180" t="n">
        <f aca="false">IF(AND($C$27=1,OR(MONTH($B271)=5,MONTH($B271)=11)),MAX(0,$C$28*MAX(0,(U271+X271-Y271-Z271+V271-W271)+AD270-AC271)-AD270),0)</f>
        <v>0</v>
      </c>
      <c r="AB271" s="181" t="n">
        <f aca="false">U271+X271-Y271-Z271+V271-W271-AA271</f>
        <v>797900.568888252</v>
      </c>
      <c r="AC271" s="180" t="n">
        <f aca="false">AC270+V271-W271</f>
        <v>150000</v>
      </c>
      <c r="AD271" s="180" t="n">
        <f aca="false">AD270+AA271</f>
        <v>0</v>
      </c>
      <c r="AE271" s="180" t="n">
        <f aca="false">AB271+AD271-AC271</f>
        <v>647900.568888252</v>
      </c>
      <c r="AF271" s="180" t="n">
        <f aca="false">MAX(0,IFERROR(INDEX(TAB_IR,MATCH($C271,TAB_IR_DIAS,1),MATCH($C$8,TAB_IR_REGIMES,0)),0)*IF($C$26=2,AB271,MAX(0,AE271))-AD271)</f>
        <v>97185.0853332378</v>
      </c>
      <c r="AG271" s="181" t="n">
        <f aca="false">MAX(0,AB271-AF271-AB271*$C$25)</f>
        <v>700715.483555014</v>
      </c>
      <c r="AH271" s="180" t="n">
        <f aca="false">AG271/$D271</f>
        <v>352742.896210025</v>
      </c>
      <c r="AJ271" s="180" t="n">
        <f aca="false">AQ270</f>
        <v>639779.526612066</v>
      </c>
      <c r="AK271" s="180" t="n">
        <f aca="false">IF($D$9=0,0,IF($A271&gt;IN_PRAZO,0,IF(APORTE_CORRIGIDO="Sim",IN_APORTE*$D271,IN_APORTE))+IF(AND($D$35=1,PGBL_REINVESTE="Sim",$A271&gt;=13,$A271&lt;=IN_PRAZO,MONTH($B271)=5),PGBL_BENEFICIO,0))</f>
        <v>0</v>
      </c>
      <c r="AL271" s="180" t="n">
        <f aca="false">AK271*$D$24</f>
        <v>0</v>
      </c>
      <c r="AM271" s="180" t="n">
        <f aca="false">AJ271*$D$19</f>
        <v>5750.78434321786</v>
      </c>
      <c r="AN271" s="180" t="n">
        <f aca="false">AJ271*$D$22</f>
        <v>533.149605510055</v>
      </c>
      <c r="AO271" s="180" t="n">
        <f aca="false">$D$23*MAX(0,AM271-AJ271*$D$18)</f>
        <v>0</v>
      </c>
      <c r="AP271" s="180" t="n">
        <f aca="false">IF(AND($D$27=1,OR(MONTH($B271)=5,MONTH($B271)=11)),MAX(0,$D$28*MAX(0,(AJ271+AM271-AN271-AO271+AK271-AL271)+AS270-AR271)-AS270),0)</f>
        <v>0</v>
      </c>
      <c r="AQ271" s="181" t="n">
        <f aca="false">AJ271+AM271-AN271-AO271+AK271-AL271-AP271</f>
        <v>644997.161349773</v>
      </c>
      <c r="AR271" s="180" t="n">
        <f aca="false">AR270+AK271-AL271</f>
        <v>150000</v>
      </c>
      <c r="AS271" s="180" t="n">
        <f aca="false">AS270+AP271</f>
        <v>84612.4479138443</v>
      </c>
      <c r="AT271" s="180" t="n">
        <f aca="false">AQ271+AS271-AR271</f>
        <v>579609.609263618</v>
      </c>
      <c r="AU271" s="180" t="n">
        <f aca="false">MAX(0,IFERROR(INDEX(TAB_IR,MATCH($C271,TAB_IR_DIAS,1),MATCH($D$8,TAB_IR_REGIMES,0)),0)*IF($D$26=2,AQ271,MAX(0,AT271))-AS271)</f>
        <v>2328.9934756983</v>
      </c>
      <c r="AV271" s="181" t="n">
        <f aca="false">MAX(0,AQ271-AU271-AQ271*$D$25)</f>
        <v>642668.167874075</v>
      </c>
      <c r="AW271" s="180" t="n">
        <f aca="false">AV271/$D271</f>
        <v>323521.652023112</v>
      </c>
      <c r="AY271" s="180" t="n">
        <f aca="false">BF270</f>
        <v>886833.324324162</v>
      </c>
      <c r="AZ271" s="180" t="n">
        <f aca="false">IF($E$9=0,0,IF($A271&gt;IN_PRAZO,0,IF(APORTE_CORRIGIDO="Sim",IN_APORTE*$D271,IN_APORTE))+IF(AND($E$35=1,PGBL_REINVESTE="Sim",$A271&gt;=13,$A271&lt;=IN_PRAZO,MONTH($B271)=5),PGBL_BENEFICIO,0))</f>
        <v>0</v>
      </c>
      <c r="BA271" s="180" t="n">
        <f aca="false">AZ271*$E$24</f>
        <v>0</v>
      </c>
      <c r="BB271" s="180" t="n">
        <f aca="false">AY271*$E$19</f>
        <v>8680.98557990666</v>
      </c>
      <c r="BC271" s="180" t="n">
        <f aca="false">AY271*$E$22</f>
        <v>1108.5416554052</v>
      </c>
      <c r="BD271" s="180" t="n">
        <f aca="false">$E$23*MAX(0,BB271-AY271*$E$18)</f>
        <v>0</v>
      </c>
      <c r="BE271" s="180" t="n">
        <f aca="false">IF(AND($E$27=1,OR(MONTH($B271)=5,MONTH($B271)=11)),MAX(0,$E$28*MAX(0,(AY271+BB271-BC271-BD271+AZ271-BA271)+BH270-BG271)-BH270),0)</f>
        <v>0</v>
      </c>
      <c r="BF271" s="181" t="n">
        <f aca="false">AY271+BB271-BC271-BD271+AZ271-BA271-BE271</f>
        <v>894405.768248663</v>
      </c>
      <c r="BG271" s="180" t="n">
        <f aca="false">BG270+AZ271-BA271</f>
        <v>150000</v>
      </c>
      <c r="BH271" s="180" t="n">
        <f aca="false">BH270+BE271</f>
        <v>0</v>
      </c>
      <c r="BI271" s="180" t="n">
        <f aca="false">BF271+BH271-BG271</f>
        <v>744405.768248663</v>
      </c>
      <c r="BJ271" s="180" t="n">
        <f aca="false">MAX(0,IFERROR(INDEX(TAB_IR,MATCH($C271,TAB_IR_DIAS,1),MATCH($E$8,TAB_IR_REGIMES,0)),0)*IF($E$26=2,BF271,MAX(0,BI271))-BH271)</f>
        <v>74440.5768248663</v>
      </c>
      <c r="BK271" s="181" t="n">
        <f aca="false">MAX(0,BF271-BJ271-BF271*$E$25)</f>
        <v>819965.191423797</v>
      </c>
      <c r="BL271" s="180" t="n">
        <f aca="false">BK271/$D271</f>
        <v>412773.662352688</v>
      </c>
      <c r="BN271" s="180" t="n">
        <f aca="false">BU270</f>
        <v>886833.324324162</v>
      </c>
      <c r="BO271" s="180" t="n">
        <f aca="false">IF($F$9=0,0,IF($A271&gt;IN_PRAZO,0,IF(APORTE_CORRIGIDO="Sim",IN_APORTE*$D271,IN_APORTE))+IF(AND($F$35=1,PGBL_REINVESTE="Sim",$A271&gt;=13,$A271&lt;=IN_PRAZO,MONTH($B271)=5),PGBL_BENEFICIO,0))</f>
        <v>0</v>
      </c>
      <c r="BP271" s="180" t="n">
        <f aca="false">BO271*$F$24</f>
        <v>0</v>
      </c>
      <c r="BQ271" s="180" t="n">
        <f aca="false">BN271*$F$19</f>
        <v>8680.98557990666</v>
      </c>
      <c r="BR271" s="180" t="n">
        <f aca="false">BN271*$F$22</f>
        <v>1108.5416554052</v>
      </c>
      <c r="BS271" s="180" t="n">
        <f aca="false">$F$23*MAX(0,BQ271-BN271*$F$18)</f>
        <v>0</v>
      </c>
      <c r="BT271" s="180" t="n">
        <f aca="false">IF(AND($F$27=1,OR(MONTH($B271)=5,MONTH($B271)=11)),MAX(0,$F$28*MAX(0,(BN271+BQ271-BR271-BS271+BO271-BP271)+BW270-BV271)-BW270),0)</f>
        <v>0</v>
      </c>
      <c r="BU271" s="181" t="n">
        <f aca="false">BN271+BQ271-BR271-BS271+BO271-BP271-BT271</f>
        <v>894405.768248663</v>
      </c>
      <c r="BV271" s="180" t="n">
        <f aca="false">BV270+BO271-BP271</f>
        <v>150000</v>
      </c>
      <c r="BW271" s="180" t="n">
        <f aca="false">BW270+BT271</f>
        <v>0</v>
      </c>
      <c r="BX271" s="180" t="n">
        <f aca="false">BU271+BW271-BV271</f>
        <v>744405.768248663</v>
      </c>
      <c r="BY271" s="180" t="n">
        <f aca="false">MAX(0,IFERROR(INDEX(TAB_IR,MATCH($C271,TAB_IR_DIAS,1),MATCH($F$8,TAB_IR_REGIMES,0)),0)*IF($F$26=2,BU271,MAX(0,BX271))-BW271)</f>
        <v>89440.5768248663</v>
      </c>
      <c r="BZ271" s="181" t="n">
        <f aca="false">MAX(0,BU271-BY271-BU271*$F$25)</f>
        <v>804965.191423797</v>
      </c>
      <c r="CA271" s="180" t="n">
        <f aca="false">BZ271/$D271</f>
        <v>405222.604088203</v>
      </c>
      <c r="CC271" s="180" t="n">
        <f aca="false">CJ270</f>
        <v>551871.728353137</v>
      </c>
      <c r="CD271" s="180" t="n">
        <f aca="false">IF($G$9=0,0,IF($A271&gt;IN_PRAZO,0,IF(APORTE_CORRIGIDO="Sim",IN_APORTE*$D271,IN_APORTE))+IF(AND($G$35=1,PGBL_REINVESTE="Sim",$A271&gt;=13,$A271&lt;=IN_PRAZO,MONTH($B271)=5),PGBL_BENEFICIO,0))</f>
        <v>0</v>
      </c>
      <c r="CE271" s="180" t="n">
        <f aca="false">CD271*$G$24</f>
        <v>0</v>
      </c>
      <c r="CF271" s="180" t="n">
        <f aca="false">CC271*$G$19</f>
        <v>4501.74210294993</v>
      </c>
      <c r="CG271" s="180" t="n">
        <f aca="false">CC271*$G$22</f>
        <v>459.893106960947</v>
      </c>
      <c r="CH271" s="180" t="n">
        <f aca="false">$G$23*MAX(0,CF271-CC271*$G$18)</f>
        <v>0</v>
      </c>
      <c r="CI271" s="180" t="n">
        <f aca="false">IF(AND($G$27=1,OR(MONTH($B271)=5,MONTH($B271)=11)),MAX(0,$G$28*MAX(0,(CC271+CF271-CG271-CH271+CD271-CE271)+CL270-CK271)-CL270),0)</f>
        <v>0</v>
      </c>
      <c r="CJ271" s="181" t="n">
        <f aca="false">CC271+CF271-CG271-CH271+CD271-CE271-CI271</f>
        <v>555913.577349126</v>
      </c>
      <c r="CK271" s="180" t="n">
        <f aca="false">CK270+CD271-CE271</f>
        <v>150000</v>
      </c>
      <c r="CL271" s="180" t="n">
        <f aca="false">CL270+CI271</f>
        <v>69507.5253917122</v>
      </c>
      <c r="CM271" s="180" t="n">
        <f aca="false">CJ271+CL271-CK271</f>
        <v>475421.102740838</v>
      </c>
      <c r="CN271" s="180" t="n">
        <f aca="false">MAX(0,IFERROR(INDEX(TAB_IR,MATCH($C271,TAB_IR_DIAS,1),MATCH($G$8,TAB_IR_REGIMES,0)),0)*IF($G$26=2,CJ271,MAX(0,CM271))-CL271)</f>
        <v>1805.64001941349</v>
      </c>
      <c r="CO271" s="181" t="n">
        <f aca="false">MAX(0,CJ271-CN271-CJ271*$G$25)</f>
        <v>554107.937329712</v>
      </c>
      <c r="CP271" s="180" t="n">
        <f aca="false">CO271/$D271</f>
        <v>278940.087972667</v>
      </c>
    </row>
    <row r="272" customFormat="false" ht="12" hidden="false" customHeight="true" outlineLevel="0" collapsed="false">
      <c r="A272" s="177" t="n">
        <v>211</v>
      </c>
      <c r="B272" s="178" t="n">
        <f aca="false">EDATE(DATA_INICIO,$A272)</f>
        <v>52679</v>
      </c>
      <c r="C272" s="177" t="n">
        <f aca="false">$A272*30</f>
        <v>6330</v>
      </c>
      <c r="D272" s="179" t="n">
        <f aca="false">(1+IPCA_CENARIO)^($A272/12)</f>
        <v>1.99297973471011</v>
      </c>
      <c r="F272" s="180" t="n">
        <f aca="false">M271</f>
        <v>1052805.10615698</v>
      </c>
      <c r="G272" s="180" t="n">
        <f aca="false">IF($B$9=0,0,IF($A272&gt;IN_PRAZO,0,IF(APORTE_CORRIGIDO="Sim",IN_APORTE*$D272,IN_APORTE))+IF(AND($B$35=1,PGBL_REINVESTE="Sim",$A272&gt;=13,$A272&lt;=IN_PRAZO,MONTH($B272)=5),PGBL_BENEFICIO,0))</f>
        <v>0</v>
      </c>
      <c r="H272" s="180" t="n">
        <f aca="false">G272*$B$24</f>
        <v>0</v>
      </c>
      <c r="I272" s="180" t="n">
        <f aca="false">F272*$B$19</f>
        <v>9989.84965279533</v>
      </c>
      <c r="J272" s="180" t="n">
        <f aca="false">F272*$B$22</f>
        <v>175.46751769283</v>
      </c>
      <c r="K272" s="180" t="n">
        <f aca="false">$B$23*MAX(0,I272-F272*$B$18)</f>
        <v>0</v>
      </c>
      <c r="L272" s="180" t="n">
        <f aca="false">IF(AND($B$27=1,OR(MONTH($B272)=5,MONTH($B272)=11)),MAX(0,$B$28*MAX(0,(F272+I272-J272-K272+G272-H272)+O271-N272)-O271),0)</f>
        <v>0</v>
      </c>
      <c r="M272" s="181" t="n">
        <f aca="false">F272+I272-J272-K272+G272-H272-L272</f>
        <v>1062619.48829209</v>
      </c>
      <c r="N272" s="180" t="n">
        <f aca="false">N271+G272-H272</f>
        <v>150000</v>
      </c>
      <c r="O272" s="180" t="n">
        <f aca="false">O271+L272</f>
        <v>0</v>
      </c>
      <c r="P272" s="180" t="n">
        <f aca="false">M272+O272-N272</f>
        <v>912619.488292085</v>
      </c>
      <c r="Q272" s="180" t="n">
        <f aca="false">MAX(0,IFERROR(INDEX(TAB_IR,MATCH($C272,TAB_IR_DIAS,1),MATCH($B$8,TAB_IR_REGIMES,0)),0)*IF($B$26=2,M272,MAX(0,P272))-O272)</f>
        <v>136892.923243813</v>
      </c>
      <c r="R272" s="181" t="n">
        <f aca="false">MAX(0,M272-Q272-M272*$B$25)</f>
        <v>925726.565048272</v>
      </c>
      <c r="S272" s="180" t="n">
        <f aca="false">R272/$D272</f>
        <v>464493.717083844</v>
      </c>
      <c r="U272" s="180" t="n">
        <f aca="false">AB271</f>
        <v>797900.568888252</v>
      </c>
      <c r="V272" s="180" t="n">
        <f aca="false">IF($C$9=0,0,IF($A272&gt;IN_PRAZO,0,IF(APORTE_CORRIGIDO="Sim",IN_APORTE*$D272,IN_APORTE))+IF(AND($C$35=1,PGBL_REINVESTE="Sim",$A272&gt;=13,$A272&lt;=IN_PRAZO,MONTH($B272)=5),PGBL_BENEFICIO,0))</f>
        <v>0</v>
      </c>
      <c r="W272" s="180" t="n">
        <f aca="false">V272*$C$24</f>
        <v>0</v>
      </c>
      <c r="X272" s="180" t="n">
        <f aca="false">U272*$C$19</f>
        <v>6508.65482029821</v>
      </c>
      <c r="Y272" s="180" t="n">
        <f aca="false">U272*$C$22</f>
        <v>132.983428148042</v>
      </c>
      <c r="Z272" s="180" t="n">
        <f aca="false">$C$23*MAX(0,X272-U272*$C$18)</f>
        <v>0</v>
      </c>
      <c r="AA272" s="180" t="n">
        <f aca="false">IF(AND($C$27=1,OR(MONTH($B272)=5,MONTH($B272)=11)),MAX(0,$C$28*MAX(0,(U272+X272-Y272-Z272+V272-W272)+AD271-AC272)-AD271),0)</f>
        <v>0</v>
      </c>
      <c r="AB272" s="181" t="n">
        <f aca="false">U272+X272-Y272-Z272+V272-W272-AA272</f>
        <v>804276.240280402</v>
      </c>
      <c r="AC272" s="180" t="n">
        <f aca="false">AC271+V272-W272</f>
        <v>150000</v>
      </c>
      <c r="AD272" s="180" t="n">
        <f aca="false">AD271+AA272</f>
        <v>0</v>
      </c>
      <c r="AE272" s="180" t="n">
        <f aca="false">AB272+AD272-AC272</f>
        <v>654276.240280402</v>
      </c>
      <c r="AF272" s="180" t="n">
        <f aca="false">MAX(0,IFERROR(INDEX(TAB_IR,MATCH($C272,TAB_IR_DIAS,1),MATCH($C$8,TAB_IR_REGIMES,0)),0)*IF($C$26=2,AB272,MAX(0,AE272))-AD272)</f>
        <v>98141.4360420603</v>
      </c>
      <c r="AG272" s="181" t="n">
        <f aca="false">MAX(0,AB272-AF272-AB272*$C$25)</f>
        <v>706134.804238342</v>
      </c>
      <c r="AH272" s="180" t="n">
        <f aca="false">AG272/$D272</f>
        <v>354311.081011094</v>
      </c>
      <c r="AJ272" s="180" t="n">
        <f aca="false">AQ271</f>
        <v>644997.161349773</v>
      </c>
      <c r="AK272" s="180" t="n">
        <f aca="false">IF($D$9=0,0,IF($A272&gt;IN_PRAZO,0,IF(APORTE_CORRIGIDO="Sim",IN_APORTE*$D272,IN_APORTE))+IF(AND($D$35=1,PGBL_REINVESTE="Sim",$A272&gt;=13,$A272&lt;=IN_PRAZO,MONTH($B272)=5),PGBL_BENEFICIO,0))</f>
        <v>0</v>
      </c>
      <c r="AL272" s="180" t="n">
        <f aca="false">AK272*$D$24</f>
        <v>0</v>
      </c>
      <c r="AM272" s="180" t="n">
        <f aca="false">AJ272*$D$19</f>
        <v>5797.6840811903</v>
      </c>
      <c r="AN272" s="180" t="n">
        <f aca="false">AJ272*$D$22</f>
        <v>537.497634458145</v>
      </c>
      <c r="AO272" s="180" t="n">
        <f aca="false">$D$23*MAX(0,AM272-AJ272*$D$18)</f>
        <v>0</v>
      </c>
      <c r="AP272" s="180" t="n">
        <f aca="false">IF(AND($D$27=1,OR(MONTH($B272)=5,MONTH($B272)=11)),MAX(0,$D$28*MAX(0,(AJ272+AM272-AN272-AO272+AK272-AL272)+AS271-AR272)-AS271),0)</f>
        <v>0</v>
      </c>
      <c r="AQ272" s="181" t="n">
        <f aca="false">AJ272+AM272-AN272-AO272+AK272-AL272-AP272</f>
        <v>650257.347796505</v>
      </c>
      <c r="AR272" s="180" t="n">
        <f aca="false">AR271+AK272-AL272</f>
        <v>150000</v>
      </c>
      <c r="AS272" s="180" t="n">
        <f aca="false">AS271+AP272</f>
        <v>84612.4479138443</v>
      </c>
      <c r="AT272" s="180" t="n">
        <f aca="false">AQ272+AS272-AR272</f>
        <v>584869.79571035</v>
      </c>
      <c r="AU272" s="180" t="n">
        <f aca="false">MAX(0,IFERROR(INDEX(TAB_IR,MATCH($C272,TAB_IR_DIAS,1),MATCH($D$8,TAB_IR_REGIMES,0)),0)*IF($D$26=2,AQ272,MAX(0,AT272))-AS272)</f>
        <v>3118.02144270812</v>
      </c>
      <c r="AV272" s="181" t="n">
        <f aca="false">MAX(0,AQ272-AU272-AQ272*$D$25)</f>
        <v>647139.326353797</v>
      </c>
      <c r="AW272" s="180" t="n">
        <f aca="false">AV272/$D272</f>
        <v>324709.436369622</v>
      </c>
      <c r="AY272" s="180" t="n">
        <f aca="false">BF271</f>
        <v>894405.768248663</v>
      </c>
      <c r="AZ272" s="180" t="n">
        <f aca="false">IF($E$9=0,0,IF($A272&gt;IN_PRAZO,0,IF(APORTE_CORRIGIDO="Sim",IN_APORTE*$D272,IN_APORTE))+IF(AND($E$35=1,PGBL_REINVESTE="Sim",$A272&gt;=13,$A272&lt;=IN_PRAZO,MONTH($B272)=5),PGBL_BENEFICIO,0))</f>
        <v>0</v>
      </c>
      <c r="BA272" s="180" t="n">
        <f aca="false">AZ272*$E$24</f>
        <v>0</v>
      </c>
      <c r="BB272" s="180" t="n">
        <f aca="false">AY272*$E$19</f>
        <v>8755.11030516249</v>
      </c>
      <c r="BC272" s="180" t="n">
        <f aca="false">AY272*$E$22</f>
        <v>1118.00721031083</v>
      </c>
      <c r="BD272" s="180" t="n">
        <f aca="false">$E$23*MAX(0,BB272-AY272*$E$18)</f>
        <v>0</v>
      </c>
      <c r="BE272" s="180" t="n">
        <f aca="false">IF(AND($E$27=1,OR(MONTH($B272)=5,MONTH($B272)=11)),MAX(0,$E$28*MAX(0,(AY272+BB272-BC272-BD272+AZ272-BA272)+BH271-BG272)-BH271),0)</f>
        <v>0</v>
      </c>
      <c r="BF272" s="181" t="n">
        <f aca="false">AY272+BB272-BC272-BD272+AZ272-BA272-BE272</f>
        <v>902042.871343515</v>
      </c>
      <c r="BG272" s="180" t="n">
        <f aca="false">BG271+AZ272-BA272</f>
        <v>150000</v>
      </c>
      <c r="BH272" s="180" t="n">
        <f aca="false">BH271+BE272</f>
        <v>0</v>
      </c>
      <c r="BI272" s="180" t="n">
        <f aca="false">BF272+BH272-BG272</f>
        <v>752042.871343515</v>
      </c>
      <c r="BJ272" s="180" t="n">
        <f aca="false">MAX(0,IFERROR(INDEX(TAB_IR,MATCH($C272,TAB_IR_DIAS,1),MATCH($E$8,TAB_IR_REGIMES,0)),0)*IF($E$26=2,BF272,MAX(0,BI272))-BH272)</f>
        <v>75204.2871343515</v>
      </c>
      <c r="BK272" s="181" t="n">
        <f aca="false">MAX(0,BF272-BJ272-BF272*$E$25)</f>
        <v>826838.584209163</v>
      </c>
      <c r="BL272" s="180" t="n">
        <f aca="false">BK272/$D272</f>
        <v>414875.560352565</v>
      </c>
      <c r="BN272" s="180" t="n">
        <f aca="false">BU271</f>
        <v>894405.768248663</v>
      </c>
      <c r="BO272" s="180" t="n">
        <f aca="false">IF($F$9=0,0,IF($A272&gt;IN_PRAZO,0,IF(APORTE_CORRIGIDO="Sim",IN_APORTE*$D272,IN_APORTE))+IF(AND($F$35=1,PGBL_REINVESTE="Sim",$A272&gt;=13,$A272&lt;=IN_PRAZO,MONTH($B272)=5),PGBL_BENEFICIO,0))</f>
        <v>0</v>
      </c>
      <c r="BP272" s="180" t="n">
        <f aca="false">BO272*$F$24</f>
        <v>0</v>
      </c>
      <c r="BQ272" s="180" t="n">
        <f aca="false">BN272*$F$19</f>
        <v>8755.11030516249</v>
      </c>
      <c r="BR272" s="180" t="n">
        <f aca="false">BN272*$F$22</f>
        <v>1118.00721031083</v>
      </c>
      <c r="BS272" s="180" t="n">
        <f aca="false">$F$23*MAX(0,BQ272-BN272*$F$18)</f>
        <v>0</v>
      </c>
      <c r="BT272" s="180" t="n">
        <f aca="false">IF(AND($F$27=1,OR(MONTH($B272)=5,MONTH($B272)=11)),MAX(0,$F$28*MAX(0,(BN272+BQ272-BR272-BS272+BO272-BP272)+BW271-BV272)-BW271),0)</f>
        <v>0</v>
      </c>
      <c r="BU272" s="181" t="n">
        <f aca="false">BN272+BQ272-BR272-BS272+BO272-BP272-BT272</f>
        <v>902042.871343515</v>
      </c>
      <c r="BV272" s="180" t="n">
        <f aca="false">BV271+BO272-BP272</f>
        <v>150000</v>
      </c>
      <c r="BW272" s="180" t="n">
        <f aca="false">BW271+BT272</f>
        <v>0</v>
      </c>
      <c r="BX272" s="180" t="n">
        <f aca="false">BU272+BW272-BV272</f>
        <v>752042.871343515</v>
      </c>
      <c r="BY272" s="180" t="n">
        <f aca="false">MAX(0,IFERROR(INDEX(TAB_IR,MATCH($C272,TAB_IR_DIAS,1),MATCH($F$8,TAB_IR_REGIMES,0)),0)*IF($F$26=2,BU272,MAX(0,BX272))-BW272)</f>
        <v>90204.2871343515</v>
      </c>
      <c r="BZ272" s="181" t="n">
        <f aca="false">MAX(0,BU272-BY272-BU272*$F$25)</f>
        <v>811838.584209163</v>
      </c>
      <c r="CA272" s="180" t="n">
        <f aca="false">BZ272/$D272</f>
        <v>407349.141624488</v>
      </c>
      <c r="CC272" s="180" t="n">
        <f aca="false">CJ271</f>
        <v>555913.577349126</v>
      </c>
      <c r="CD272" s="180" t="n">
        <f aca="false">IF($G$9=0,0,IF($A272&gt;IN_PRAZO,0,IF(APORTE_CORRIGIDO="Sim",IN_APORTE*$D272,IN_APORTE))+IF(AND($G$35=1,PGBL_REINVESTE="Sim",$A272&gt;=13,$A272&lt;=IN_PRAZO,MONTH($B272)=5),PGBL_BENEFICIO,0))</f>
        <v>0</v>
      </c>
      <c r="CE272" s="180" t="n">
        <f aca="false">CD272*$G$24</f>
        <v>0</v>
      </c>
      <c r="CF272" s="180" t="n">
        <f aca="false">CC272*$G$19</f>
        <v>4534.71237641059</v>
      </c>
      <c r="CG272" s="180" t="n">
        <f aca="false">CC272*$G$22</f>
        <v>463.261314457605</v>
      </c>
      <c r="CH272" s="180" t="n">
        <f aca="false">$G$23*MAX(0,CF272-CC272*$G$18)</f>
        <v>0</v>
      </c>
      <c r="CI272" s="180" t="n">
        <f aca="false">IF(AND($G$27=1,OR(MONTH($B272)=5,MONTH($B272)=11)),MAX(0,$G$28*MAX(0,(CC272+CF272-CG272-CH272+CD272-CE272)+CL271-CK272)-CL271),0)</f>
        <v>0</v>
      </c>
      <c r="CJ272" s="181" t="n">
        <f aca="false">CC272+CF272-CG272-CH272+CD272-CE272-CI272</f>
        <v>559985.028411079</v>
      </c>
      <c r="CK272" s="180" t="n">
        <f aca="false">CK271+CD272-CE272</f>
        <v>150000</v>
      </c>
      <c r="CL272" s="180" t="n">
        <f aca="false">CL271+CI272</f>
        <v>69507.5253917122</v>
      </c>
      <c r="CM272" s="180" t="n">
        <f aca="false">CJ272+CL272-CK272</f>
        <v>479492.553802791</v>
      </c>
      <c r="CN272" s="180" t="n">
        <f aca="false">MAX(0,IFERROR(INDEX(TAB_IR,MATCH($C272,TAB_IR_DIAS,1),MATCH($G$8,TAB_IR_REGIMES,0)),0)*IF($G$26=2,CJ272,MAX(0,CM272))-CL272)</f>
        <v>2416.35767870644</v>
      </c>
      <c r="CO272" s="181" t="n">
        <f aca="false">MAX(0,CJ272-CN272-CJ272*$G$25)</f>
        <v>557568.670732372</v>
      </c>
      <c r="CP272" s="180" t="n">
        <f aca="false">CO272/$D272</f>
        <v>279766.352372607</v>
      </c>
    </row>
    <row r="273" customFormat="false" ht="12" hidden="false" customHeight="true" outlineLevel="0" collapsed="false">
      <c r="A273" s="177" t="n">
        <v>212</v>
      </c>
      <c r="B273" s="178" t="n">
        <f aca="false">EDATE(DATA_INICIO,$A273)</f>
        <v>52710</v>
      </c>
      <c r="C273" s="177" t="n">
        <f aca="false">$A273*30</f>
        <v>6360</v>
      </c>
      <c r="D273" s="179" t="n">
        <f aca="false">(1+IPCA_CENARIO)^($A273/12)</f>
        <v>1.99950423175275</v>
      </c>
      <c r="F273" s="180" t="n">
        <f aca="false">M272</f>
        <v>1062619.48829209</v>
      </c>
      <c r="G273" s="180" t="n">
        <f aca="false">IF($B$9=0,0,IF($A273&gt;IN_PRAZO,0,IF(APORTE_CORRIGIDO="Sim",IN_APORTE*$D273,IN_APORTE))+IF(AND($B$35=1,PGBL_REINVESTE="Sim",$A273&gt;=13,$A273&lt;=IN_PRAZO,MONTH($B273)=5),PGBL_BENEFICIO,0))</f>
        <v>0</v>
      </c>
      <c r="H273" s="180" t="n">
        <f aca="false">G273*$B$24</f>
        <v>0</v>
      </c>
      <c r="I273" s="180" t="n">
        <f aca="false">F273*$B$19</f>
        <v>10082.9762926562</v>
      </c>
      <c r="J273" s="180" t="n">
        <f aca="false">F273*$B$22</f>
        <v>177.103248048681</v>
      </c>
      <c r="K273" s="180" t="n">
        <f aca="false">$B$23*MAX(0,I273-F273*$B$18)</f>
        <v>0</v>
      </c>
      <c r="L273" s="180" t="n">
        <f aca="false">IF(AND($B$27=1,OR(MONTH($B273)=5,MONTH($B273)=11)),MAX(0,$B$28*MAX(0,(F273+I273-J273-K273+G273-H273)+O272-N273)-O272),0)</f>
        <v>0</v>
      </c>
      <c r="M273" s="181" t="n">
        <f aca="false">F273+I273-J273-K273+G273-H273-L273</f>
        <v>1072525.36133669</v>
      </c>
      <c r="N273" s="180" t="n">
        <f aca="false">N272+G273-H273</f>
        <v>150000</v>
      </c>
      <c r="O273" s="180" t="n">
        <f aca="false">O272+L273</f>
        <v>0</v>
      </c>
      <c r="P273" s="180" t="n">
        <f aca="false">M273+O273-N273</f>
        <v>922525.361336693</v>
      </c>
      <c r="Q273" s="180" t="n">
        <f aca="false">MAX(0,IFERROR(INDEX(TAB_IR,MATCH($C273,TAB_IR_DIAS,1),MATCH($B$8,TAB_IR_REGIMES,0)),0)*IF($B$26=2,M273,MAX(0,P273))-O273)</f>
        <v>138378.804200504</v>
      </c>
      <c r="R273" s="181" t="n">
        <f aca="false">MAX(0,M273-Q273-M273*$B$25)</f>
        <v>934146.557136189</v>
      </c>
      <c r="S273" s="180" t="n">
        <f aca="false">R273/$D273</f>
        <v>467189.087325575</v>
      </c>
      <c r="U273" s="180" t="n">
        <f aca="false">AB272</f>
        <v>804276.240280402</v>
      </c>
      <c r="V273" s="180" t="n">
        <f aca="false">IF($C$9=0,0,IF($A273&gt;IN_PRAZO,0,IF(APORTE_CORRIGIDO="Sim",IN_APORTE*$D273,IN_APORTE))+IF(AND($C$35=1,PGBL_REINVESTE="Sim",$A273&gt;=13,$A273&lt;=IN_PRAZO,MONTH($B273)=5),PGBL_BENEFICIO,0))</f>
        <v>0</v>
      </c>
      <c r="W273" s="180" t="n">
        <f aca="false">V273*$C$24</f>
        <v>0</v>
      </c>
      <c r="X273" s="180" t="n">
        <f aca="false">U273*$C$19</f>
        <v>6560.6626091847</v>
      </c>
      <c r="Y273" s="180" t="n">
        <f aca="false">U273*$C$22</f>
        <v>134.046040046734</v>
      </c>
      <c r="Z273" s="180" t="n">
        <f aca="false">$C$23*MAX(0,X273-U273*$C$18)</f>
        <v>0</v>
      </c>
      <c r="AA273" s="180" t="n">
        <f aca="false">IF(AND($C$27=1,OR(MONTH($B273)=5,MONTH($B273)=11)),MAX(0,$C$28*MAX(0,(U273+X273-Y273-Z273+V273-W273)+AD272-AC273)-AD272),0)</f>
        <v>0</v>
      </c>
      <c r="AB273" s="181" t="n">
        <f aca="false">U273+X273-Y273-Z273+V273-W273-AA273</f>
        <v>810702.85684954</v>
      </c>
      <c r="AC273" s="180" t="n">
        <f aca="false">AC272+V273-W273</f>
        <v>150000</v>
      </c>
      <c r="AD273" s="180" t="n">
        <f aca="false">AD272+AA273</f>
        <v>0</v>
      </c>
      <c r="AE273" s="180" t="n">
        <f aca="false">AB273+AD273-AC273</f>
        <v>660702.85684954</v>
      </c>
      <c r="AF273" s="180" t="n">
        <f aca="false">MAX(0,IFERROR(INDEX(TAB_IR,MATCH($C273,TAB_IR_DIAS,1),MATCH($C$8,TAB_IR_REGIMES,0)),0)*IF($C$26=2,AB273,MAX(0,AE273))-AD273)</f>
        <v>99105.428527431</v>
      </c>
      <c r="AG273" s="181" t="n">
        <f aca="false">MAX(0,AB273-AF273-AB273*$C$25)</f>
        <v>711597.428322109</v>
      </c>
      <c r="AH273" s="180" t="n">
        <f aca="false">AG273/$D273</f>
        <v>355886.932881522</v>
      </c>
      <c r="AJ273" s="180" t="n">
        <f aca="false">AQ272</f>
        <v>650257.347796505</v>
      </c>
      <c r="AK273" s="180" t="n">
        <f aca="false">IF($D$9=0,0,IF($A273&gt;IN_PRAZO,0,IF(APORTE_CORRIGIDO="Sim",IN_APORTE*$D273,IN_APORTE))+IF(AND($D$35=1,PGBL_REINVESTE="Sim",$A273&gt;=13,$A273&lt;=IN_PRAZO,MONTH($B273)=5),PGBL_BENEFICIO,0))</f>
        <v>0</v>
      </c>
      <c r="AL273" s="180" t="n">
        <f aca="false">AK273*$D$24</f>
        <v>0</v>
      </c>
      <c r="AM273" s="180" t="n">
        <f aca="false">AJ273*$D$19</f>
        <v>5844.96630358411</v>
      </c>
      <c r="AN273" s="180" t="n">
        <f aca="false">AJ273*$D$22</f>
        <v>541.881123163755</v>
      </c>
      <c r="AO273" s="180" t="n">
        <f aca="false">$D$23*MAX(0,AM273-AJ273*$D$18)</f>
        <v>0</v>
      </c>
      <c r="AP273" s="180" t="n">
        <f aca="false">IF(AND($D$27=1,OR(MONTH($B273)=5,MONTH($B273)=11)),MAX(0,$D$28*MAX(0,(AJ273+AM273-AN273-AO273+AK273-AL273)+AS272-AR273)-AS272),0)</f>
        <v>0</v>
      </c>
      <c r="AQ273" s="181" t="n">
        <f aca="false">AJ273+AM273-AN273-AO273+AK273-AL273-AP273</f>
        <v>655560.432976926</v>
      </c>
      <c r="AR273" s="180" t="n">
        <f aca="false">AR272+AK273-AL273</f>
        <v>150000</v>
      </c>
      <c r="AS273" s="180" t="n">
        <f aca="false">AS272+AP273</f>
        <v>84612.4479138443</v>
      </c>
      <c r="AT273" s="180" t="n">
        <f aca="false">AQ273+AS273-AR273</f>
        <v>590172.88089077</v>
      </c>
      <c r="AU273" s="180" t="n">
        <f aca="false">MAX(0,IFERROR(INDEX(TAB_IR,MATCH($C273,TAB_IR_DIAS,1),MATCH($D$8,TAB_IR_REGIMES,0)),0)*IF($D$26=2,AQ273,MAX(0,AT273))-AS273)</f>
        <v>3913.48421977117</v>
      </c>
      <c r="AV273" s="181" t="n">
        <f aca="false">MAX(0,AQ273-AU273-AQ273*$D$25)</f>
        <v>651646.948757155</v>
      </c>
      <c r="AW273" s="180" t="n">
        <f aca="false">AV273/$D273</f>
        <v>325904.26087067</v>
      </c>
      <c r="AY273" s="180" t="n">
        <f aca="false">BF272</f>
        <v>902042.871343515</v>
      </c>
      <c r="AZ273" s="180" t="n">
        <f aca="false">IF($E$9=0,0,IF($A273&gt;IN_PRAZO,0,IF(APORTE_CORRIGIDO="Sim",IN_APORTE*$D273,IN_APORTE))+IF(AND($E$35=1,PGBL_REINVESTE="Sim",$A273&gt;=13,$A273&lt;=IN_PRAZO,MONTH($B273)=5),PGBL_BENEFICIO,0))</f>
        <v>0</v>
      </c>
      <c r="BA273" s="180" t="n">
        <f aca="false">AZ273*$E$24</f>
        <v>0</v>
      </c>
      <c r="BB273" s="180" t="n">
        <f aca="false">AY273*$E$19</f>
        <v>8829.86796257145</v>
      </c>
      <c r="BC273" s="180" t="n">
        <f aca="false">AY273*$E$22</f>
        <v>1127.55358917939</v>
      </c>
      <c r="BD273" s="180" t="n">
        <f aca="false">$E$23*MAX(0,BB273-AY273*$E$18)</f>
        <v>0</v>
      </c>
      <c r="BE273" s="180" t="n">
        <f aca="false">IF(AND($E$27=1,OR(MONTH($B273)=5,MONTH($B273)=11)),MAX(0,$E$28*MAX(0,(AY273+BB273-BC273-BD273+AZ273-BA273)+BH272-BG273)-BH272),0)</f>
        <v>0</v>
      </c>
      <c r="BF273" s="181" t="n">
        <f aca="false">AY273+BB273-BC273-BD273+AZ273-BA273-BE273</f>
        <v>909745.185716907</v>
      </c>
      <c r="BG273" s="180" t="n">
        <f aca="false">BG272+AZ273-BA273</f>
        <v>150000</v>
      </c>
      <c r="BH273" s="180" t="n">
        <f aca="false">BH272+BE273</f>
        <v>0</v>
      </c>
      <c r="BI273" s="180" t="n">
        <f aca="false">BF273+BH273-BG273</f>
        <v>759745.185716907</v>
      </c>
      <c r="BJ273" s="180" t="n">
        <f aca="false">MAX(0,IFERROR(INDEX(TAB_IR,MATCH($C273,TAB_IR_DIAS,1),MATCH($E$8,TAB_IR_REGIMES,0)),0)*IF($E$26=2,BF273,MAX(0,BI273))-BH273)</f>
        <v>75974.5185716907</v>
      </c>
      <c r="BK273" s="181" t="n">
        <f aca="false">MAX(0,BF273-BJ273-BF273*$E$25)</f>
        <v>833770.667145216</v>
      </c>
      <c r="BL273" s="180" t="n">
        <f aca="false">BK273/$D273</f>
        <v>416988.698450686</v>
      </c>
      <c r="BN273" s="180" t="n">
        <f aca="false">BU272</f>
        <v>902042.871343515</v>
      </c>
      <c r="BO273" s="180" t="n">
        <f aca="false">IF($F$9=0,0,IF($A273&gt;IN_PRAZO,0,IF(APORTE_CORRIGIDO="Sim",IN_APORTE*$D273,IN_APORTE))+IF(AND($F$35=1,PGBL_REINVESTE="Sim",$A273&gt;=13,$A273&lt;=IN_PRAZO,MONTH($B273)=5),PGBL_BENEFICIO,0))</f>
        <v>0</v>
      </c>
      <c r="BP273" s="180" t="n">
        <f aca="false">BO273*$F$24</f>
        <v>0</v>
      </c>
      <c r="BQ273" s="180" t="n">
        <f aca="false">BN273*$F$19</f>
        <v>8829.86796257145</v>
      </c>
      <c r="BR273" s="180" t="n">
        <f aca="false">BN273*$F$22</f>
        <v>1127.55358917939</v>
      </c>
      <c r="BS273" s="180" t="n">
        <f aca="false">$F$23*MAX(0,BQ273-BN273*$F$18)</f>
        <v>0</v>
      </c>
      <c r="BT273" s="180" t="n">
        <f aca="false">IF(AND($F$27=1,OR(MONTH($B273)=5,MONTH($B273)=11)),MAX(0,$F$28*MAX(0,(BN273+BQ273-BR273-BS273+BO273-BP273)+BW272-BV273)-BW272),0)</f>
        <v>0</v>
      </c>
      <c r="BU273" s="181" t="n">
        <f aca="false">BN273+BQ273-BR273-BS273+BO273-BP273-BT273</f>
        <v>909745.185716907</v>
      </c>
      <c r="BV273" s="180" t="n">
        <f aca="false">BV272+BO273-BP273</f>
        <v>150000</v>
      </c>
      <c r="BW273" s="180" t="n">
        <f aca="false">BW272+BT273</f>
        <v>0</v>
      </c>
      <c r="BX273" s="180" t="n">
        <f aca="false">BU273+BW273-BV273</f>
        <v>759745.185716907</v>
      </c>
      <c r="BY273" s="180" t="n">
        <f aca="false">MAX(0,IFERROR(INDEX(TAB_IR,MATCH($C273,TAB_IR_DIAS,1),MATCH($F$8,TAB_IR_REGIMES,0)),0)*IF($F$26=2,BU273,MAX(0,BX273))-BW273)</f>
        <v>90974.5185716907</v>
      </c>
      <c r="BZ273" s="181" t="n">
        <f aca="false">MAX(0,BU273-BY273-BU273*$F$25)</f>
        <v>818770.667145216</v>
      </c>
      <c r="CA273" s="180" t="n">
        <f aca="false">BZ273/$D273</f>
        <v>409486.838858796</v>
      </c>
      <c r="CC273" s="180" t="n">
        <f aca="false">CJ272</f>
        <v>559985.028411079</v>
      </c>
      <c r="CD273" s="180" t="n">
        <f aca="false">IF($G$9=0,0,IF($A273&gt;IN_PRAZO,0,IF(APORTE_CORRIGIDO="Sim",IN_APORTE*$D273,IN_APORTE))+IF(AND($G$35=1,PGBL_REINVESTE="Sim",$A273&gt;=13,$A273&lt;=IN_PRAZO,MONTH($B273)=5),PGBL_BENEFICIO,0))</f>
        <v>0</v>
      </c>
      <c r="CE273" s="180" t="n">
        <f aca="false">CD273*$G$24</f>
        <v>0</v>
      </c>
      <c r="CF273" s="180" t="n">
        <f aca="false">CC273*$G$19</f>
        <v>4567.92412059685</v>
      </c>
      <c r="CG273" s="180" t="n">
        <f aca="false">CC273*$G$22</f>
        <v>466.654190342566</v>
      </c>
      <c r="CH273" s="180" t="n">
        <f aca="false">$G$23*MAX(0,CF273-CC273*$G$18)</f>
        <v>0</v>
      </c>
      <c r="CI273" s="180" t="n">
        <f aca="false">IF(AND($G$27=1,OR(MONTH($B273)=5,MONTH($B273)=11)),MAX(0,$G$28*MAX(0,(CC273+CF273-CG273-CH273+CD273-CE273)+CL272-CK273)-CL272),0)</f>
        <v>0</v>
      </c>
      <c r="CJ273" s="181" t="n">
        <f aca="false">CC273+CF273-CG273-CH273+CD273-CE273-CI273</f>
        <v>564086.298341333</v>
      </c>
      <c r="CK273" s="180" t="n">
        <f aca="false">CK272+CD273-CE273</f>
        <v>150000</v>
      </c>
      <c r="CL273" s="180" t="n">
        <f aca="false">CL272+CI273</f>
        <v>69507.5253917122</v>
      </c>
      <c r="CM273" s="180" t="n">
        <f aca="false">CJ273+CL273-CK273</f>
        <v>483593.823733045</v>
      </c>
      <c r="CN273" s="180" t="n">
        <f aca="false">MAX(0,IFERROR(INDEX(TAB_IR,MATCH($C273,TAB_IR_DIAS,1),MATCH($G$8,TAB_IR_REGIMES,0)),0)*IF($G$26=2,CJ273,MAX(0,CM273))-CL273)</f>
        <v>3031.54816824458</v>
      </c>
      <c r="CO273" s="181" t="n">
        <f aca="false">MAX(0,CJ273-CN273-CJ273*$G$25)</f>
        <v>561054.750173088</v>
      </c>
      <c r="CP273" s="180" t="n">
        <f aca="false">CO273/$D273</f>
        <v>280596.930610781</v>
      </c>
    </row>
    <row r="274" customFormat="false" ht="12" hidden="false" customHeight="true" outlineLevel="0" collapsed="false">
      <c r="A274" s="177" t="n">
        <v>213</v>
      </c>
      <c r="B274" s="178" t="n">
        <f aca="false">EDATE(DATA_INICIO,$A274)</f>
        <v>52740</v>
      </c>
      <c r="C274" s="177" t="n">
        <f aca="false">$A274*30</f>
        <v>6390</v>
      </c>
      <c r="D274" s="179" t="n">
        <f aca="false">(1+IPCA_CENARIO)^($A274/12)</f>
        <v>2.00605008830091</v>
      </c>
      <c r="F274" s="180" t="n">
        <f aca="false">M273</f>
        <v>1072525.36133669</v>
      </c>
      <c r="G274" s="180" t="n">
        <f aca="false">IF($B$9=0,0,IF($A274&gt;IN_PRAZO,0,IF(APORTE_CORRIGIDO="Sim",IN_APORTE*$D274,IN_APORTE))+IF(AND($B$35=1,PGBL_REINVESTE="Sim",$A274&gt;=13,$A274&lt;=IN_PRAZO,MONTH($B274)=5),PGBL_BENEFICIO,0))</f>
        <v>0</v>
      </c>
      <c r="H274" s="180" t="n">
        <f aca="false">G274*$B$24</f>
        <v>0</v>
      </c>
      <c r="I274" s="180" t="n">
        <f aca="false">F274*$B$19</f>
        <v>10176.9710708127</v>
      </c>
      <c r="J274" s="180" t="n">
        <f aca="false">F274*$B$22</f>
        <v>178.754226889449</v>
      </c>
      <c r="K274" s="180" t="n">
        <f aca="false">$B$23*MAX(0,I274-F274*$B$18)</f>
        <v>0</v>
      </c>
      <c r="L274" s="180" t="n">
        <f aca="false">IF(AND($B$27=1,OR(MONTH($B274)=5,MONTH($B274)=11)),MAX(0,$B$28*MAX(0,(F274+I274-J274-K274+G274-H274)+O273-N274)-O273),0)</f>
        <v>0</v>
      </c>
      <c r="M274" s="181" t="n">
        <f aca="false">F274+I274-J274-K274+G274-H274-L274</f>
        <v>1082523.57818062</v>
      </c>
      <c r="N274" s="180" t="n">
        <f aca="false">N273+G274-H274</f>
        <v>150000</v>
      </c>
      <c r="O274" s="180" t="n">
        <f aca="false">O273+L274</f>
        <v>0</v>
      </c>
      <c r="P274" s="180" t="n">
        <f aca="false">M274+O274-N274</f>
        <v>932523.578180616</v>
      </c>
      <c r="Q274" s="180" t="n">
        <f aca="false">MAX(0,IFERROR(INDEX(TAB_IR,MATCH($C274,TAB_IR_DIAS,1),MATCH($B$8,TAB_IR_REGIMES,0)),0)*IF($B$26=2,M274,MAX(0,P274))-O274)</f>
        <v>139878.536727092</v>
      </c>
      <c r="R274" s="181" t="n">
        <f aca="false">MAX(0,M274-Q274-M274*$B$25)</f>
        <v>942645.041453524</v>
      </c>
      <c r="S274" s="180" t="n">
        <f aca="false">R274/$D274</f>
        <v>469901.049306265</v>
      </c>
      <c r="U274" s="180" t="n">
        <f aca="false">AB273</f>
        <v>810702.85684954</v>
      </c>
      <c r="V274" s="180" t="n">
        <f aca="false">IF($C$9=0,0,IF($A274&gt;IN_PRAZO,0,IF(APORTE_CORRIGIDO="Sim",IN_APORTE*$D274,IN_APORTE))+IF(AND($C$35=1,PGBL_REINVESTE="Sim",$A274&gt;=13,$A274&lt;=IN_PRAZO,MONTH($B274)=5),PGBL_BENEFICIO,0))</f>
        <v>0</v>
      </c>
      <c r="W274" s="180" t="n">
        <f aca="false">V274*$C$24</f>
        <v>0</v>
      </c>
      <c r="X274" s="180" t="n">
        <f aca="false">U274*$C$19</f>
        <v>6613.08596936504</v>
      </c>
      <c r="Y274" s="180" t="n">
        <f aca="false">U274*$C$22</f>
        <v>135.117142808257</v>
      </c>
      <c r="Z274" s="180" t="n">
        <f aca="false">$C$23*MAX(0,X274-U274*$C$18)</f>
        <v>0</v>
      </c>
      <c r="AA274" s="180" t="n">
        <f aca="false">IF(AND($C$27=1,OR(MONTH($B274)=5,MONTH($B274)=11)),MAX(0,$C$28*MAX(0,(U274+X274-Y274-Z274+V274-W274)+AD273-AC274)-AD273),0)</f>
        <v>0</v>
      </c>
      <c r="AB274" s="181" t="n">
        <f aca="false">U274+X274-Y274-Z274+V274-W274-AA274</f>
        <v>817180.825676097</v>
      </c>
      <c r="AC274" s="180" t="n">
        <f aca="false">AC273+V274-W274</f>
        <v>150000</v>
      </c>
      <c r="AD274" s="180" t="n">
        <f aca="false">AD273+AA274</f>
        <v>0</v>
      </c>
      <c r="AE274" s="180" t="n">
        <f aca="false">AB274+AD274-AC274</f>
        <v>667180.825676097</v>
      </c>
      <c r="AF274" s="180" t="n">
        <f aca="false">MAX(0,IFERROR(INDEX(TAB_IR,MATCH($C274,TAB_IR_DIAS,1),MATCH($C$8,TAB_IR_REGIMES,0)),0)*IF($C$26=2,AB274,MAX(0,AE274))-AD274)</f>
        <v>100077.123851415</v>
      </c>
      <c r="AG274" s="181" t="n">
        <f aca="false">MAX(0,AB274-AF274-AB274*$C$25)</f>
        <v>717103.701824682</v>
      </c>
      <c r="AH274" s="180" t="n">
        <f aca="false">AG274/$D274</f>
        <v>357470.486906963</v>
      </c>
      <c r="AJ274" s="180" t="n">
        <f aca="false">AQ273</f>
        <v>655560.432976926</v>
      </c>
      <c r="AK274" s="180" t="n">
        <f aca="false">IF($D$9=0,0,IF($A274&gt;IN_PRAZO,0,IF(APORTE_CORRIGIDO="Sim",IN_APORTE*$D274,IN_APORTE))+IF(AND($D$35=1,PGBL_REINVESTE="Sim",$A274&gt;=13,$A274&lt;=IN_PRAZO,MONTH($B274)=5),PGBL_BENEFICIO,0))</f>
        <v>0</v>
      </c>
      <c r="AL274" s="180" t="n">
        <f aca="false">AK274*$D$24</f>
        <v>0</v>
      </c>
      <c r="AM274" s="180" t="n">
        <f aca="false">AJ274*$D$19</f>
        <v>5892.63412969884</v>
      </c>
      <c r="AN274" s="180" t="n">
        <f aca="false">AJ274*$D$22</f>
        <v>546.300360814105</v>
      </c>
      <c r="AO274" s="180" t="n">
        <f aca="false">$D$23*MAX(0,AM274-AJ274*$D$18)</f>
        <v>0</v>
      </c>
      <c r="AP274" s="180" t="n">
        <f aca="false">IF(AND($D$27=1,OR(MONTH($B274)=5,MONTH($B274)=11)),MAX(0,$D$28*MAX(0,(AJ274+AM274-AN274-AO274+AK274-AL274)+AS273-AR274)-AS273),0)</f>
        <v>4715.43428510388</v>
      </c>
      <c r="AQ274" s="181" t="n">
        <f aca="false">AJ274+AM274-AN274-AO274+AK274-AL274-AP274</f>
        <v>656191.332460707</v>
      </c>
      <c r="AR274" s="180" t="n">
        <f aca="false">AR273+AK274-AL274</f>
        <v>150000</v>
      </c>
      <c r="AS274" s="180" t="n">
        <f aca="false">AS273+AP274</f>
        <v>89327.8821989482</v>
      </c>
      <c r="AT274" s="180" t="n">
        <f aca="false">AQ274+AS274-AR274</f>
        <v>595519.214659655</v>
      </c>
      <c r="AU274" s="180" t="n">
        <f aca="false">MAX(0,IFERROR(INDEX(TAB_IR,MATCH($C274,TAB_IR_DIAS,1),MATCH($D$8,TAB_IR_REGIMES,0)),0)*IF($D$26=2,AQ274,MAX(0,AT274))-AS274)</f>
        <v>0</v>
      </c>
      <c r="AV274" s="181" t="n">
        <f aca="false">MAX(0,AQ274-AU274-AQ274*$D$25)</f>
        <v>656191.332460707</v>
      </c>
      <c r="AW274" s="180" t="n">
        <f aca="false">AV274/$D274</f>
        <v>327106.155667573</v>
      </c>
      <c r="AY274" s="180" t="n">
        <f aca="false">BF273</f>
        <v>909745.185716907</v>
      </c>
      <c r="AZ274" s="180" t="n">
        <f aca="false">IF($E$9=0,0,IF($A274&gt;IN_PRAZO,0,IF(APORTE_CORRIGIDO="Sim",IN_APORTE*$D274,IN_APORTE))+IF(AND($E$35=1,PGBL_REINVESTE="Sim",$A274&gt;=13,$A274&lt;=IN_PRAZO,MONTH($B274)=5),PGBL_BENEFICIO,0))</f>
        <v>0</v>
      </c>
      <c r="BA274" s="180" t="n">
        <f aca="false">AZ274*$E$24</f>
        <v>0</v>
      </c>
      <c r="BB274" s="180" t="n">
        <f aca="false">AY274*$E$19</f>
        <v>8905.26395657999</v>
      </c>
      <c r="BC274" s="180" t="n">
        <f aca="false">AY274*$E$22</f>
        <v>1137.18148214613</v>
      </c>
      <c r="BD274" s="180" t="n">
        <f aca="false">$E$23*MAX(0,BB274-AY274*$E$18)</f>
        <v>0</v>
      </c>
      <c r="BE274" s="180" t="n">
        <f aca="false">IF(AND($E$27=1,OR(MONTH($B274)=5,MONTH($B274)=11)),MAX(0,$E$28*MAX(0,(AY274+BB274-BC274-BD274+AZ274-BA274)+BH273-BG274)-BH273),0)</f>
        <v>0</v>
      </c>
      <c r="BF274" s="181" t="n">
        <f aca="false">AY274+BB274-BC274-BD274+AZ274-BA274-BE274</f>
        <v>917513.268191341</v>
      </c>
      <c r="BG274" s="180" t="n">
        <f aca="false">BG273+AZ274-BA274</f>
        <v>150000</v>
      </c>
      <c r="BH274" s="180" t="n">
        <f aca="false">BH273+BE274</f>
        <v>0</v>
      </c>
      <c r="BI274" s="180" t="n">
        <f aca="false">BF274+BH274-BG274</f>
        <v>767513.268191341</v>
      </c>
      <c r="BJ274" s="180" t="n">
        <f aca="false">MAX(0,IFERROR(INDEX(TAB_IR,MATCH($C274,TAB_IR_DIAS,1),MATCH($E$8,TAB_IR_REGIMES,0)),0)*IF($E$26=2,BF274,MAX(0,BI274))-BH274)</f>
        <v>76751.3268191341</v>
      </c>
      <c r="BK274" s="181" t="n">
        <f aca="false">MAX(0,BF274-BJ274-BF274*$E$25)</f>
        <v>840761.941372206</v>
      </c>
      <c r="BL274" s="180" t="n">
        <f aca="false">BK274/$D274</f>
        <v>419113.134948848</v>
      </c>
      <c r="BN274" s="180" t="n">
        <f aca="false">BU273</f>
        <v>909745.185716907</v>
      </c>
      <c r="BO274" s="180" t="n">
        <f aca="false">IF($F$9=0,0,IF($A274&gt;IN_PRAZO,0,IF(APORTE_CORRIGIDO="Sim",IN_APORTE*$D274,IN_APORTE))+IF(AND($F$35=1,PGBL_REINVESTE="Sim",$A274&gt;=13,$A274&lt;=IN_PRAZO,MONTH($B274)=5),PGBL_BENEFICIO,0))</f>
        <v>0</v>
      </c>
      <c r="BP274" s="180" t="n">
        <f aca="false">BO274*$F$24</f>
        <v>0</v>
      </c>
      <c r="BQ274" s="180" t="n">
        <f aca="false">BN274*$F$19</f>
        <v>8905.26395657999</v>
      </c>
      <c r="BR274" s="180" t="n">
        <f aca="false">BN274*$F$22</f>
        <v>1137.18148214613</v>
      </c>
      <c r="BS274" s="180" t="n">
        <f aca="false">$F$23*MAX(0,BQ274-BN274*$F$18)</f>
        <v>0</v>
      </c>
      <c r="BT274" s="180" t="n">
        <f aca="false">IF(AND($F$27=1,OR(MONTH($B274)=5,MONTH($B274)=11)),MAX(0,$F$28*MAX(0,(BN274+BQ274-BR274-BS274+BO274-BP274)+BW273-BV274)-BW273),0)</f>
        <v>0</v>
      </c>
      <c r="BU274" s="181" t="n">
        <f aca="false">BN274+BQ274-BR274-BS274+BO274-BP274-BT274</f>
        <v>917513.268191341</v>
      </c>
      <c r="BV274" s="180" t="n">
        <f aca="false">BV273+BO274-BP274</f>
        <v>150000</v>
      </c>
      <c r="BW274" s="180" t="n">
        <f aca="false">BW273+BT274</f>
        <v>0</v>
      </c>
      <c r="BX274" s="180" t="n">
        <f aca="false">BU274+BW274-BV274</f>
        <v>767513.268191341</v>
      </c>
      <c r="BY274" s="180" t="n">
        <f aca="false">MAX(0,IFERROR(INDEX(TAB_IR,MATCH($C274,TAB_IR_DIAS,1),MATCH($F$8,TAB_IR_REGIMES,0)),0)*IF($F$26=2,BU274,MAX(0,BX274))-BW274)</f>
        <v>91751.3268191341</v>
      </c>
      <c r="BZ274" s="181" t="n">
        <f aca="false">MAX(0,BU274-BY274-BU274*$F$25)</f>
        <v>825761.941372206</v>
      </c>
      <c r="CA274" s="180" t="n">
        <f aca="false">BZ274/$D274</f>
        <v>411635.754355273</v>
      </c>
      <c r="CC274" s="180" t="n">
        <f aca="false">CJ273</f>
        <v>564086.298341333</v>
      </c>
      <c r="CD274" s="180" t="n">
        <f aca="false">IF($G$9=0,0,IF($A274&gt;IN_PRAZO,0,IF(APORTE_CORRIGIDO="Sim",IN_APORTE*$D274,IN_APORTE))+IF(AND($G$35=1,PGBL_REINVESTE="Sim",$A274&gt;=13,$A274&lt;=IN_PRAZO,MONTH($B274)=5),PGBL_BENEFICIO,0))</f>
        <v>0</v>
      </c>
      <c r="CE274" s="180" t="n">
        <f aca="false">CD274*$G$24</f>
        <v>0</v>
      </c>
      <c r="CF274" s="180" t="n">
        <f aca="false">CC274*$G$19</f>
        <v>4601.37910401425</v>
      </c>
      <c r="CG274" s="180" t="n">
        <f aca="false">CC274*$G$22</f>
        <v>470.071915284444</v>
      </c>
      <c r="CH274" s="180" t="n">
        <f aca="false">$G$23*MAX(0,CF274-CC274*$G$18)</f>
        <v>0</v>
      </c>
      <c r="CI274" s="180" t="n">
        <f aca="false">IF(AND($G$27=1,OR(MONTH($B274)=5,MONTH($B274)=11)),MAX(0,$G$28*MAX(0,(CC274+CF274-CG274-CH274+CD274-CE274)+CL273-CK274)-CL273),0)</f>
        <v>3651.24424655404</v>
      </c>
      <c r="CJ274" s="181" t="n">
        <f aca="false">CC274+CF274-CG274-CH274+CD274-CE274-CI274</f>
        <v>564566.361283509</v>
      </c>
      <c r="CK274" s="180" t="n">
        <f aca="false">CK273+CD274-CE274</f>
        <v>150000</v>
      </c>
      <c r="CL274" s="180" t="n">
        <f aca="false">CL273+CI274</f>
        <v>73158.7696382662</v>
      </c>
      <c r="CM274" s="180" t="n">
        <f aca="false">CJ274+CL274-CK274</f>
        <v>487725.130921775</v>
      </c>
      <c r="CN274" s="180" t="n">
        <f aca="false">MAX(0,IFERROR(INDEX(TAB_IR,MATCH($C274,TAB_IR_DIAS,1),MATCH($G$8,TAB_IR_REGIMES,0)),0)*IF($G$26=2,CJ274,MAX(0,CM274))-CL274)</f>
        <v>0</v>
      </c>
      <c r="CO274" s="181" t="n">
        <f aca="false">MAX(0,CJ274-CN274-CJ274*$G$25)</f>
        <v>564566.361283509</v>
      </c>
      <c r="CP274" s="180" t="n">
        <f aca="false">CO274/$D274</f>
        <v>281431.836909759</v>
      </c>
    </row>
    <row r="275" customFormat="false" ht="12" hidden="false" customHeight="true" outlineLevel="0" collapsed="false">
      <c r="A275" s="177" t="n">
        <v>214</v>
      </c>
      <c r="B275" s="178" t="n">
        <f aca="false">EDATE(DATA_INICIO,$A275)</f>
        <v>52771</v>
      </c>
      <c r="C275" s="177" t="n">
        <f aca="false">$A275*30</f>
        <v>6420</v>
      </c>
      <c r="D275" s="179" t="n">
        <f aca="false">(1+IPCA_CENARIO)^($A275/12)</f>
        <v>2.01261737428006</v>
      </c>
      <c r="F275" s="180" t="n">
        <f aca="false">M274</f>
        <v>1082523.57818062</v>
      </c>
      <c r="G275" s="180" t="n">
        <f aca="false">IF($B$9=0,0,IF($A275&gt;IN_PRAZO,0,IF(APORTE_CORRIGIDO="Sim",IN_APORTE*$D275,IN_APORTE))+IF(AND($B$35=1,PGBL_REINVESTE="Sim",$A275&gt;=13,$A275&lt;=IN_PRAZO,MONTH($B275)=5),PGBL_BENEFICIO,0))</f>
        <v>0</v>
      </c>
      <c r="H275" s="180" t="n">
        <f aca="false">G275*$B$24</f>
        <v>0</v>
      </c>
      <c r="I275" s="180" t="n">
        <f aca="false">F275*$B$19</f>
        <v>10271.8420801598</v>
      </c>
      <c r="J275" s="180" t="n">
        <f aca="false">F275*$B$22</f>
        <v>180.420596363436</v>
      </c>
      <c r="K275" s="180" t="n">
        <f aca="false">$B$23*MAX(0,I275-F275*$B$18)</f>
        <v>0</v>
      </c>
      <c r="L275" s="180" t="n">
        <f aca="false">IF(AND($B$27=1,OR(MONTH($B275)=5,MONTH($B275)=11)),MAX(0,$B$28*MAX(0,(F275+I275-J275-K275+G275-H275)+O274-N275)-O274),0)</f>
        <v>0</v>
      </c>
      <c r="M275" s="181" t="n">
        <f aca="false">F275+I275-J275-K275+G275-H275-L275</f>
        <v>1092614.99966441</v>
      </c>
      <c r="N275" s="180" t="n">
        <f aca="false">N274+G275-H275</f>
        <v>150000</v>
      </c>
      <c r="O275" s="180" t="n">
        <f aca="false">O274+L275</f>
        <v>0</v>
      </c>
      <c r="P275" s="180" t="n">
        <f aca="false">M275+O275-N275</f>
        <v>942614.999664412</v>
      </c>
      <c r="Q275" s="180" t="n">
        <f aca="false">MAX(0,IFERROR(INDEX(TAB_IR,MATCH($C275,TAB_IR_DIAS,1),MATCH($B$8,TAB_IR_REGIMES,0)),0)*IF($B$26=2,M275,MAX(0,P275))-O275)</f>
        <v>141392.249949662</v>
      </c>
      <c r="R275" s="181" t="n">
        <f aca="false">MAX(0,M275-Q275-M275*$B$25)</f>
        <v>951222.749714751</v>
      </c>
      <c r="S275" s="180" t="n">
        <f aca="false">R275/$D275</f>
        <v>472629.701934782</v>
      </c>
      <c r="U275" s="180" t="n">
        <f aca="false">AB274</f>
        <v>817180.825676097</v>
      </c>
      <c r="V275" s="180" t="n">
        <f aca="false">IF($C$9=0,0,IF($A275&gt;IN_PRAZO,0,IF(APORTE_CORRIGIDO="Sim",IN_APORTE*$D275,IN_APORTE))+IF(AND($C$35=1,PGBL_REINVESTE="Sim",$A275&gt;=13,$A275&lt;=IN_PRAZO,MONTH($B275)=5),PGBL_BENEFICIO,0))</f>
        <v>0</v>
      </c>
      <c r="W275" s="180" t="n">
        <f aca="false">V275*$C$24</f>
        <v>0</v>
      </c>
      <c r="X275" s="180" t="n">
        <f aca="false">U275*$C$19</f>
        <v>6665.92822148608</v>
      </c>
      <c r="Y275" s="180" t="n">
        <f aca="false">U275*$C$22</f>
        <v>136.196804279349</v>
      </c>
      <c r="Z275" s="180" t="n">
        <f aca="false">$C$23*MAX(0,X275-U275*$C$18)</f>
        <v>0</v>
      </c>
      <c r="AA275" s="180" t="n">
        <f aca="false">IF(AND($C$27=1,OR(MONTH($B275)=5,MONTH($B275)=11)),MAX(0,$C$28*MAX(0,(U275+X275-Y275-Z275+V275-W275)+AD274-AC275)-AD274),0)</f>
        <v>0</v>
      </c>
      <c r="AB275" s="181" t="n">
        <f aca="false">U275+X275-Y275-Z275+V275-W275-AA275</f>
        <v>823710.557093304</v>
      </c>
      <c r="AC275" s="180" t="n">
        <f aca="false">AC274+V275-W275</f>
        <v>150000</v>
      </c>
      <c r="AD275" s="180" t="n">
        <f aca="false">AD274+AA275</f>
        <v>0</v>
      </c>
      <c r="AE275" s="180" t="n">
        <f aca="false">AB275+AD275-AC275</f>
        <v>673710.557093304</v>
      </c>
      <c r="AF275" s="180" t="n">
        <f aca="false">MAX(0,IFERROR(INDEX(TAB_IR,MATCH($C275,TAB_IR_DIAS,1),MATCH($C$8,TAB_IR_REGIMES,0)),0)*IF($C$26=2,AB275,MAX(0,AE275))-AD275)</f>
        <v>101056.583563996</v>
      </c>
      <c r="AG275" s="181" t="n">
        <f aca="false">MAX(0,AB275-AF275-AB275*$C$25)</f>
        <v>722653.973529308</v>
      </c>
      <c r="AH275" s="180" t="n">
        <f aca="false">AG275/$D275</f>
        <v>359061.778341156</v>
      </c>
      <c r="AJ275" s="180" t="n">
        <f aca="false">AQ274</f>
        <v>656191.332460707</v>
      </c>
      <c r="AK275" s="180" t="n">
        <f aca="false">IF($D$9=0,0,IF($A275&gt;IN_PRAZO,0,IF(APORTE_CORRIGIDO="Sim",IN_APORTE*$D275,IN_APORTE))+IF(AND($D$35=1,PGBL_REINVESTE="Sim",$A275&gt;=13,$A275&lt;=IN_PRAZO,MONTH($B275)=5),PGBL_BENEFICIO,0))</f>
        <v>0</v>
      </c>
      <c r="AL275" s="180" t="n">
        <f aca="false">AK275*$D$24</f>
        <v>0</v>
      </c>
      <c r="AM275" s="180" t="n">
        <f aca="false">AJ275*$D$19</f>
        <v>5898.30509402726</v>
      </c>
      <c r="AN275" s="180" t="n">
        <f aca="false">AJ275*$D$22</f>
        <v>546.826110383922</v>
      </c>
      <c r="AO275" s="180" t="n">
        <f aca="false">$D$23*MAX(0,AM275-AJ275*$D$18)</f>
        <v>0</v>
      </c>
      <c r="AP275" s="180" t="n">
        <f aca="false">IF(AND($D$27=1,OR(MONTH($B275)=5,MONTH($B275)=11)),MAX(0,$D$28*MAX(0,(AJ275+AM275-AN275-AO275+AK275-AL275)+AS274-AR275)-AS274),0)</f>
        <v>0</v>
      </c>
      <c r="AQ275" s="181" t="n">
        <f aca="false">AJ275+AM275-AN275-AO275+AK275-AL275-AP275</f>
        <v>661542.81144435</v>
      </c>
      <c r="AR275" s="180" t="n">
        <f aca="false">AR274+AK275-AL275</f>
        <v>150000</v>
      </c>
      <c r="AS275" s="180" t="n">
        <f aca="false">AS274+AP275</f>
        <v>89327.8821989482</v>
      </c>
      <c r="AT275" s="180" t="n">
        <f aca="false">AQ275+AS275-AR275</f>
        <v>600870.693643298</v>
      </c>
      <c r="AU275" s="180" t="n">
        <f aca="false">MAX(0,IFERROR(INDEX(TAB_IR,MATCH($C275,TAB_IR_DIAS,1),MATCH($D$8,TAB_IR_REGIMES,0)),0)*IF($D$26=2,AQ275,MAX(0,AT275))-AS275)</f>
        <v>802.721847546491</v>
      </c>
      <c r="AV275" s="181" t="n">
        <f aca="false">MAX(0,AQ275-AU275-AQ275*$D$25)</f>
        <v>660740.089596803</v>
      </c>
      <c r="AW275" s="180" t="n">
        <f aca="false">AV275/$D275</f>
        <v>328298.909688762</v>
      </c>
      <c r="AY275" s="180" t="n">
        <f aca="false">BF274</f>
        <v>917513.268191341</v>
      </c>
      <c r="AZ275" s="180" t="n">
        <f aca="false">IF($E$9=0,0,IF($A275&gt;IN_PRAZO,0,IF(APORTE_CORRIGIDO="Sim",IN_APORTE*$D275,IN_APORTE))+IF(AND($E$35=1,PGBL_REINVESTE="Sim",$A275&gt;=13,$A275&lt;=IN_PRAZO,MONTH($B275)=5),PGBL_BENEFICIO,0))</f>
        <v>0</v>
      </c>
      <c r="BA275" s="180" t="n">
        <f aca="false">AZ275*$E$24</f>
        <v>0</v>
      </c>
      <c r="BB275" s="180" t="n">
        <f aca="false">AY275*$E$19</f>
        <v>8981.30373778181</v>
      </c>
      <c r="BC275" s="180" t="n">
        <f aca="false">AY275*$E$22</f>
        <v>1146.89158523918</v>
      </c>
      <c r="BD275" s="180" t="n">
        <f aca="false">$E$23*MAX(0,BB275-AY275*$E$18)</f>
        <v>0</v>
      </c>
      <c r="BE275" s="180" t="n">
        <f aca="false">IF(AND($E$27=1,OR(MONTH($B275)=5,MONTH($B275)=11)),MAX(0,$E$28*MAX(0,(AY275+BB275-BC275-BD275+AZ275-BA275)+BH274-BG275)-BH274),0)</f>
        <v>0</v>
      </c>
      <c r="BF275" s="181" t="n">
        <f aca="false">AY275+BB275-BC275-BD275+AZ275-BA275-BE275</f>
        <v>925347.680343883</v>
      </c>
      <c r="BG275" s="180" t="n">
        <f aca="false">BG274+AZ275-BA275</f>
        <v>150000</v>
      </c>
      <c r="BH275" s="180" t="n">
        <f aca="false">BH274+BE275</f>
        <v>0</v>
      </c>
      <c r="BI275" s="180" t="n">
        <f aca="false">BF275+BH275-BG275</f>
        <v>775347.680343883</v>
      </c>
      <c r="BJ275" s="180" t="n">
        <f aca="false">MAX(0,IFERROR(INDEX(TAB_IR,MATCH($C275,TAB_IR_DIAS,1),MATCH($E$8,TAB_IR_REGIMES,0)),0)*IF($E$26=2,BF275,MAX(0,BI275))-BH275)</f>
        <v>77534.7680343883</v>
      </c>
      <c r="BK275" s="181" t="n">
        <f aca="false">MAX(0,BF275-BJ275-BF275*$E$25)</f>
        <v>847812.912309495</v>
      </c>
      <c r="BL275" s="180" t="n">
        <f aca="false">BK275/$D275</f>
        <v>421248.928457038</v>
      </c>
      <c r="BN275" s="180" t="n">
        <f aca="false">BU274</f>
        <v>917513.268191341</v>
      </c>
      <c r="BO275" s="180" t="n">
        <f aca="false">IF($F$9=0,0,IF($A275&gt;IN_PRAZO,0,IF(APORTE_CORRIGIDO="Sim",IN_APORTE*$D275,IN_APORTE))+IF(AND($F$35=1,PGBL_REINVESTE="Sim",$A275&gt;=13,$A275&lt;=IN_PRAZO,MONTH($B275)=5),PGBL_BENEFICIO,0))</f>
        <v>0</v>
      </c>
      <c r="BP275" s="180" t="n">
        <f aca="false">BO275*$F$24</f>
        <v>0</v>
      </c>
      <c r="BQ275" s="180" t="n">
        <f aca="false">BN275*$F$19</f>
        <v>8981.30373778181</v>
      </c>
      <c r="BR275" s="180" t="n">
        <f aca="false">BN275*$F$22</f>
        <v>1146.89158523918</v>
      </c>
      <c r="BS275" s="180" t="n">
        <f aca="false">$F$23*MAX(0,BQ275-BN275*$F$18)</f>
        <v>0</v>
      </c>
      <c r="BT275" s="180" t="n">
        <f aca="false">IF(AND($F$27=1,OR(MONTH($B275)=5,MONTH($B275)=11)),MAX(0,$F$28*MAX(0,(BN275+BQ275-BR275-BS275+BO275-BP275)+BW274-BV275)-BW274),0)</f>
        <v>0</v>
      </c>
      <c r="BU275" s="181" t="n">
        <f aca="false">BN275+BQ275-BR275-BS275+BO275-BP275-BT275</f>
        <v>925347.680343883</v>
      </c>
      <c r="BV275" s="180" t="n">
        <f aca="false">BV274+BO275-BP275</f>
        <v>150000</v>
      </c>
      <c r="BW275" s="180" t="n">
        <f aca="false">BW274+BT275</f>
        <v>0</v>
      </c>
      <c r="BX275" s="180" t="n">
        <f aca="false">BU275+BW275-BV275</f>
        <v>775347.680343883</v>
      </c>
      <c r="BY275" s="180" t="n">
        <f aca="false">MAX(0,IFERROR(INDEX(TAB_IR,MATCH($C275,TAB_IR_DIAS,1),MATCH($F$8,TAB_IR_REGIMES,0)),0)*IF($F$26=2,BU275,MAX(0,BX275))-BW275)</f>
        <v>92534.7680343883</v>
      </c>
      <c r="BZ275" s="181" t="n">
        <f aca="false">MAX(0,BU275-BY275-BU275*$F$25)</f>
        <v>832812.912309495</v>
      </c>
      <c r="CA275" s="180" t="n">
        <f aca="false">BZ275/$D275</f>
        <v>413795.946985403</v>
      </c>
      <c r="CC275" s="180" t="n">
        <f aca="false">CJ274</f>
        <v>564566.361283509</v>
      </c>
      <c r="CD275" s="180" t="n">
        <f aca="false">IF($G$9=0,0,IF($A275&gt;IN_PRAZO,0,IF(APORTE_CORRIGIDO="Sim",IN_APORTE*$D275,IN_APORTE))+IF(AND($G$35=1,PGBL_REINVESTE="Sim",$A275&gt;=13,$A275&lt;=IN_PRAZO,MONTH($B275)=5),PGBL_BENEFICIO,0))</f>
        <v>0</v>
      </c>
      <c r="CE275" s="180" t="n">
        <f aca="false">CD275*$G$24</f>
        <v>0</v>
      </c>
      <c r="CF275" s="180" t="n">
        <f aca="false">CC275*$G$19</f>
        <v>4605.29508565968</v>
      </c>
      <c r="CG275" s="180" t="n">
        <f aca="false">CC275*$G$22</f>
        <v>470.471967736257</v>
      </c>
      <c r="CH275" s="180" t="n">
        <f aca="false">$G$23*MAX(0,CF275-CC275*$G$18)</f>
        <v>0</v>
      </c>
      <c r="CI275" s="180" t="n">
        <f aca="false">IF(AND($G$27=1,OR(MONTH($B275)=5,MONTH($B275)=11)),MAX(0,$G$28*MAX(0,(CC275+CF275-CG275-CH275+CD275-CE275)+CL274-CK275)-CL274),0)</f>
        <v>0</v>
      </c>
      <c r="CJ275" s="181" t="n">
        <f aca="false">CC275+CF275-CG275-CH275+CD275-CE275-CI275</f>
        <v>568701.184401432</v>
      </c>
      <c r="CK275" s="180" t="n">
        <f aca="false">CK274+CD275-CE275</f>
        <v>150000</v>
      </c>
      <c r="CL275" s="180" t="n">
        <f aca="false">CL274+CI275</f>
        <v>73158.7696382662</v>
      </c>
      <c r="CM275" s="180" t="n">
        <f aca="false">CJ275+CL275-CK275</f>
        <v>491859.954039698</v>
      </c>
      <c r="CN275" s="180" t="n">
        <f aca="false">MAX(0,IFERROR(INDEX(TAB_IR,MATCH($C275,TAB_IR_DIAS,1),MATCH($G$8,TAB_IR_REGIMES,0)),0)*IF($G$26=2,CJ275,MAX(0,CM275))-CL275)</f>
        <v>620.223467688513</v>
      </c>
      <c r="CO275" s="181" t="n">
        <f aca="false">MAX(0,CJ275-CN275-CJ275*$G$25)</f>
        <v>568080.960933744</v>
      </c>
      <c r="CP275" s="180" t="n">
        <f aca="false">CO275/$D275</f>
        <v>282259.79174852</v>
      </c>
    </row>
    <row r="276" customFormat="false" ht="12" hidden="false" customHeight="true" outlineLevel="0" collapsed="false">
      <c r="A276" s="177" t="n">
        <v>215</v>
      </c>
      <c r="B276" s="178" t="n">
        <f aca="false">EDATE(DATA_INICIO,$A276)</f>
        <v>52801</v>
      </c>
      <c r="C276" s="177" t="n">
        <f aca="false">$A276*30</f>
        <v>6450</v>
      </c>
      <c r="D276" s="179" t="n">
        <f aca="false">(1+IPCA_CENARIO)^($A276/12)</f>
        <v>2.01920615984459</v>
      </c>
      <c r="F276" s="180" t="n">
        <f aca="false">M275</f>
        <v>1092614.99966441</v>
      </c>
      <c r="G276" s="180" t="n">
        <f aca="false">IF($B$9=0,0,IF($A276&gt;IN_PRAZO,0,IF(APORTE_CORRIGIDO="Sim",IN_APORTE*$D276,IN_APORTE))+IF(AND($B$35=1,PGBL_REINVESTE="Sim",$A276&gt;=13,$A276&lt;=IN_PRAZO,MONTH($B276)=5),PGBL_BENEFICIO,0))</f>
        <v>0</v>
      </c>
      <c r="H276" s="180" t="n">
        <f aca="false">G276*$B$24</f>
        <v>0</v>
      </c>
      <c r="I276" s="180" t="n">
        <f aca="false">F276*$B$19</f>
        <v>10367.5974890351</v>
      </c>
      <c r="J276" s="180" t="n">
        <f aca="false">F276*$B$22</f>
        <v>182.102499944069</v>
      </c>
      <c r="K276" s="180" t="n">
        <f aca="false">$B$23*MAX(0,I276-F276*$B$18)</f>
        <v>0</v>
      </c>
      <c r="L276" s="180" t="n">
        <f aca="false">IF(AND($B$27=1,OR(MONTH($B276)=5,MONTH($B276)=11)),MAX(0,$B$28*MAX(0,(F276+I276-J276-K276+G276-H276)+O275-N276)-O275),0)</f>
        <v>0</v>
      </c>
      <c r="M276" s="181" t="n">
        <f aca="false">F276+I276-J276-K276+G276-H276-L276</f>
        <v>1102800.4946535</v>
      </c>
      <c r="N276" s="180" t="n">
        <f aca="false">N275+G276-H276</f>
        <v>150000</v>
      </c>
      <c r="O276" s="180" t="n">
        <f aca="false">O275+L276</f>
        <v>0</v>
      </c>
      <c r="P276" s="180" t="n">
        <f aca="false">M276+O276-N276</f>
        <v>952800.494653503</v>
      </c>
      <c r="Q276" s="180" t="n">
        <f aca="false">MAX(0,IFERROR(INDEX(TAB_IR,MATCH($C276,TAB_IR_DIAS,1),MATCH($B$8,TAB_IR_REGIMES,0)),0)*IF($B$26=2,M276,MAX(0,P276))-O276)</f>
        <v>142920.074198026</v>
      </c>
      <c r="R276" s="181" t="n">
        <f aca="false">MAX(0,M276-Q276-M276*$B$25)</f>
        <v>959880.420455478</v>
      </c>
      <c r="S276" s="180" t="n">
        <f aca="false">R276/$D276</f>
        <v>475375.144719921</v>
      </c>
      <c r="U276" s="180" t="n">
        <f aca="false">AB275</f>
        <v>823710.557093304</v>
      </c>
      <c r="V276" s="180" t="n">
        <f aca="false">IF($C$9=0,0,IF($A276&gt;IN_PRAZO,0,IF(APORTE_CORRIGIDO="Sim",IN_APORTE*$D276,IN_APORTE))+IF(AND($C$35=1,PGBL_REINVESTE="Sim",$A276&gt;=13,$A276&lt;=IN_PRAZO,MONTH($B276)=5),PGBL_BENEFICIO,0))</f>
        <v>0</v>
      </c>
      <c r="W276" s="180" t="n">
        <f aca="false">V276*$C$24</f>
        <v>0</v>
      </c>
      <c r="X276" s="180" t="n">
        <f aca="false">U276*$C$19</f>
        <v>6719.19271272848</v>
      </c>
      <c r="Y276" s="180" t="n">
        <f aca="false">U276*$C$22</f>
        <v>137.285092848884</v>
      </c>
      <c r="Z276" s="180" t="n">
        <f aca="false">$C$23*MAX(0,X276-U276*$C$18)</f>
        <v>0</v>
      </c>
      <c r="AA276" s="180" t="n">
        <f aca="false">IF(AND($C$27=1,OR(MONTH($B276)=5,MONTH($B276)=11)),MAX(0,$C$28*MAX(0,(U276+X276-Y276-Z276+V276-W276)+AD275-AC276)-AD275),0)</f>
        <v>0</v>
      </c>
      <c r="AB276" s="181" t="n">
        <f aca="false">U276+X276-Y276-Z276+V276-W276-AA276</f>
        <v>830292.464713183</v>
      </c>
      <c r="AC276" s="180" t="n">
        <f aca="false">AC275+V276-W276</f>
        <v>150000</v>
      </c>
      <c r="AD276" s="180" t="n">
        <f aca="false">AD275+AA276</f>
        <v>0</v>
      </c>
      <c r="AE276" s="180" t="n">
        <f aca="false">AB276+AD276-AC276</f>
        <v>680292.464713183</v>
      </c>
      <c r="AF276" s="180" t="n">
        <f aca="false">MAX(0,IFERROR(INDEX(TAB_IR,MATCH($C276,TAB_IR_DIAS,1),MATCH($C$8,TAB_IR_REGIMES,0)),0)*IF($C$26=2,AB276,MAX(0,AE276))-AD276)</f>
        <v>102043.869706977</v>
      </c>
      <c r="AG276" s="181" t="n">
        <f aca="false">MAX(0,AB276-AF276-AB276*$C$25)</f>
        <v>728248.595006206</v>
      </c>
      <c r="AH276" s="180" t="n">
        <f aca="false">AG276/$D276</f>
        <v>360660.842606709</v>
      </c>
      <c r="AJ276" s="180" t="n">
        <f aca="false">AQ275</f>
        <v>661542.81144435</v>
      </c>
      <c r="AK276" s="180" t="n">
        <f aca="false">IF($D$9=0,0,IF($A276&gt;IN_PRAZO,0,IF(APORTE_CORRIGIDO="Sim",IN_APORTE*$D276,IN_APORTE))+IF(AND($D$35=1,PGBL_REINVESTE="Sim",$A276&gt;=13,$A276&lt;=IN_PRAZO,MONTH($B276)=5),PGBL_BENEFICIO,0))</f>
        <v>0</v>
      </c>
      <c r="AL276" s="180" t="n">
        <f aca="false">AK276*$D$24</f>
        <v>0</v>
      </c>
      <c r="AM276" s="180" t="n">
        <f aca="false">AJ276*$D$19</f>
        <v>5946.40791737825</v>
      </c>
      <c r="AN276" s="180" t="n">
        <f aca="false">AJ276*$D$22</f>
        <v>551.285676203625</v>
      </c>
      <c r="AO276" s="180" t="n">
        <f aca="false">$D$23*MAX(0,AM276-AJ276*$D$18)</f>
        <v>0</v>
      </c>
      <c r="AP276" s="180" t="n">
        <f aca="false">IF(AND($D$27=1,OR(MONTH($B276)=5,MONTH($B276)=11)),MAX(0,$D$28*MAX(0,(AJ276+AM276-AN276-AO276+AK276-AL276)+AS275-AR276)-AS275),0)</f>
        <v>0</v>
      </c>
      <c r="AQ276" s="181" t="n">
        <f aca="false">AJ276+AM276-AN276-AO276+AK276-AL276-AP276</f>
        <v>666937.933685525</v>
      </c>
      <c r="AR276" s="180" t="n">
        <f aca="false">AR275+AK276-AL276</f>
        <v>150000</v>
      </c>
      <c r="AS276" s="180" t="n">
        <f aca="false">AS275+AP276</f>
        <v>89327.8821989482</v>
      </c>
      <c r="AT276" s="180" t="n">
        <f aca="false">AQ276+AS276-AR276</f>
        <v>606265.815884473</v>
      </c>
      <c r="AU276" s="180" t="n">
        <f aca="false">MAX(0,IFERROR(INDEX(TAB_IR,MATCH($C276,TAB_IR_DIAS,1),MATCH($D$8,TAB_IR_REGIMES,0)),0)*IF($D$26=2,AQ276,MAX(0,AT276))-AS276)</f>
        <v>1611.99018372268</v>
      </c>
      <c r="AV276" s="181" t="n">
        <f aca="false">MAX(0,AQ276-AU276-AQ276*$D$25)</f>
        <v>665325.943501802</v>
      </c>
      <c r="AW276" s="180" t="n">
        <f aca="false">AV276/$D276</f>
        <v>329498.768740389</v>
      </c>
      <c r="AY276" s="180" t="n">
        <f aca="false">BF275</f>
        <v>925347.680343883</v>
      </c>
      <c r="AZ276" s="180" t="n">
        <f aca="false">IF($E$9=0,0,IF($A276&gt;IN_PRAZO,0,IF(APORTE_CORRIGIDO="Sim",IN_APORTE*$D276,IN_APORTE))+IF(AND($E$35=1,PGBL_REINVESTE="Sim",$A276&gt;=13,$A276&lt;=IN_PRAZO,MONTH($B276)=5),PGBL_BENEFICIO,0))</f>
        <v>0</v>
      </c>
      <c r="BA276" s="180" t="n">
        <f aca="false">AZ276*$E$24</f>
        <v>0</v>
      </c>
      <c r="BB276" s="180" t="n">
        <f aca="false">AY276*$E$19</f>
        <v>9057.99280331179</v>
      </c>
      <c r="BC276" s="180" t="n">
        <f aca="false">AY276*$E$22</f>
        <v>1156.68460042985</v>
      </c>
      <c r="BD276" s="180" t="n">
        <f aca="false">$E$23*MAX(0,BB276-AY276*$E$18)</f>
        <v>0</v>
      </c>
      <c r="BE276" s="180" t="n">
        <f aca="false">IF(AND($E$27=1,OR(MONTH($B276)=5,MONTH($B276)=11)),MAX(0,$E$28*MAX(0,(AY276+BB276-BC276-BD276+AZ276-BA276)+BH275-BG276)-BH275),0)</f>
        <v>0</v>
      </c>
      <c r="BF276" s="181" t="n">
        <f aca="false">AY276+BB276-BC276-BD276+AZ276-BA276-BE276</f>
        <v>933248.988546765</v>
      </c>
      <c r="BG276" s="180" t="n">
        <f aca="false">BG275+AZ276-BA276</f>
        <v>150000</v>
      </c>
      <c r="BH276" s="180" t="n">
        <f aca="false">BH275+BE276</f>
        <v>0</v>
      </c>
      <c r="BI276" s="180" t="n">
        <f aca="false">BF276+BH276-BG276</f>
        <v>783248.988546765</v>
      </c>
      <c r="BJ276" s="180" t="n">
        <f aca="false">MAX(0,IFERROR(INDEX(TAB_IR,MATCH($C276,TAB_IR_DIAS,1),MATCH($E$8,TAB_IR_REGIMES,0)),0)*IF($E$26=2,BF276,MAX(0,BI276))-BH276)</f>
        <v>78324.8988546765</v>
      </c>
      <c r="BK276" s="181" t="n">
        <f aca="false">MAX(0,BF276-BJ276-BF276*$E$25)</f>
        <v>854924.089692089</v>
      </c>
      <c r="BL276" s="180" t="n">
        <f aca="false">BK276/$D276</f>
        <v>423396.137895047</v>
      </c>
      <c r="BN276" s="180" t="n">
        <f aca="false">BU275</f>
        <v>925347.680343883</v>
      </c>
      <c r="BO276" s="180" t="n">
        <f aca="false">IF($F$9=0,0,IF($A276&gt;IN_PRAZO,0,IF(APORTE_CORRIGIDO="Sim",IN_APORTE*$D276,IN_APORTE))+IF(AND($F$35=1,PGBL_REINVESTE="Sim",$A276&gt;=13,$A276&lt;=IN_PRAZO,MONTH($B276)=5),PGBL_BENEFICIO,0))</f>
        <v>0</v>
      </c>
      <c r="BP276" s="180" t="n">
        <f aca="false">BO276*$F$24</f>
        <v>0</v>
      </c>
      <c r="BQ276" s="180" t="n">
        <f aca="false">BN276*$F$19</f>
        <v>9057.99280331179</v>
      </c>
      <c r="BR276" s="180" t="n">
        <f aca="false">BN276*$F$22</f>
        <v>1156.68460042985</v>
      </c>
      <c r="BS276" s="180" t="n">
        <f aca="false">$F$23*MAX(0,BQ276-BN276*$F$18)</f>
        <v>0</v>
      </c>
      <c r="BT276" s="180" t="n">
        <f aca="false">IF(AND($F$27=1,OR(MONTH($B276)=5,MONTH($B276)=11)),MAX(0,$F$28*MAX(0,(BN276+BQ276-BR276-BS276+BO276-BP276)+BW275-BV276)-BW275),0)</f>
        <v>0</v>
      </c>
      <c r="BU276" s="181" t="n">
        <f aca="false">BN276+BQ276-BR276-BS276+BO276-BP276-BT276</f>
        <v>933248.988546765</v>
      </c>
      <c r="BV276" s="180" t="n">
        <f aca="false">BV275+BO276-BP276</f>
        <v>150000</v>
      </c>
      <c r="BW276" s="180" t="n">
        <f aca="false">BW275+BT276</f>
        <v>0</v>
      </c>
      <c r="BX276" s="180" t="n">
        <f aca="false">BU276+BW276-BV276</f>
        <v>783248.988546765</v>
      </c>
      <c r="BY276" s="180" t="n">
        <f aca="false">MAX(0,IFERROR(INDEX(TAB_IR,MATCH($C276,TAB_IR_DIAS,1),MATCH($F$8,TAB_IR_REGIMES,0)),0)*IF($F$26=2,BU276,MAX(0,BX276))-BW276)</f>
        <v>93324.8988546765</v>
      </c>
      <c r="BZ276" s="181" t="n">
        <f aca="false">MAX(0,BU276-BY276-BU276*$F$25)</f>
        <v>839924.089692089</v>
      </c>
      <c r="CA276" s="180" t="n">
        <f aca="false">BZ276/$D276</f>
        <v>415967.475929617</v>
      </c>
      <c r="CC276" s="180" t="n">
        <f aca="false">CJ275</f>
        <v>568701.184401432</v>
      </c>
      <c r="CD276" s="180" t="n">
        <f aca="false">IF($G$9=0,0,IF($A276&gt;IN_PRAZO,0,IF(APORTE_CORRIGIDO="Sim",IN_APORTE*$D276,IN_APORTE))+IF(AND($G$35=1,PGBL_REINVESTE="Sim",$A276&gt;=13,$A276&lt;=IN_PRAZO,MONTH($B276)=5),PGBL_BENEFICIO,0))</f>
        <v>0</v>
      </c>
      <c r="CE276" s="180" t="n">
        <f aca="false">CD276*$G$24</f>
        <v>0</v>
      </c>
      <c r="CF276" s="180" t="n">
        <f aca="false">CC276*$G$19</f>
        <v>4639.02376999318</v>
      </c>
      <c r="CG276" s="180" t="n">
        <f aca="false">CC276*$G$22</f>
        <v>473.91765366786</v>
      </c>
      <c r="CH276" s="180" t="n">
        <f aca="false">$G$23*MAX(0,CF276-CC276*$G$18)</f>
        <v>0</v>
      </c>
      <c r="CI276" s="180" t="n">
        <f aca="false">IF(AND($G$27=1,OR(MONTH($B276)=5,MONTH($B276)=11)),MAX(0,$G$28*MAX(0,(CC276+CF276-CG276-CH276+CD276-CE276)+CL275-CK276)-CL275),0)</f>
        <v>0</v>
      </c>
      <c r="CJ276" s="181" t="n">
        <f aca="false">CC276+CF276-CG276-CH276+CD276-CE276-CI276</f>
        <v>572866.290517757</v>
      </c>
      <c r="CK276" s="180" t="n">
        <f aca="false">CK275+CD276-CE276</f>
        <v>150000</v>
      </c>
      <c r="CL276" s="180" t="n">
        <f aca="false">CL275+CI276</f>
        <v>73158.7696382662</v>
      </c>
      <c r="CM276" s="180" t="n">
        <f aca="false">CJ276+CL276-CK276</f>
        <v>496025.060156024</v>
      </c>
      <c r="CN276" s="180" t="n">
        <f aca="false">MAX(0,IFERROR(INDEX(TAB_IR,MATCH($C276,TAB_IR_DIAS,1),MATCH($G$8,TAB_IR_REGIMES,0)),0)*IF($G$26=2,CJ276,MAX(0,CM276))-CL276)</f>
        <v>1244.98938513731</v>
      </c>
      <c r="CO276" s="181" t="n">
        <f aca="false">MAX(0,CJ276-CN276-CJ276*$G$25)</f>
        <v>571621.30113262</v>
      </c>
      <c r="CP276" s="180" t="n">
        <f aca="false">CO276/$D276</f>
        <v>283092.09455691</v>
      </c>
    </row>
    <row r="277" customFormat="false" ht="12" hidden="false" customHeight="true" outlineLevel="0" collapsed="false">
      <c r="A277" s="177" t="n">
        <v>216</v>
      </c>
      <c r="B277" s="178" t="n">
        <f aca="false">EDATE(DATA_INICIO,$A277)</f>
        <v>52832</v>
      </c>
      <c r="C277" s="177" t="n">
        <f aca="false">$A277*30</f>
        <v>6480</v>
      </c>
      <c r="D277" s="179" t="n">
        <f aca="false">(1+IPCA_CENARIO)^($A277/12)</f>
        <v>2.02581651537853</v>
      </c>
      <c r="F277" s="180" t="n">
        <f aca="false">M276</f>
        <v>1102800.4946535</v>
      </c>
      <c r="G277" s="180" t="n">
        <f aca="false">IF($B$9=0,0,IF($A277&gt;IN_PRAZO,0,IF(APORTE_CORRIGIDO="Sim",IN_APORTE*$D277,IN_APORTE))+IF(AND($B$35=1,PGBL_REINVESTE="Sim",$A277&gt;=13,$A277&lt;=IN_PRAZO,MONTH($B277)=5),PGBL_BENEFICIO,0))</f>
        <v>0</v>
      </c>
      <c r="H277" s="180" t="n">
        <f aca="false">G277*$B$24</f>
        <v>0</v>
      </c>
      <c r="I277" s="180" t="n">
        <f aca="false">F277*$B$19</f>
        <v>10464.2455419229</v>
      </c>
      <c r="J277" s="180" t="n">
        <f aca="false">F277*$B$22</f>
        <v>183.800082442251</v>
      </c>
      <c r="K277" s="180" t="n">
        <f aca="false">$B$23*MAX(0,I277-F277*$B$18)</f>
        <v>0</v>
      </c>
      <c r="L277" s="180" t="n">
        <f aca="false">IF(AND($B$27=1,OR(MONTH($B277)=5,MONTH($B277)=11)),MAX(0,$B$28*MAX(0,(F277+I277-J277-K277+G277-H277)+O276-N277)-O276),0)</f>
        <v>0</v>
      </c>
      <c r="M277" s="181" t="n">
        <f aca="false">F277+I277-J277-K277+G277-H277-L277</f>
        <v>1113080.94011298</v>
      </c>
      <c r="N277" s="180" t="n">
        <f aca="false">N276+G277-H277</f>
        <v>150000</v>
      </c>
      <c r="O277" s="180" t="n">
        <f aca="false">O276+L277</f>
        <v>0</v>
      </c>
      <c r="P277" s="180" t="n">
        <f aca="false">M277+O277-N277</f>
        <v>963080.940112984</v>
      </c>
      <c r="Q277" s="180" t="n">
        <f aca="false">MAX(0,IFERROR(INDEX(TAB_IR,MATCH($C277,TAB_IR_DIAS,1),MATCH($B$8,TAB_IR_REGIMES,0)),0)*IF($B$26=2,M277,MAX(0,P277))-O277)</f>
        <v>144462.141016948</v>
      </c>
      <c r="R277" s="181" t="n">
        <f aca="false">MAX(0,M277-Q277-M277*$B$25)</f>
        <v>968618.799096036</v>
      </c>
      <c r="S277" s="180" t="n">
        <f aca="false">R277/$D277</f>
        <v>478137.477774015</v>
      </c>
      <c r="U277" s="180" t="n">
        <f aca="false">AB276</f>
        <v>830292.464713183</v>
      </c>
      <c r="V277" s="180" t="n">
        <f aca="false">IF($C$9=0,0,IF($A277&gt;IN_PRAZO,0,IF(APORTE_CORRIGIDO="Sim",IN_APORTE*$D277,IN_APORTE))+IF(AND($C$35=1,PGBL_REINVESTE="Sim",$A277&gt;=13,$A277&lt;=IN_PRAZO,MONTH($B277)=5),PGBL_BENEFICIO,0))</f>
        <v>0</v>
      </c>
      <c r="W277" s="180" t="n">
        <f aca="false">V277*$C$24</f>
        <v>0</v>
      </c>
      <c r="X277" s="180" t="n">
        <f aca="false">U277*$C$19</f>
        <v>6772.88281701876</v>
      </c>
      <c r="Y277" s="180" t="n">
        <f aca="false">U277*$C$22</f>
        <v>138.382077452197</v>
      </c>
      <c r="Z277" s="180" t="n">
        <f aca="false">$C$23*MAX(0,X277-U277*$C$18)</f>
        <v>0</v>
      </c>
      <c r="AA277" s="180" t="n">
        <f aca="false">IF(AND($C$27=1,OR(MONTH($B277)=5,MONTH($B277)=11)),MAX(0,$C$28*MAX(0,(U277+X277-Y277-Z277+V277-W277)+AD276-AC277)-AD276),0)</f>
        <v>0</v>
      </c>
      <c r="AB277" s="181" t="n">
        <f aca="false">U277+X277-Y277-Z277+V277-W277-AA277</f>
        <v>836926.96545275</v>
      </c>
      <c r="AC277" s="180" t="n">
        <f aca="false">AC276+V277-W277</f>
        <v>150000</v>
      </c>
      <c r="AD277" s="180" t="n">
        <f aca="false">AD276+AA277</f>
        <v>0</v>
      </c>
      <c r="AE277" s="180" t="n">
        <f aca="false">AB277+AD277-AC277</f>
        <v>686926.96545275</v>
      </c>
      <c r="AF277" s="180" t="n">
        <f aca="false">MAX(0,IFERROR(INDEX(TAB_IR,MATCH($C277,TAB_IR_DIAS,1),MATCH($C$8,TAB_IR_REGIMES,0)),0)*IF($C$26=2,AB277,MAX(0,AE277))-AD277)</f>
        <v>103039.044817912</v>
      </c>
      <c r="AG277" s="181" t="n">
        <f aca="false">MAX(0,AB277-AF277-AB277*$C$25)</f>
        <v>733887.920634837</v>
      </c>
      <c r="AH277" s="180" t="n">
        <f aca="false">AG277/$D277</f>
        <v>362267.715295878</v>
      </c>
      <c r="AJ277" s="180" t="n">
        <f aca="false">AQ276</f>
        <v>666937.933685525</v>
      </c>
      <c r="AK277" s="180" t="n">
        <f aca="false">IF($D$9=0,0,IF($A277&gt;IN_PRAZO,0,IF(APORTE_CORRIGIDO="Sim",IN_APORTE*$D277,IN_APORTE))+IF(AND($D$35=1,PGBL_REINVESTE="Sim",$A277&gt;=13,$A277&lt;=IN_PRAZO,MONTH($B277)=5),PGBL_BENEFICIO,0))</f>
        <v>0</v>
      </c>
      <c r="AL277" s="180" t="n">
        <f aca="false">AK277*$D$24</f>
        <v>0</v>
      </c>
      <c r="AM277" s="180" t="n">
        <f aca="false">AJ277*$D$19</f>
        <v>5994.90303674943</v>
      </c>
      <c r="AN277" s="180" t="n">
        <f aca="false">AJ277*$D$22</f>
        <v>555.781611404604</v>
      </c>
      <c r="AO277" s="180" t="n">
        <f aca="false">$D$23*MAX(0,AM277-AJ277*$D$18)</f>
        <v>0</v>
      </c>
      <c r="AP277" s="180" t="n">
        <f aca="false">IF(AND($D$27=1,OR(MONTH($B277)=5,MONTH($B277)=11)),MAX(0,$D$28*MAX(0,(AJ277+AM277-AN277-AO277+AK277-AL277)+AS276-AR277)-AS276),0)</f>
        <v>0</v>
      </c>
      <c r="AQ277" s="181" t="n">
        <f aca="false">AJ277+AM277-AN277-AO277+AK277-AL277-AP277</f>
        <v>672377.055110869</v>
      </c>
      <c r="AR277" s="180" t="n">
        <f aca="false">AR276+AK277-AL277</f>
        <v>150000</v>
      </c>
      <c r="AS277" s="180" t="n">
        <f aca="false">AS276+AP277</f>
        <v>89327.8821989482</v>
      </c>
      <c r="AT277" s="180" t="n">
        <f aca="false">AQ277+AS277-AR277</f>
        <v>611704.937309818</v>
      </c>
      <c r="AU277" s="180" t="n">
        <f aca="false">MAX(0,IFERROR(INDEX(TAB_IR,MATCH($C277,TAB_IR_DIAS,1),MATCH($D$8,TAB_IR_REGIMES,0)),0)*IF($D$26=2,AQ277,MAX(0,AT277))-AS277)</f>
        <v>2427.8583975244</v>
      </c>
      <c r="AV277" s="181" t="n">
        <f aca="false">MAX(0,AQ277-AU277-AQ277*$D$25)</f>
        <v>669949.196713345</v>
      </c>
      <c r="AW277" s="180" t="n">
        <f aca="false">AV277/$D277</f>
        <v>330705.76314665</v>
      </c>
      <c r="AY277" s="180" t="n">
        <f aca="false">BF276</f>
        <v>933248.988546765</v>
      </c>
      <c r="AZ277" s="180" t="n">
        <f aca="false">IF($E$9=0,0,IF($A277&gt;IN_PRAZO,0,IF(APORTE_CORRIGIDO="Sim",IN_APORTE*$D277,IN_APORTE))+IF(AND($E$35=1,PGBL_REINVESTE="Sim",$A277&gt;=13,$A277&lt;=IN_PRAZO,MONTH($B277)=5),PGBL_BENEFICIO,0))</f>
        <v>0</v>
      </c>
      <c r="BA277" s="180" t="n">
        <f aca="false">AZ277*$E$24</f>
        <v>0</v>
      </c>
      <c r="BB277" s="180" t="n">
        <f aca="false">AY277*$E$19</f>
        <v>9135.33669724348</v>
      </c>
      <c r="BC277" s="180" t="n">
        <f aca="false">AY277*$E$22</f>
        <v>1166.56123568346</v>
      </c>
      <c r="BD277" s="180" t="n">
        <f aca="false">$E$23*MAX(0,BB277-AY277*$E$18)</f>
        <v>0</v>
      </c>
      <c r="BE277" s="180" t="n">
        <f aca="false">IF(AND($E$27=1,OR(MONTH($B277)=5,MONTH($B277)=11)),MAX(0,$E$28*MAX(0,(AY277+BB277-BC277-BD277+AZ277-BA277)+BH276-BG277)-BH276),0)</f>
        <v>0</v>
      </c>
      <c r="BF277" s="181" t="n">
        <f aca="false">AY277+BB277-BC277-BD277+AZ277-BA277-BE277</f>
        <v>941217.764008325</v>
      </c>
      <c r="BG277" s="180" t="n">
        <f aca="false">BG276+AZ277-BA277</f>
        <v>150000</v>
      </c>
      <c r="BH277" s="180" t="n">
        <f aca="false">BH276+BE277</f>
        <v>0</v>
      </c>
      <c r="BI277" s="180" t="n">
        <f aca="false">BF277+BH277-BG277</f>
        <v>791217.764008325</v>
      </c>
      <c r="BJ277" s="180" t="n">
        <f aca="false">MAX(0,IFERROR(INDEX(TAB_IR,MATCH($C277,TAB_IR_DIAS,1),MATCH($E$8,TAB_IR_REGIMES,0)),0)*IF($E$26=2,BF277,MAX(0,BI277))-BH277)</f>
        <v>79121.7764008325</v>
      </c>
      <c r="BK277" s="181" t="n">
        <f aca="false">MAX(0,BF277-BJ277-BF277*$E$25)</f>
        <v>862095.987607493</v>
      </c>
      <c r="BL277" s="180" t="n">
        <f aca="false">BK277/$D277</f>
        <v>425554.822494083</v>
      </c>
      <c r="BN277" s="180" t="n">
        <f aca="false">BU276</f>
        <v>933248.988546765</v>
      </c>
      <c r="BO277" s="180" t="n">
        <f aca="false">IF($F$9=0,0,IF($A277&gt;IN_PRAZO,0,IF(APORTE_CORRIGIDO="Sim",IN_APORTE*$D277,IN_APORTE))+IF(AND($F$35=1,PGBL_REINVESTE="Sim",$A277&gt;=13,$A277&lt;=IN_PRAZO,MONTH($B277)=5),PGBL_BENEFICIO,0))</f>
        <v>0</v>
      </c>
      <c r="BP277" s="180" t="n">
        <f aca="false">BO277*$F$24</f>
        <v>0</v>
      </c>
      <c r="BQ277" s="180" t="n">
        <f aca="false">BN277*$F$19</f>
        <v>9135.33669724348</v>
      </c>
      <c r="BR277" s="180" t="n">
        <f aca="false">BN277*$F$22</f>
        <v>1166.56123568346</v>
      </c>
      <c r="BS277" s="180" t="n">
        <f aca="false">$F$23*MAX(0,BQ277-BN277*$F$18)</f>
        <v>0</v>
      </c>
      <c r="BT277" s="180" t="n">
        <f aca="false">IF(AND($F$27=1,OR(MONTH($B277)=5,MONTH($B277)=11)),MAX(0,$F$28*MAX(0,(BN277+BQ277-BR277-BS277+BO277-BP277)+BW276-BV277)-BW276),0)</f>
        <v>0</v>
      </c>
      <c r="BU277" s="181" t="n">
        <f aca="false">BN277+BQ277-BR277-BS277+BO277-BP277-BT277</f>
        <v>941217.764008325</v>
      </c>
      <c r="BV277" s="180" t="n">
        <f aca="false">BV276+BO277-BP277</f>
        <v>150000</v>
      </c>
      <c r="BW277" s="180" t="n">
        <f aca="false">BW276+BT277</f>
        <v>0</v>
      </c>
      <c r="BX277" s="180" t="n">
        <f aca="false">BU277+BW277-BV277</f>
        <v>791217.764008325</v>
      </c>
      <c r="BY277" s="180" t="n">
        <f aca="false">MAX(0,IFERROR(INDEX(TAB_IR,MATCH($C277,TAB_IR_DIAS,1),MATCH($F$8,TAB_IR_REGIMES,0)),0)*IF($F$26=2,BU277,MAX(0,BX277))-BW277)</f>
        <v>94121.7764008325</v>
      </c>
      <c r="BZ277" s="181" t="n">
        <f aca="false">MAX(0,BU277-BY277-BU277*$F$25)</f>
        <v>847095.987607493</v>
      </c>
      <c r="CA277" s="180" t="n">
        <f aca="false">BZ277/$D277</f>
        <v>418150.400678913</v>
      </c>
      <c r="CC277" s="180" t="n">
        <f aca="false">CJ276</f>
        <v>572866.290517757</v>
      </c>
      <c r="CD277" s="180" t="n">
        <f aca="false">IF($G$9=0,0,IF($A277&gt;IN_PRAZO,0,IF(APORTE_CORRIGIDO="Sim",IN_APORTE*$D277,IN_APORTE))+IF(AND($G$35=1,PGBL_REINVESTE="Sim",$A277&gt;=13,$A277&lt;=IN_PRAZO,MONTH($B277)=5),PGBL_BENEFICIO,0))</f>
        <v>0</v>
      </c>
      <c r="CE277" s="180" t="n">
        <f aca="false">CD277*$G$24</f>
        <v>0</v>
      </c>
      <c r="CF277" s="180" t="n">
        <f aca="false">CC277*$G$19</f>
        <v>4672.99947957169</v>
      </c>
      <c r="CG277" s="180" t="n">
        <f aca="false">CC277*$G$22</f>
        <v>477.388575431465</v>
      </c>
      <c r="CH277" s="180" t="n">
        <f aca="false">$G$23*MAX(0,CF277-CC277*$G$18)</f>
        <v>0</v>
      </c>
      <c r="CI277" s="180" t="n">
        <f aca="false">IF(AND($G$27=1,OR(MONTH($B277)=5,MONTH($B277)=11)),MAX(0,$G$28*MAX(0,(CC277+CF277-CG277-CH277+CD277-CE277)+CL276-CK277)-CL276),0)</f>
        <v>0</v>
      </c>
      <c r="CJ277" s="181" t="n">
        <f aca="false">CC277+CF277-CG277-CH277+CD277-CE277-CI277</f>
        <v>577061.901421898</v>
      </c>
      <c r="CK277" s="180" t="n">
        <f aca="false">CK276+CD277-CE277</f>
        <v>150000</v>
      </c>
      <c r="CL277" s="180" t="n">
        <f aca="false">CL276+CI277</f>
        <v>73158.7696382662</v>
      </c>
      <c r="CM277" s="180" t="n">
        <f aca="false">CJ277+CL277-CK277</f>
        <v>500220.671060164</v>
      </c>
      <c r="CN277" s="180" t="n">
        <f aca="false">MAX(0,IFERROR(INDEX(TAB_IR,MATCH($C277,TAB_IR_DIAS,1),MATCH($G$8,TAB_IR_REGIMES,0)),0)*IF($G$26=2,CJ277,MAX(0,CM277))-CL277)</f>
        <v>1874.33102075836</v>
      </c>
      <c r="CO277" s="181" t="n">
        <f aca="false">MAX(0,CJ277-CN277-CJ277*$G$25)</f>
        <v>575187.570401139</v>
      </c>
      <c r="CP277" s="180" t="n">
        <f aca="false">CO277/$D277</f>
        <v>283928.759606179</v>
      </c>
    </row>
    <row r="278" customFormat="false" ht="12" hidden="false" customHeight="true" outlineLevel="0" collapsed="false">
      <c r="A278" s="177" t="n">
        <v>217</v>
      </c>
      <c r="B278" s="178" t="n">
        <f aca="false">EDATE(DATA_INICIO,$A278)</f>
        <v>52863</v>
      </c>
      <c r="C278" s="177" t="n">
        <f aca="false">$A278*30</f>
        <v>6510</v>
      </c>
      <c r="D278" s="179" t="n">
        <f aca="false">(1+IPCA_CENARIO)^($A278/12)</f>
        <v>2.03244851149636</v>
      </c>
      <c r="F278" s="180" t="n">
        <f aca="false">M277</f>
        <v>1113080.94011298</v>
      </c>
      <c r="G278" s="180" t="n">
        <f aca="false">IF($B$9=0,0,IF($A278&gt;IN_PRAZO,0,IF(APORTE_CORRIGIDO="Sim",IN_APORTE*$D278,IN_APORTE))+IF(AND($B$35=1,PGBL_REINVESTE="Sim",$A278&gt;=13,$A278&lt;=IN_PRAZO,MONTH($B278)=5),PGBL_BENEFICIO,0))</f>
        <v>0</v>
      </c>
      <c r="H278" s="180" t="n">
        <f aca="false">G278*$B$24</f>
        <v>0</v>
      </c>
      <c r="I278" s="180" t="n">
        <f aca="false">F278*$B$19</f>
        <v>10561.7945601631</v>
      </c>
      <c r="J278" s="180" t="n">
        <f aca="false">F278*$B$22</f>
        <v>185.513490018831</v>
      </c>
      <c r="K278" s="180" t="n">
        <f aca="false">$B$23*MAX(0,I278-F278*$B$18)</f>
        <v>0</v>
      </c>
      <c r="L278" s="180" t="n">
        <f aca="false">IF(AND($B$27=1,OR(MONTH($B278)=5,MONTH($B278)=11)),MAX(0,$B$28*MAX(0,(F278+I278-J278-K278+G278-H278)+O277-N278)-O277),0)</f>
        <v>0</v>
      </c>
      <c r="M278" s="181" t="n">
        <f aca="false">F278+I278-J278-K278+G278-H278-L278</f>
        <v>1123457.22118313</v>
      </c>
      <c r="N278" s="180" t="n">
        <f aca="false">N277+G278-H278</f>
        <v>150000</v>
      </c>
      <c r="O278" s="180" t="n">
        <f aca="false">O277+L278</f>
        <v>0</v>
      </c>
      <c r="P278" s="180" t="n">
        <f aca="false">M278+O278-N278</f>
        <v>973457.221183128</v>
      </c>
      <c r="Q278" s="180" t="n">
        <f aca="false">MAX(0,IFERROR(INDEX(TAB_IR,MATCH($C278,TAB_IR_DIAS,1),MATCH($B$8,TAB_IR_REGIMES,0)),0)*IF($B$26=2,M278,MAX(0,P278))-O278)</f>
        <v>146018.583177469</v>
      </c>
      <c r="R278" s="181" t="n">
        <f aca="false">MAX(0,M278-Q278-M278*$B$25)</f>
        <v>977438.638005659</v>
      </c>
      <c r="S278" s="180" t="n">
        <f aca="false">R278/$D278</f>
        <v>480916.80181656</v>
      </c>
      <c r="U278" s="180" t="n">
        <f aca="false">AB277</f>
        <v>836926.96545275</v>
      </c>
      <c r="V278" s="180" t="n">
        <f aca="false">IF($C$9=0,0,IF($A278&gt;IN_PRAZO,0,IF(APORTE_CORRIGIDO="Sim",IN_APORTE*$D278,IN_APORTE))+IF(AND($C$35=1,PGBL_REINVESTE="Sim",$A278&gt;=13,$A278&lt;=IN_PRAZO,MONTH($B278)=5),PGBL_BENEFICIO,0))</f>
        <v>0</v>
      </c>
      <c r="W278" s="180" t="n">
        <f aca="false">V278*$C$24</f>
        <v>0</v>
      </c>
      <c r="X278" s="180" t="n">
        <f aca="false">U278*$C$19</f>
        <v>6827.001935243</v>
      </c>
      <c r="Y278" s="180" t="n">
        <f aca="false">U278*$C$22</f>
        <v>139.487827575458</v>
      </c>
      <c r="Z278" s="180" t="n">
        <f aca="false">$C$23*MAX(0,X278-U278*$C$18)</f>
        <v>0</v>
      </c>
      <c r="AA278" s="180" t="n">
        <f aca="false">IF(AND($C$27=1,OR(MONTH($B278)=5,MONTH($B278)=11)),MAX(0,$C$28*MAX(0,(U278+X278-Y278-Z278+V278-W278)+AD277-AC278)-AD277),0)</f>
        <v>0</v>
      </c>
      <c r="AB278" s="181" t="n">
        <f aca="false">U278+X278-Y278-Z278+V278-W278-AA278</f>
        <v>843614.479560417</v>
      </c>
      <c r="AC278" s="180" t="n">
        <f aca="false">AC277+V278-W278</f>
        <v>150000</v>
      </c>
      <c r="AD278" s="180" t="n">
        <f aca="false">AD277+AA278</f>
        <v>0</v>
      </c>
      <c r="AE278" s="180" t="n">
        <f aca="false">AB278+AD278-AC278</f>
        <v>693614.479560417</v>
      </c>
      <c r="AF278" s="180" t="n">
        <f aca="false">MAX(0,IFERROR(INDEX(TAB_IR,MATCH($C278,TAB_IR_DIAS,1),MATCH($C$8,TAB_IR_REGIMES,0)),0)*IF($C$26=2,AB278,MAX(0,AE278))-AD278)</f>
        <v>104042.171934063</v>
      </c>
      <c r="AG278" s="181" t="n">
        <f aca="false">MAX(0,AB278-AF278-AB278*$C$25)</f>
        <v>739572.307626355</v>
      </c>
      <c r="AH278" s="180" t="n">
        <f aca="false">AG278/$D278</f>
        <v>363882.432171359</v>
      </c>
      <c r="AJ278" s="180" t="n">
        <f aca="false">AQ277</f>
        <v>672377.055110869</v>
      </c>
      <c r="AK278" s="180" t="n">
        <f aca="false">IF($D$9=0,0,IF($A278&gt;IN_PRAZO,0,IF(APORTE_CORRIGIDO="Sim",IN_APORTE*$D278,IN_APORTE))+IF(AND($D$35=1,PGBL_REINVESTE="Sim",$A278&gt;=13,$A278&lt;=IN_PRAZO,MONTH($B278)=5),PGBL_BENEFICIO,0))</f>
        <v>0</v>
      </c>
      <c r="AL278" s="180" t="n">
        <f aca="false">AK278*$D$24</f>
        <v>0</v>
      </c>
      <c r="AM278" s="180" t="n">
        <f aca="false">AJ278*$D$19</f>
        <v>6043.79365145755</v>
      </c>
      <c r="AN278" s="180" t="n">
        <f aca="false">AJ278*$D$22</f>
        <v>560.314212592391</v>
      </c>
      <c r="AO278" s="180" t="n">
        <f aca="false">$D$23*MAX(0,AM278-AJ278*$D$18)</f>
        <v>0</v>
      </c>
      <c r="AP278" s="180" t="n">
        <f aca="false">IF(AND($D$27=1,OR(MONTH($B278)=5,MONTH($B278)=11)),MAX(0,$D$28*MAX(0,(AJ278+AM278-AN278-AO278+AK278-AL278)+AS277-AR278)-AS277),0)</f>
        <v>0</v>
      </c>
      <c r="AQ278" s="181" t="n">
        <f aca="false">AJ278+AM278-AN278-AO278+AK278-AL278-AP278</f>
        <v>677860.534549734</v>
      </c>
      <c r="AR278" s="180" t="n">
        <f aca="false">AR277+AK278-AL278</f>
        <v>150000</v>
      </c>
      <c r="AS278" s="180" t="n">
        <f aca="false">AS277+AP278</f>
        <v>89327.8821989482</v>
      </c>
      <c r="AT278" s="180" t="n">
        <f aca="false">AQ278+AS278-AR278</f>
        <v>617188.416748683</v>
      </c>
      <c r="AU278" s="180" t="n">
        <f aca="false">MAX(0,IFERROR(INDEX(TAB_IR,MATCH($C278,TAB_IR_DIAS,1),MATCH($D$8,TAB_IR_REGIMES,0)),0)*IF($D$26=2,AQ278,MAX(0,AT278))-AS278)</f>
        <v>3250.38031335417</v>
      </c>
      <c r="AV278" s="181" t="n">
        <f aca="false">MAX(0,AQ278-AU278-AQ278*$D$25)</f>
        <v>674610.15423638</v>
      </c>
      <c r="AW278" s="180" t="n">
        <f aca="false">AV278/$D278</f>
        <v>331919.923393143</v>
      </c>
      <c r="AY278" s="180" t="n">
        <f aca="false">BF277</f>
        <v>941217.764008325</v>
      </c>
      <c r="AZ278" s="180" t="n">
        <f aca="false">IF($E$9=0,0,IF($A278&gt;IN_PRAZO,0,IF(APORTE_CORRIGIDO="Sim",IN_APORTE*$D278,IN_APORTE))+IF(AND($E$35=1,PGBL_REINVESTE="Sim",$A278&gt;=13,$A278&lt;=IN_PRAZO,MONTH($B278)=5),PGBL_BENEFICIO,0))</f>
        <v>0</v>
      </c>
      <c r="BA278" s="180" t="n">
        <f aca="false">AZ278*$E$24</f>
        <v>0</v>
      </c>
      <c r="BB278" s="180" t="n">
        <f aca="false">AY278*$E$19</f>
        <v>9213.34101098985</v>
      </c>
      <c r="BC278" s="180" t="n">
        <f aca="false">AY278*$E$22</f>
        <v>1176.52220501041</v>
      </c>
      <c r="BD278" s="180" t="n">
        <f aca="false">$E$23*MAX(0,BB278-AY278*$E$18)</f>
        <v>0</v>
      </c>
      <c r="BE278" s="180" t="n">
        <f aca="false">IF(AND($E$27=1,OR(MONTH($B278)=5,MONTH($B278)=11)),MAX(0,$E$28*MAX(0,(AY278+BB278-BC278-BD278+AZ278-BA278)+BH277-BG278)-BH277),0)</f>
        <v>0</v>
      </c>
      <c r="BF278" s="181" t="n">
        <f aca="false">AY278+BB278-BC278-BD278+AZ278-BA278-BE278</f>
        <v>949254.582814305</v>
      </c>
      <c r="BG278" s="180" t="n">
        <f aca="false">BG277+AZ278-BA278</f>
        <v>150000</v>
      </c>
      <c r="BH278" s="180" t="n">
        <f aca="false">BH277+BE278</f>
        <v>0</v>
      </c>
      <c r="BI278" s="180" t="n">
        <f aca="false">BF278+BH278-BG278</f>
        <v>799254.582814305</v>
      </c>
      <c r="BJ278" s="180" t="n">
        <f aca="false">MAX(0,IFERROR(INDEX(TAB_IR,MATCH($C278,TAB_IR_DIAS,1),MATCH($E$8,TAB_IR_REGIMES,0)),0)*IF($E$26=2,BF278,MAX(0,BI278))-BH278)</f>
        <v>79925.4582814305</v>
      </c>
      <c r="BK278" s="181" t="n">
        <f aca="false">MAX(0,BF278-BJ278-BF278*$E$25)</f>
        <v>869329.124532874</v>
      </c>
      <c r="BL278" s="180" t="n">
        <f aca="false">BK278/$D278</f>
        <v>427725.041798398</v>
      </c>
      <c r="BN278" s="180" t="n">
        <f aca="false">BU277</f>
        <v>941217.764008325</v>
      </c>
      <c r="BO278" s="180" t="n">
        <f aca="false">IF($F$9=0,0,IF($A278&gt;IN_PRAZO,0,IF(APORTE_CORRIGIDO="Sim",IN_APORTE*$D278,IN_APORTE))+IF(AND($F$35=1,PGBL_REINVESTE="Sim",$A278&gt;=13,$A278&lt;=IN_PRAZO,MONTH($B278)=5),PGBL_BENEFICIO,0))</f>
        <v>0</v>
      </c>
      <c r="BP278" s="180" t="n">
        <f aca="false">BO278*$F$24</f>
        <v>0</v>
      </c>
      <c r="BQ278" s="180" t="n">
        <f aca="false">BN278*$F$19</f>
        <v>9213.34101098985</v>
      </c>
      <c r="BR278" s="180" t="n">
        <f aca="false">BN278*$F$22</f>
        <v>1176.52220501041</v>
      </c>
      <c r="BS278" s="180" t="n">
        <f aca="false">$F$23*MAX(0,BQ278-BN278*$F$18)</f>
        <v>0</v>
      </c>
      <c r="BT278" s="180" t="n">
        <f aca="false">IF(AND($F$27=1,OR(MONTH($B278)=5,MONTH($B278)=11)),MAX(0,$F$28*MAX(0,(BN278+BQ278-BR278-BS278+BO278-BP278)+BW277-BV278)-BW277),0)</f>
        <v>0</v>
      </c>
      <c r="BU278" s="181" t="n">
        <f aca="false">BN278+BQ278-BR278-BS278+BO278-BP278-BT278</f>
        <v>949254.582814305</v>
      </c>
      <c r="BV278" s="180" t="n">
        <f aca="false">BV277+BO278-BP278</f>
        <v>150000</v>
      </c>
      <c r="BW278" s="180" t="n">
        <f aca="false">BW277+BT278</f>
        <v>0</v>
      </c>
      <c r="BX278" s="180" t="n">
        <f aca="false">BU278+BW278-BV278</f>
        <v>799254.582814305</v>
      </c>
      <c r="BY278" s="180" t="n">
        <f aca="false">MAX(0,IFERROR(INDEX(TAB_IR,MATCH($C278,TAB_IR_DIAS,1),MATCH($F$8,TAB_IR_REGIMES,0)),0)*IF($F$26=2,BU278,MAX(0,BX278))-BW278)</f>
        <v>94925.4582814305</v>
      </c>
      <c r="BZ278" s="181" t="n">
        <f aca="false">MAX(0,BU278-BY278-BU278*$F$25)</f>
        <v>854329.124532874</v>
      </c>
      <c r="CA278" s="180" t="n">
        <f aca="false">BZ278/$D278</f>
        <v>420344.781036488</v>
      </c>
      <c r="CC278" s="180" t="n">
        <f aca="false">CJ277</f>
        <v>577061.901421898</v>
      </c>
      <c r="CD278" s="180" t="n">
        <f aca="false">IF($G$9=0,0,IF($A278&gt;IN_PRAZO,0,IF(APORTE_CORRIGIDO="Sim",IN_APORTE*$D278,IN_APORTE))+IF(AND($G$35=1,PGBL_REINVESTE="Sim",$A278&gt;=13,$A278&lt;=IN_PRAZO,MONTH($B278)=5),PGBL_BENEFICIO,0))</f>
        <v>0</v>
      </c>
      <c r="CE278" s="180" t="n">
        <f aca="false">CD278*$G$24</f>
        <v>0</v>
      </c>
      <c r="CF278" s="180" t="n">
        <f aca="false">CC278*$G$19</f>
        <v>4707.22402358145</v>
      </c>
      <c r="CG278" s="180" t="n">
        <f aca="false">CC278*$G$22</f>
        <v>480.884917851581</v>
      </c>
      <c r="CH278" s="180" t="n">
        <f aca="false">$G$23*MAX(0,CF278-CC278*$G$18)</f>
        <v>0</v>
      </c>
      <c r="CI278" s="180" t="n">
        <f aca="false">IF(AND($G$27=1,OR(MONTH($B278)=5,MONTH($B278)=11)),MAX(0,$G$28*MAX(0,(CC278+CF278-CG278-CH278+CD278-CE278)+CL277-CK278)-CL277),0)</f>
        <v>0</v>
      </c>
      <c r="CJ278" s="181" t="n">
        <f aca="false">CC278+CF278-CG278-CH278+CD278-CE278-CI278</f>
        <v>581288.240527628</v>
      </c>
      <c r="CK278" s="180" t="n">
        <f aca="false">CK277+CD278-CE278</f>
        <v>150000</v>
      </c>
      <c r="CL278" s="180" t="n">
        <f aca="false">CL277+CI278</f>
        <v>73158.7696382662</v>
      </c>
      <c r="CM278" s="180" t="n">
        <f aca="false">CJ278+CL278-CK278</f>
        <v>504447.010165894</v>
      </c>
      <c r="CN278" s="180" t="n">
        <f aca="false">MAX(0,IFERROR(INDEX(TAB_IR,MATCH($C278,TAB_IR_DIAS,1),MATCH($G$8,TAB_IR_REGIMES,0)),0)*IF($G$26=2,CJ278,MAX(0,CM278))-CL278)</f>
        <v>2508.28188661784</v>
      </c>
      <c r="CO278" s="181" t="n">
        <f aca="false">MAX(0,CJ278-CN278-CJ278*$G$25)</f>
        <v>578779.95864101</v>
      </c>
      <c r="CP278" s="180" t="n">
        <f aca="false">CO278/$D278</f>
        <v>284769.801235895</v>
      </c>
    </row>
    <row r="279" customFormat="false" ht="12" hidden="false" customHeight="true" outlineLevel="0" collapsed="false">
      <c r="A279" s="177" t="n">
        <v>218</v>
      </c>
      <c r="B279" s="178" t="n">
        <f aca="false">EDATE(DATA_INICIO,$A279)</f>
        <v>52893</v>
      </c>
      <c r="C279" s="177" t="n">
        <f aca="false">$A279*30</f>
        <v>6540</v>
      </c>
      <c r="D279" s="179" t="n">
        <f aca="false">(1+IPCA_CENARIO)^($A279/12)</f>
        <v>2.03910221904372</v>
      </c>
      <c r="F279" s="180" t="n">
        <f aca="false">M278</f>
        <v>1123457.22118313</v>
      </c>
      <c r="G279" s="180" t="n">
        <f aca="false">IF($B$9=0,0,IF($A279&gt;IN_PRAZO,0,IF(APORTE_CORRIGIDO="Sim",IN_APORTE*$D279,IN_APORTE))+IF(AND($B$35=1,PGBL_REINVESTE="Sim",$A279&gt;=13,$A279&lt;=IN_PRAZO,MONTH($B279)=5),PGBL_BENEFICIO,0))</f>
        <v>0</v>
      </c>
      <c r="H279" s="180" t="n">
        <f aca="false">G279*$B$24</f>
        <v>0</v>
      </c>
      <c r="I279" s="180" t="n">
        <f aca="false">F279*$B$19</f>
        <v>10660.2529426688</v>
      </c>
      <c r="J279" s="180" t="n">
        <f aca="false">F279*$B$22</f>
        <v>187.242870197188</v>
      </c>
      <c r="K279" s="180" t="n">
        <f aca="false">$B$23*MAX(0,I279-F279*$B$18)</f>
        <v>0</v>
      </c>
      <c r="L279" s="180" t="n">
        <f aca="false">IF(AND($B$27=1,OR(MONTH($B279)=5,MONTH($B279)=11)),MAX(0,$B$28*MAX(0,(F279+I279-J279-K279+G279-H279)+O278-N279)-O278),0)</f>
        <v>0</v>
      </c>
      <c r="M279" s="181" t="n">
        <f aca="false">F279+I279-J279-K279+G279-H279-L279</f>
        <v>1133930.2312556</v>
      </c>
      <c r="N279" s="180" t="n">
        <f aca="false">N278+G279-H279</f>
        <v>150000</v>
      </c>
      <c r="O279" s="180" t="n">
        <f aca="false">O278+L279</f>
        <v>0</v>
      </c>
      <c r="P279" s="180" t="n">
        <f aca="false">M279+O279-N279</f>
        <v>983930.2312556</v>
      </c>
      <c r="Q279" s="180" t="n">
        <f aca="false">MAX(0,IFERROR(INDEX(TAB_IR,MATCH($C279,TAB_IR_DIAS,1),MATCH($B$8,TAB_IR_REGIMES,0)),0)*IF($B$26=2,M279,MAX(0,P279))-O279)</f>
        <v>147589.53468834</v>
      </c>
      <c r="R279" s="181" t="n">
        <f aca="false">MAX(0,M279-Q279-M279*$B$25)</f>
        <v>986340.69656726</v>
      </c>
      <c r="S279" s="180" t="n">
        <f aca="false">R279/$D279</f>
        <v>483713.218177863</v>
      </c>
      <c r="U279" s="180" t="n">
        <f aca="false">AB278</f>
        <v>843614.479560417</v>
      </c>
      <c r="V279" s="180" t="n">
        <f aca="false">IF($C$9=0,0,IF($A279&gt;IN_PRAZO,0,IF(APORTE_CORRIGIDO="Sim",IN_APORTE*$D279,IN_APORTE))+IF(AND($C$35=1,PGBL_REINVESTE="Sim",$A279&gt;=13,$A279&lt;=IN_PRAZO,MONTH($B279)=5),PGBL_BENEFICIO,0))</f>
        <v>0</v>
      </c>
      <c r="W279" s="180" t="n">
        <f aca="false">V279*$C$24</f>
        <v>0</v>
      </c>
      <c r="X279" s="180" t="n">
        <f aca="false">U279*$C$19</f>
        <v>6881.55349546226</v>
      </c>
      <c r="Y279" s="180" t="n">
        <f aca="false">U279*$C$22</f>
        <v>140.60241326007</v>
      </c>
      <c r="Z279" s="180" t="n">
        <f aca="false">$C$23*MAX(0,X279-U279*$C$18)</f>
        <v>0</v>
      </c>
      <c r="AA279" s="180" t="n">
        <f aca="false">IF(AND($C$27=1,OR(MONTH($B279)=5,MONTH($B279)=11)),MAX(0,$C$28*MAX(0,(U279+X279-Y279-Z279+V279-W279)+AD278-AC279)-AD278),0)</f>
        <v>0</v>
      </c>
      <c r="AB279" s="181" t="n">
        <f aca="false">U279+X279-Y279-Z279+V279-W279-AA279</f>
        <v>850355.43064262</v>
      </c>
      <c r="AC279" s="180" t="n">
        <f aca="false">AC278+V279-W279</f>
        <v>150000</v>
      </c>
      <c r="AD279" s="180" t="n">
        <f aca="false">AD278+AA279</f>
        <v>0</v>
      </c>
      <c r="AE279" s="180" t="n">
        <f aca="false">AB279+AD279-AC279</f>
        <v>700355.43064262</v>
      </c>
      <c r="AF279" s="180" t="n">
        <f aca="false">MAX(0,IFERROR(INDEX(TAB_IR,MATCH($C279,TAB_IR_DIAS,1),MATCH($C$8,TAB_IR_REGIMES,0)),0)*IF($C$26=2,AB279,MAX(0,AE279))-AD279)</f>
        <v>105053.314596393</v>
      </c>
      <c r="AG279" s="181" t="n">
        <f aca="false">MAX(0,AB279-AF279-AB279*$C$25)</f>
        <v>745302.116046227</v>
      </c>
      <c r="AH279" s="180" t="n">
        <f aca="false">AG279/$D279</f>
        <v>365505.029167077</v>
      </c>
      <c r="AJ279" s="180" t="n">
        <f aca="false">AQ278</f>
        <v>677860.534549734</v>
      </c>
      <c r="AK279" s="180" t="n">
        <f aca="false">IF($D$9=0,0,IF($A279&gt;IN_PRAZO,0,IF(APORTE_CORRIGIDO="Sim",IN_APORTE*$D279,IN_APORTE))+IF(AND($D$35=1,PGBL_REINVESTE="Sim",$A279&gt;=13,$A279&lt;=IN_PRAZO,MONTH($B279)=5),PGBL_BENEFICIO,0))</f>
        <v>0</v>
      </c>
      <c r="AL279" s="180" t="n">
        <f aca="false">AK279*$D$24</f>
        <v>0</v>
      </c>
      <c r="AM279" s="180" t="n">
        <f aca="false">AJ279*$D$19</f>
        <v>6093.08298691093</v>
      </c>
      <c r="AN279" s="180" t="n">
        <f aca="false">AJ279*$D$22</f>
        <v>564.883778791445</v>
      </c>
      <c r="AO279" s="180" t="n">
        <f aca="false">$D$23*MAX(0,AM279-AJ279*$D$18)</f>
        <v>0</v>
      </c>
      <c r="AP279" s="180" t="n">
        <f aca="false">IF(AND($D$27=1,OR(MONTH($B279)=5,MONTH($B279)=11)),MAX(0,$D$28*MAX(0,(AJ279+AM279-AN279-AO279+AK279-AL279)+AS278-AR279)-AS278),0)</f>
        <v>0</v>
      </c>
      <c r="AQ279" s="181" t="n">
        <f aca="false">AJ279+AM279-AN279-AO279+AK279-AL279-AP279</f>
        <v>683388.733757854</v>
      </c>
      <c r="AR279" s="180" t="n">
        <f aca="false">AR278+AK279-AL279</f>
        <v>150000</v>
      </c>
      <c r="AS279" s="180" t="n">
        <f aca="false">AS278+AP279</f>
        <v>89327.8821989482</v>
      </c>
      <c r="AT279" s="180" t="n">
        <f aca="false">AQ279+AS279-AR279</f>
        <v>622716.615956802</v>
      </c>
      <c r="AU279" s="180" t="n">
        <f aca="false">MAX(0,IFERROR(INDEX(TAB_IR,MATCH($C279,TAB_IR_DIAS,1),MATCH($D$8,TAB_IR_REGIMES,0)),0)*IF($D$26=2,AQ279,MAX(0,AT279))-AS279)</f>
        <v>4079.6101945721</v>
      </c>
      <c r="AV279" s="181" t="n">
        <f aca="false">MAX(0,AQ279-AU279-AQ279*$D$25)</f>
        <v>679309.123563282</v>
      </c>
      <c r="AW279" s="180" t="n">
        <f aca="false">AV279/$D279</f>
        <v>333141.280127613</v>
      </c>
      <c r="AY279" s="180" t="n">
        <f aca="false">BF278</f>
        <v>949254.582814305</v>
      </c>
      <c r="AZ279" s="180" t="n">
        <f aca="false">IF($E$9=0,0,IF($A279&gt;IN_PRAZO,0,IF(APORTE_CORRIGIDO="Sim",IN_APORTE*$D279,IN_APORTE))+IF(AND($E$35=1,PGBL_REINVESTE="Sim",$A279&gt;=13,$A279&lt;=IN_PRAZO,MONTH($B279)=5),PGBL_BENEFICIO,0))</f>
        <v>0</v>
      </c>
      <c r="BA279" s="180" t="n">
        <f aca="false">AZ279*$E$24</f>
        <v>0</v>
      </c>
      <c r="BB279" s="180" t="n">
        <f aca="false">AY279*$E$19</f>
        <v>9292.01138370751</v>
      </c>
      <c r="BC279" s="180" t="n">
        <f aca="false">AY279*$E$22</f>
        <v>1186.56822851788</v>
      </c>
      <c r="BD279" s="180" t="n">
        <f aca="false">$E$23*MAX(0,BB279-AY279*$E$18)</f>
        <v>0</v>
      </c>
      <c r="BE279" s="180" t="n">
        <f aca="false">IF(AND($E$27=1,OR(MONTH($B279)=5,MONTH($B279)=11)),MAX(0,$E$28*MAX(0,(AY279+BB279-BC279-BD279+AZ279-BA279)+BH278-BG279)-BH278),0)</f>
        <v>0</v>
      </c>
      <c r="BF279" s="181" t="n">
        <f aca="false">AY279+BB279-BC279-BD279+AZ279-BA279-BE279</f>
        <v>957360.025969494</v>
      </c>
      <c r="BG279" s="180" t="n">
        <f aca="false">BG278+AZ279-BA279</f>
        <v>150000</v>
      </c>
      <c r="BH279" s="180" t="n">
        <f aca="false">BH278+BE279</f>
        <v>0</v>
      </c>
      <c r="BI279" s="180" t="n">
        <f aca="false">BF279+BH279-BG279</f>
        <v>807360.025969494</v>
      </c>
      <c r="BJ279" s="180" t="n">
        <f aca="false">MAX(0,IFERROR(INDEX(TAB_IR,MATCH($C279,TAB_IR_DIAS,1),MATCH($E$8,TAB_IR_REGIMES,0)),0)*IF($E$26=2,BF279,MAX(0,BI279))-BH279)</f>
        <v>80736.0025969494</v>
      </c>
      <c r="BK279" s="181" t="n">
        <f aca="false">MAX(0,BF279-BJ279-BF279*$E$25)</f>
        <v>876624.023372545</v>
      </c>
      <c r="BL279" s="180" t="n">
        <f aca="false">BK279/$D279</f>
        <v>429906.85566693</v>
      </c>
      <c r="BN279" s="180" t="n">
        <f aca="false">BU278</f>
        <v>949254.582814305</v>
      </c>
      <c r="BO279" s="180" t="n">
        <f aca="false">IF($F$9=0,0,IF($A279&gt;IN_PRAZO,0,IF(APORTE_CORRIGIDO="Sim",IN_APORTE*$D279,IN_APORTE))+IF(AND($F$35=1,PGBL_REINVESTE="Sim",$A279&gt;=13,$A279&lt;=IN_PRAZO,MONTH($B279)=5),PGBL_BENEFICIO,0))</f>
        <v>0</v>
      </c>
      <c r="BP279" s="180" t="n">
        <f aca="false">BO279*$F$24</f>
        <v>0</v>
      </c>
      <c r="BQ279" s="180" t="n">
        <f aca="false">BN279*$F$19</f>
        <v>9292.01138370751</v>
      </c>
      <c r="BR279" s="180" t="n">
        <f aca="false">BN279*$F$22</f>
        <v>1186.56822851788</v>
      </c>
      <c r="BS279" s="180" t="n">
        <f aca="false">$F$23*MAX(0,BQ279-BN279*$F$18)</f>
        <v>0</v>
      </c>
      <c r="BT279" s="180" t="n">
        <f aca="false">IF(AND($F$27=1,OR(MONTH($B279)=5,MONTH($B279)=11)),MAX(0,$F$28*MAX(0,(BN279+BQ279-BR279-BS279+BO279-BP279)+BW278-BV279)-BW278),0)</f>
        <v>0</v>
      </c>
      <c r="BU279" s="181" t="n">
        <f aca="false">BN279+BQ279-BR279-BS279+BO279-BP279-BT279</f>
        <v>957360.025969494</v>
      </c>
      <c r="BV279" s="180" t="n">
        <f aca="false">BV278+BO279-BP279</f>
        <v>150000</v>
      </c>
      <c r="BW279" s="180" t="n">
        <f aca="false">BW278+BT279</f>
        <v>0</v>
      </c>
      <c r="BX279" s="180" t="n">
        <f aca="false">BU279+BW279-BV279</f>
        <v>807360.025969494</v>
      </c>
      <c r="BY279" s="180" t="n">
        <f aca="false">MAX(0,IFERROR(INDEX(TAB_IR,MATCH($C279,TAB_IR_DIAS,1),MATCH($F$8,TAB_IR_REGIMES,0)),0)*IF($F$26=2,BU279,MAX(0,BX279))-BW279)</f>
        <v>95736.0025969494</v>
      </c>
      <c r="BZ279" s="181" t="n">
        <f aca="false">MAX(0,BU279-BY279-BU279*$F$25)</f>
        <v>861624.023372545</v>
      </c>
      <c r="CA279" s="180" t="n">
        <f aca="false">BZ279/$D279</f>
        <v>422550.677119375</v>
      </c>
      <c r="CC279" s="180" t="n">
        <f aca="false">CJ278</f>
        <v>581288.240527628</v>
      </c>
      <c r="CD279" s="180" t="n">
        <f aca="false">IF($G$9=0,0,IF($A279&gt;IN_PRAZO,0,IF(APORTE_CORRIGIDO="Sim",IN_APORTE*$D279,IN_APORTE))+IF(AND($G$35=1,PGBL_REINVESTE="Sim",$A279&gt;=13,$A279&lt;=IN_PRAZO,MONTH($B279)=5),PGBL_BENEFICIO,0))</f>
        <v>0</v>
      </c>
      <c r="CE279" s="180" t="n">
        <f aca="false">CD279*$G$24</f>
        <v>0</v>
      </c>
      <c r="CF279" s="180" t="n">
        <f aca="false">CC279*$G$19</f>
        <v>4741.69922445899</v>
      </c>
      <c r="CG279" s="180" t="n">
        <f aca="false">CC279*$G$22</f>
        <v>484.406867106356</v>
      </c>
      <c r="CH279" s="180" t="n">
        <f aca="false">$G$23*MAX(0,CF279-CC279*$G$18)</f>
        <v>0</v>
      </c>
      <c r="CI279" s="180" t="n">
        <f aca="false">IF(AND($G$27=1,OR(MONTH($B279)=5,MONTH($B279)=11)),MAX(0,$G$28*MAX(0,(CC279+CF279-CG279-CH279+CD279-CE279)+CL278-CK279)-CL278),0)</f>
        <v>0</v>
      </c>
      <c r="CJ279" s="181" t="n">
        <f aca="false">CC279+CF279-CG279-CH279+CD279-CE279-CI279</f>
        <v>585545.53288498</v>
      </c>
      <c r="CK279" s="180" t="n">
        <f aca="false">CK278+CD279-CE279</f>
        <v>150000</v>
      </c>
      <c r="CL279" s="180" t="n">
        <f aca="false">CL278+CI279</f>
        <v>73158.7696382662</v>
      </c>
      <c r="CM279" s="180" t="n">
        <f aca="false">CJ279+CL279-CK279</f>
        <v>508704.302523247</v>
      </c>
      <c r="CN279" s="180" t="n">
        <f aca="false">MAX(0,IFERROR(INDEX(TAB_IR,MATCH($C279,TAB_IR_DIAS,1),MATCH($G$8,TAB_IR_REGIMES,0)),0)*IF($G$26=2,CJ279,MAX(0,CM279))-CL279)</f>
        <v>3146.87574022074</v>
      </c>
      <c r="CO279" s="181" t="n">
        <f aca="false">MAX(0,CJ279-CN279-CJ279*$G$25)</f>
        <v>582398.65714476</v>
      </c>
      <c r="CP279" s="180" t="n">
        <f aca="false">CO279/$D279</f>
        <v>285615.233854185</v>
      </c>
    </row>
    <row r="280" customFormat="false" ht="12" hidden="false" customHeight="true" outlineLevel="0" collapsed="false">
      <c r="A280" s="177" t="n">
        <v>219</v>
      </c>
      <c r="B280" s="178" t="n">
        <f aca="false">EDATE(DATA_INICIO,$A280)</f>
        <v>52924</v>
      </c>
      <c r="C280" s="177" t="n">
        <f aca="false">$A280*30</f>
        <v>6570</v>
      </c>
      <c r="D280" s="179" t="n">
        <f aca="false">(1+IPCA_CENARIO)^($A280/12)</f>
        <v>2.04577770909817</v>
      </c>
      <c r="F280" s="180" t="n">
        <f aca="false">M279</f>
        <v>1133930.2312556</v>
      </c>
      <c r="G280" s="180" t="n">
        <f aca="false">IF($B$9=0,0,IF($A280&gt;IN_PRAZO,0,IF(APORTE_CORRIGIDO="Sim",IN_APORTE*$D280,IN_APORTE))+IF(AND($B$35=1,PGBL_REINVESTE="Sim",$A280&gt;=13,$A280&lt;=IN_PRAZO,MONTH($B280)=5),PGBL_BENEFICIO,0))</f>
        <v>0</v>
      </c>
      <c r="H280" s="180" t="n">
        <f aca="false">G280*$B$24</f>
        <v>0</v>
      </c>
      <c r="I280" s="180" t="n">
        <f aca="false">F280*$B$19</f>
        <v>10759.6291666483</v>
      </c>
      <c r="J280" s="180" t="n">
        <f aca="false">F280*$B$22</f>
        <v>188.988371875933</v>
      </c>
      <c r="K280" s="180" t="n">
        <f aca="false">$B$23*MAX(0,I280-F280*$B$18)</f>
        <v>0</v>
      </c>
      <c r="L280" s="180" t="n">
        <f aca="false">IF(AND($B$27=1,OR(MONTH($B280)=5,MONTH($B280)=11)),MAX(0,$B$28*MAX(0,(F280+I280-J280-K280+G280-H280)+O279-N280)-O279),0)</f>
        <v>0</v>
      </c>
      <c r="M280" s="181" t="n">
        <f aca="false">F280+I280-J280-K280+G280-H280-L280</f>
        <v>1144500.87205037</v>
      </c>
      <c r="N280" s="180" t="n">
        <f aca="false">N279+G280-H280</f>
        <v>150000</v>
      </c>
      <c r="O280" s="180" t="n">
        <f aca="false">O279+L280</f>
        <v>0</v>
      </c>
      <c r="P280" s="180" t="n">
        <f aca="false">M280+O280-N280</f>
        <v>994500.872050372</v>
      </c>
      <c r="Q280" s="180" t="n">
        <f aca="false">MAX(0,IFERROR(INDEX(TAB_IR,MATCH($C280,TAB_IR_DIAS,1),MATCH($B$8,TAB_IR_REGIMES,0)),0)*IF($B$26=2,M280,MAX(0,P280))-O280)</f>
        <v>149175.130807556</v>
      </c>
      <c r="R280" s="181" t="n">
        <f aca="false">MAX(0,M280-Q280-M280*$B$25)</f>
        <v>995325.741242816</v>
      </c>
      <c r="S280" s="180" t="n">
        <f aca="false">R280/$D280</f>
        <v>486526.828802715</v>
      </c>
      <c r="U280" s="180" t="n">
        <f aca="false">AB279</f>
        <v>850355.43064262</v>
      </c>
      <c r="V280" s="180" t="n">
        <f aca="false">IF($C$9=0,0,IF($A280&gt;IN_PRAZO,0,IF(APORTE_CORRIGIDO="Sim",IN_APORTE*$D280,IN_APORTE))+IF(AND($C$35=1,PGBL_REINVESTE="Sim",$A280&gt;=13,$A280&lt;=IN_PRAZO,MONTH($B280)=5),PGBL_BENEFICIO,0))</f>
        <v>0</v>
      </c>
      <c r="W280" s="180" t="n">
        <f aca="false">V280*$C$24</f>
        <v>0</v>
      </c>
      <c r="X280" s="180" t="n">
        <f aca="false">U280*$C$19</f>
        <v>6936.5409531297</v>
      </c>
      <c r="Y280" s="180" t="n">
        <f aca="false">U280*$C$22</f>
        <v>141.725905107103</v>
      </c>
      <c r="Z280" s="180" t="n">
        <f aca="false">$C$23*MAX(0,X280-U280*$C$18)</f>
        <v>0</v>
      </c>
      <c r="AA280" s="180" t="n">
        <f aca="false">IF(AND($C$27=1,OR(MONTH($B280)=5,MONTH($B280)=11)),MAX(0,$C$28*MAX(0,(U280+X280-Y280-Z280+V280-W280)+AD279-AC280)-AD279),0)</f>
        <v>0</v>
      </c>
      <c r="AB280" s="181" t="n">
        <f aca="false">U280+X280-Y280-Z280+V280-W280-AA280</f>
        <v>857150.245690642</v>
      </c>
      <c r="AC280" s="180" t="n">
        <f aca="false">AC279+V280-W280</f>
        <v>150000</v>
      </c>
      <c r="AD280" s="180" t="n">
        <f aca="false">AD279+AA280</f>
        <v>0</v>
      </c>
      <c r="AE280" s="180" t="n">
        <f aca="false">AB280+AD280-AC280</f>
        <v>707150.245690642</v>
      </c>
      <c r="AF280" s="180" t="n">
        <f aca="false">MAX(0,IFERROR(INDEX(TAB_IR,MATCH($C280,TAB_IR_DIAS,1),MATCH($C$8,TAB_IR_REGIMES,0)),0)*IF($C$26=2,AB280,MAX(0,AE280))-AD280)</f>
        <v>106072.536853596</v>
      </c>
      <c r="AG280" s="181" t="n">
        <f aca="false">MAX(0,AB280-AF280-AB280*$C$25)</f>
        <v>751077.708837046</v>
      </c>
      <c r="AH280" s="180" t="n">
        <f aca="false">AG280/$D280</f>
        <v>367135.542388982</v>
      </c>
      <c r="AJ280" s="180" t="n">
        <f aca="false">AQ279</f>
        <v>683388.733757854</v>
      </c>
      <c r="AK280" s="180" t="n">
        <f aca="false">IF($D$9=0,0,IF($A280&gt;IN_PRAZO,0,IF(APORTE_CORRIGIDO="Sim",IN_APORTE*$D280,IN_APORTE))+IF(AND($D$35=1,PGBL_REINVESTE="Sim",$A280&gt;=13,$A280&lt;=IN_PRAZO,MONTH($B280)=5),PGBL_BENEFICIO,0))</f>
        <v>0</v>
      </c>
      <c r="AL280" s="180" t="n">
        <f aca="false">AK280*$D$24</f>
        <v>0</v>
      </c>
      <c r="AM280" s="180" t="n">
        <f aca="false">AJ280*$D$19</f>
        <v>6142.77429482225</v>
      </c>
      <c r="AN280" s="180" t="n">
        <f aca="false">AJ280*$D$22</f>
        <v>569.490611464878</v>
      </c>
      <c r="AO280" s="180" t="n">
        <f aca="false">$D$23*MAX(0,AM280-AJ280*$D$18)</f>
        <v>0</v>
      </c>
      <c r="AP280" s="180" t="n">
        <f aca="false">IF(AND($D$27=1,OR(MONTH($B280)=5,MONTH($B280)=11)),MAX(0,$D$28*MAX(0,(AJ280+AM280-AN280-AO280+AK280-AL280)+AS279-AR280)-AS279),0)</f>
        <v>4915.60274707571</v>
      </c>
      <c r="AQ280" s="181" t="n">
        <f aca="false">AJ280+AM280-AN280-AO280+AK280-AL280-AP280</f>
        <v>684046.414694136</v>
      </c>
      <c r="AR280" s="180" t="n">
        <f aca="false">AR279+AK280-AL280</f>
        <v>150000</v>
      </c>
      <c r="AS280" s="180" t="n">
        <f aca="false">AS279+AP280</f>
        <v>94243.4849460239</v>
      </c>
      <c r="AT280" s="180" t="n">
        <f aca="false">AQ280+AS280-AR280</f>
        <v>628289.89964016</v>
      </c>
      <c r="AU280" s="180" t="n">
        <f aca="false">MAX(0,IFERROR(INDEX(TAB_IR,MATCH($C280,TAB_IR_DIAS,1),MATCH($D$8,TAB_IR_REGIMES,0)),0)*IF($D$26=2,AQ280,MAX(0,AT280))-AS280)</f>
        <v>0</v>
      </c>
      <c r="AV280" s="181" t="n">
        <f aca="false">MAX(0,AQ280-AU280-AQ280*$D$25)</f>
        <v>684046.414694136</v>
      </c>
      <c r="AW280" s="180" t="n">
        <f aca="false">AV280/$D280</f>
        <v>334369.864160696</v>
      </c>
      <c r="AY280" s="180" t="n">
        <f aca="false">BF279</f>
        <v>957360.025969494</v>
      </c>
      <c r="AZ280" s="180" t="n">
        <f aca="false">IF($E$9=0,0,IF($A280&gt;IN_PRAZO,0,IF(APORTE_CORRIGIDO="Sim",IN_APORTE*$D280,IN_APORTE))+IF(AND($E$35=1,PGBL_REINVESTE="Sim",$A280&gt;=13,$A280&lt;=IN_PRAZO,MONTH($B280)=5),PGBL_BENEFICIO,0))</f>
        <v>0</v>
      </c>
      <c r="BA280" s="180" t="n">
        <f aca="false">AZ280*$E$24</f>
        <v>0</v>
      </c>
      <c r="BB280" s="180" t="n">
        <f aca="false">AY280*$E$19</f>
        <v>9371.35350270443</v>
      </c>
      <c r="BC280" s="180" t="n">
        <f aca="false">AY280*$E$22</f>
        <v>1196.70003246187</v>
      </c>
      <c r="BD280" s="180" t="n">
        <f aca="false">$E$23*MAX(0,BB280-AY280*$E$18)</f>
        <v>0</v>
      </c>
      <c r="BE280" s="180" t="n">
        <f aca="false">IF(AND($E$27=1,OR(MONTH($B280)=5,MONTH($B280)=11)),MAX(0,$E$28*MAX(0,(AY280+BB280-BC280-BD280+AZ280-BA280)+BH279-BG280)-BH279),0)</f>
        <v>0</v>
      </c>
      <c r="BF280" s="181" t="n">
        <f aca="false">AY280+BB280-BC280-BD280+AZ280-BA280-BE280</f>
        <v>965534.679439737</v>
      </c>
      <c r="BG280" s="180" t="n">
        <f aca="false">BG279+AZ280-BA280</f>
        <v>150000</v>
      </c>
      <c r="BH280" s="180" t="n">
        <f aca="false">BH279+BE280</f>
        <v>0</v>
      </c>
      <c r="BI280" s="180" t="n">
        <f aca="false">BF280+BH280-BG280</f>
        <v>815534.679439737</v>
      </c>
      <c r="BJ280" s="180" t="n">
        <f aca="false">MAX(0,IFERROR(INDEX(TAB_IR,MATCH($C280,TAB_IR_DIAS,1),MATCH($E$8,TAB_IR_REGIMES,0)),0)*IF($E$26=2,BF280,MAX(0,BI280))-BH280)</f>
        <v>81553.4679439737</v>
      </c>
      <c r="BK280" s="181" t="n">
        <f aca="false">MAX(0,BF280-BJ280-BF280*$E$25)</f>
        <v>883981.211495763</v>
      </c>
      <c r="BL280" s="180" t="n">
        <f aca="false">BK280/$D280</f>
        <v>432100.324274939</v>
      </c>
      <c r="BN280" s="180" t="n">
        <f aca="false">BU279</f>
        <v>957360.025969494</v>
      </c>
      <c r="BO280" s="180" t="n">
        <f aca="false">IF($F$9=0,0,IF($A280&gt;IN_PRAZO,0,IF(APORTE_CORRIGIDO="Sim",IN_APORTE*$D280,IN_APORTE))+IF(AND($F$35=1,PGBL_REINVESTE="Sim",$A280&gt;=13,$A280&lt;=IN_PRAZO,MONTH($B280)=5),PGBL_BENEFICIO,0))</f>
        <v>0</v>
      </c>
      <c r="BP280" s="180" t="n">
        <f aca="false">BO280*$F$24</f>
        <v>0</v>
      </c>
      <c r="BQ280" s="180" t="n">
        <f aca="false">BN280*$F$19</f>
        <v>9371.35350270443</v>
      </c>
      <c r="BR280" s="180" t="n">
        <f aca="false">BN280*$F$22</f>
        <v>1196.70003246187</v>
      </c>
      <c r="BS280" s="180" t="n">
        <f aca="false">$F$23*MAX(0,BQ280-BN280*$F$18)</f>
        <v>0</v>
      </c>
      <c r="BT280" s="180" t="n">
        <f aca="false">IF(AND($F$27=1,OR(MONTH($B280)=5,MONTH($B280)=11)),MAX(0,$F$28*MAX(0,(BN280+BQ280-BR280-BS280+BO280-BP280)+BW279-BV280)-BW279),0)</f>
        <v>0</v>
      </c>
      <c r="BU280" s="181" t="n">
        <f aca="false">BN280+BQ280-BR280-BS280+BO280-BP280-BT280</f>
        <v>965534.679439737</v>
      </c>
      <c r="BV280" s="180" t="n">
        <f aca="false">BV279+BO280-BP280</f>
        <v>150000</v>
      </c>
      <c r="BW280" s="180" t="n">
        <f aca="false">BW279+BT280</f>
        <v>0</v>
      </c>
      <c r="BX280" s="180" t="n">
        <f aca="false">BU280+BW280-BV280</f>
        <v>815534.679439737</v>
      </c>
      <c r="BY280" s="180" t="n">
        <f aca="false">MAX(0,IFERROR(INDEX(TAB_IR,MATCH($C280,TAB_IR_DIAS,1),MATCH($F$8,TAB_IR_REGIMES,0)),0)*IF($F$26=2,BU280,MAX(0,BX280))-BW280)</f>
        <v>96553.4679439737</v>
      </c>
      <c r="BZ280" s="181" t="n">
        <f aca="false">MAX(0,BU280-BY280-BU280*$F$25)</f>
        <v>868981.211495763</v>
      </c>
      <c r="CA280" s="180" t="n">
        <f aca="false">BZ280/$D280</f>
        <v>424768.149360094</v>
      </c>
      <c r="CC280" s="180" t="n">
        <f aca="false">CJ279</f>
        <v>585545.53288498</v>
      </c>
      <c r="CD280" s="180" t="n">
        <f aca="false">IF($G$9=0,0,IF($A280&gt;IN_PRAZO,0,IF(APORTE_CORRIGIDO="Sim",IN_APORTE*$D280,IN_APORTE))+IF(AND($G$35=1,PGBL_REINVESTE="Sim",$A280&gt;=13,$A280&lt;=IN_PRAZO,MONTH($B280)=5),PGBL_BENEFICIO,0))</f>
        <v>0</v>
      </c>
      <c r="CE280" s="180" t="n">
        <f aca="false">CD280*$G$24</f>
        <v>0</v>
      </c>
      <c r="CF280" s="180" t="n">
        <f aca="false">CC280*$G$19</f>
        <v>4776.42691798816</v>
      </c>
      <c r="CG280" s="180" t="n">
        <f aca="false">CC280*$G$22</f>
        <v>487.954610737484</v>
      </c>
      <c r="CH280" s="180" t="n">
        <f aca="false">$G$23*MAX(0,CF280-CC280*$G$18)</f>
        <v>0</v>
      </c>
      <c r="CI280" s="180" t="n">
        <f aca="false">IF(AND($G$27=1,OR(MONTH($B280)=5,MONTH($B280)=11)),MAX(0,$G$28*MAX(0,(CC280+CF280-CG280-CH280+CD280-CE280)+CL279-CK280)-CL279),0)</f>
        <v>3790.14658630834</v>
      </c>
      <c r="CJ280" s="181" t="n">
        <f aca="false">CC280+CF280-CG280-CH280+CD280-CE280-CI280</f>
        <v>586043.858605923</v>
      </c>
      <c r="CK280" s="180" t="n">
        <f aca="false">CK279+CD280-CE280</f>
        <v>150000</v>
      </c>
      <c r="CL280" s="180" t="n">
        <f aca="false">CL279+CI280</f>
        <v>76948.9162245746</v>
      </c>
      <c r="CM280" s="180" t="n">
        <f aca="false">CJ280+CL280-CK280</f>
        <v>512992.774830497</v>
      </c>
      <c r="CN280" s="180" t="n">
        <f aca="false">MAX(0,IFERROR(INDEX(TAB_IR,MATCH($C280,TAB_IR_DIAS,1),MATCH($G$8,TAB_IR_REGIMES,0)),0)*IF($G$26=2,CJ280,MAX(0,CM280))-CL280)</f>
        <v>0</v>
      </c>
      <c r="CO280" s="181" t="n">
        <f aca="false">MAX(0,CJ280-CN280-CJ280*$G$25)</f>
        <v>586043.858605923</v>
      </c>
      <c r="CP280" s="180" t="n">
        <f aca="false">CO280/$D280</f>
        <v>286465.071937979</v>
      </c>
    </row>
    <row r="281" customFormat="false" ht="12" hidden="false" customHeight="true" outlineLevel="0" collapsed="false">
      <c r="A281" s="177" t="n">
        <v>220</v>
      </c>
      <c r="B281" s="178" t="n">
        <f aca="false">EDATE(DATA_INICIO,$A281)</f>
        <v>52954</v>
      </c>
      <c r="C281" s="177" t="n">
        <f aca="false">$A281*30</f>
        <v>6600</v>
      </c>
      <c r="D281" s="179" t="n">
        <f aca="false">(1+IPCA_CENARIO)^($A281/12)</f>
        <v>2.05247505296998</v>
      </c>
      <c r="F281" s="180" t="n">
        <f aca="false">M280</f>
        <v>1144500.87205037</v>
      </c>
      <c r="G281" s="180" t="n">
        <f aca="false">IF($B$9=0,0,IF($A281&gt;IN_PRAZO,0,IF(APORTE_CORRIGIDO="Sim",IN_APORTE*$D281,IN_APORTE))+IF(AND($B$35=1,PGBL_REINVESTE="Sim",$A281&gt;=13,$A281&lt;=IN_PRAZO,MONTH($B281)=5),PGBL_BENEFICIO,0))</f>
        <v>0</v>
      </c>
      <c r="H281" s="180" t="n">
        <f aca="false">G281*$B$24</f>
        <v>0</v>
      </c>
      <c r="I281" s="180" t="n">
        <f aca="false">F281*$B$19</f>
        <v>10859.9317883357</v>
      </c>
      <c r="J281" s="180" t="n">
        <f aca="false">F281*$B$22</f>
        <v>190.750145341729</v>
      </c>
      <c r="K281" s="180" t="n">
        <f aca="false">$B$23*MAX(0,I281-F281*$B$18)</f>
        <v>0</v>
      </c>
      <c r="L281" s="180" t="n">
        <f aca="false">IF(AND($B$27=1,OR(MONTH($B281)=5,MONTH($B281)=11)),MAX(0,$B$28*MAX(0,(F281+I281-J281-K281+G281-H281)+O280-N281)-O280),0)</f>
        <v>0</v>
      </c>
      <c r="M281" s="181" t="n">
        <f aca="false">F281+I281-J281-K281+G281-H281-L281</f>
        <v>1155170.05369337</v>
      </c>
      <c r="N281" s="180" t="n">
        <f aca="false">N280+G281-H281</f>
        <v>150000</v>
      </c>
      <c r="O281" s="180" t="n">
        <f aca="false">O280+L281</f>
        <v>0</v>
      </c>
      <c r="P281" s="180" t="n">
        <f aca="false">M281+O281-N281</f>
        <v>1005170.05369337</v>
      </c>
      <c r="Q281" s="180" t="n">
        <f aca="false">MAX(0,IFERROR(INDEX(TAB_IR,MATCH($C281,TAB_IR_DIAS,1),MATCH($B$8,TAB_IR_REGIMES,0)),0)*IF($B$26=2,M281,MAX(0,P281))-O281)</f>
        <v>150775.508054005</v>
      </c>
      <c r="R281" s="181" t="n">
        <f aca="false">MAX(0,M281-Q281-M281*$B$25)</f>
        <v>1004394.54563936</v>
      </c>
      <c r="S281" s="180" t="n">
        <f aca="false">R281/$D281</f>
        <v>489357.736254079</v>
      </c>
      <c r="U281" s="180" t="n">
        <f aca="false">AB280</f>
        <v>857150.245690642</v>
      </c>
      <c r="V281" s="180" t="n">
        <f aca="false">IF($C$9=0,0,IF($A281&gt;IN_PRAZO,0,IF(APORTE_CORRIGIDO="Sim",IN_APORTE*$D281,IN_APORTE))+IF(AND($C$35=1,PGBL_REINVESTE="Sim",$A281&gt;=13,$A281&lt;=IN_PRAZO,MONTH($B281)=5),PGBL_BENEFICIO,0))</f>
        <v>0</v>
      </c>
      <c r="W281" s="180" t="n">
        <f aca="false">V281*$C$24</f>
        <v>0</v>
      </c>
      <c r="X281" s="180" t="n">
        <f aca="false">U281*$C$19</f>
        <v>6991.96779130951</v>
      </c>
      <c r="Y281" s="180" t="n">
        <f aca="false">U281*$C$22</f>
        <v>142.858374281774</v>
      </c>
      <c r="Z281" s="180" t="n">
        <f aca="false">$C$23*MAX(0,X281-U281*$C$18)</f>
        <v>0</v>
      </c>
      <c r="AA281" s="180" t="n">
        <f aca="false">IF(AND($C$27=1,OR(MONTH($B281)=5,MONTH($B281)=11)),MAX(0,$C$28*MAX(0,(U281+X281-Y281-Z281+V281-W281)+AD280-AC281)-AD280),0)</f>
        <v>0</v>
      </c>
      <c r="AB281" s="181" t="n">
        <f aca="false">U281+X281-Y281-Z281+V281-W281-AA281</f>
        <v>863999.35510767</v>
      </c>
      <c r="AC281" s="180" t="n">
        <f aca="false">AC280+V281-W281</f>
        <v>150000</v>
      </c>
      <c r="AD281" s="180" t="n">
        <f aca="false">AD280+AA281</f>
        <v>0</v>
      </c>
      <c r="AE281" s="180" t="n">
        <f aca="false">AB281+AD281-AC281</f>
        <v>713999.35510767</v>
      </c>
      <c r="AF281" s="180" t="n">
        <f aca="false">MAX(0,IFERROR(INDEX(TAB_IR,MATCH($C281,TAB_IR_DIAS,1),MATCH($C$8,TAB_IR_REGIMES,0)),0)*IF($C$26=2,AB281,MAX(0,AE281))-AD281)</f>
        <v>107099.90326615</v>
      </c>
      <c r="AG281" s="181" t="n">
        <f aca="false">MAX(0,AB281-AF281-AB281*$C$25)</f>
        <v>756899.451841519</v>
      </c>
      <c r="AH281" s="180" t="n">
        <f aca="false">AG281/$D281</f>
        <v>368774.008115844</v>
      </c>
      <c r="AJ281" s="180" t="n">
        <f aca="false">AQ280</f>
        <v>684046.414694136</v>
      </c>
      <c r="AK281" s="180" t="n">
        <f aca="false">IF($D$9=0,0,IF($A281&gt;IN_PRAZO,0,IF(APORTE_CORRIGIDO="Sim",IN_APORTE*$D281,IN_APORTE))+IF(AND($D$35=1,PGBL_REINVESTE="Sim",$A281&gt;=13,$A281&lt;=IN_PRAZO,MONTH($B281)=5),PGBL_BENEFICIO,0))</f>
        <v>0</v>
      </c>
      <c r="AL281" s="180" t="n">
        <f aca="false">AK281*$D$24</f>
        <v>0</v>
      </c>
      <c r="AM281" s="180" t="n">
        <f aca="false">AJ281*$D$19</f>
        <v>6148.68598951375</v>
      </c>
      <c r="AN281" s="180" t="n">
        <f aca="false">AJ281*$D$22</f>
        <v>570.03867891178</v>
      </c>
      <c r="AO281" s="180" t="n">
        <f aca="false">$D$23*MAX(0,AM281-AJ281*$D$18)</f>
        <v>0</v>
      </c>
      <c r="AP281" s="180" t="n">
        <f aca="false">IF(AND($D$27=1,OR(MONTH($B281)=5,MONTH($B281)=11)),MAX(0,$D$28*MAX(0,(AJ281+AM281-AN281-AO281+AK281-AL281)+AS280-AR281)-AS280),0)</f>
        <v>0</v>
      </c>
      <c r="AQ281" s="181" t="n">
        <f aca="false">AJ281+AM281-AN281-AO281+AK281-AL281-AP281</f>
        <v>689625.062004738</v>
      </c>
      <c r="AR281" s="180" t="n">
        <f aca="false">AR280+AK281-AL281</f>
        <v>150000</v>
      </c>
      <c r="AS281" s="180" t="n">
        <f aca="false">AS280+AP281</f>
        <v>94243.4849460239</v>
      </c>
      <c r="AT281" s="180" t="n">
        <f aca="false">AQ281+AS281-AR281</f>
        <v>633868.546950762</v>
      </c>
      <c r="AU281" s="180" t="n">
        <f aca="false">MAX(0,IFERROR(INDEX(TAB_IR,MATCH($C281,TAB_IR_DIAS,1),MATCH($D$8,TAB_IR_REGIMES,0)),0)*IF($D$26=2,AQ281,MAX(0,AT281))-AS281)</f>
        <v>836.797096590293</v>
      </c>
      <c r="AV281" s="181" t="n">
        <f aca="false">MAX(0,AQ281-AU281-AQ281*$D$25)</f>
        <v>688788.264908147</v>
      </c>
      <c r="AW281" s="180" t="n">
        <f aca="false">AV281/$D281</f>
        <v>335589.104438299</v>
      </c>
      <c r="AY281" s="180" t="n">
        <f aca="false">BF280</f>
        <v>965534.679439737</v>
      </c>
      <c r="AZ281" s="180" t="n">
        <f aca="false">IF($E$9=0,0,IF($A281&gt;IN_PRAZO,0,IF(APORTE_CORRIGIDO="Sim",IN_APORTE*$D281,IN_APORTE))+IF(AND($E$35=1,PGBL_REINVESTE="Sim",$A281&gt;=13,$A281&lt;=IN_PRAZO,MONTH($B281)=5),PGBL_BENEFICIO,0))</f>
        <v>0</v>
      </c>
      <c r="BA281" s="180" t="n">
        <f aca="false">AZ281*$E$24</f>
        <v>0</v>
      </c>
      <c r="BB281" s="180" t="n">
        <f aca="false">AY281*$E$19</f>
        <v>9451.373103851</v>
      </c>
      <c r="BC281" s="180" t="n">
        <f aca="false">AY281*$E$22</f>
        <v>1206.91834929967</v>
      </c>
      <c r="BD281" s="180" t="n">
        <f aca="false">$E$23*MAX(0,BB281-AY281*$E$18)</f>
        <v>0</v>
      </c>
      <c r="BE281" s="180" t="n">
        <f aca="false">IF(AND($E$27=1,OR(MONTH($B281)=5,MONTH($B281)=11)),MAX(0,$E$28*MAX(0,(AY281+BB281-BC281-BD281+AZ281-BA281)+BH280-BG281)-BH280),0)</f>
        <v>0</v>
      </c>
      <c r="BF281" s="181" t="n">
        <f aca="false">AY281+BB281-BC281-BD281+AZ281-BA281-BE281</f>
        <v>973779.134194288</v>
      </c>
      <c r="BG281" s="180" t="n">
        <f aca="false">BG280+AZ281-BA281</f>
        <v>150000</v>
      </c>
      <c r="BH281" s="180" t="n">
        <f aca="false">BH280+BE281</f>
        <v>0</v>
      </c>
      <c r="BI281" s="180" t="n">
        <f aca="false">BF281+BH281-BG281</f>
        <v>823779.134194288</v>
      </c>
      <c r="BJ281" s="180" t="n">
        <f aca="false">MAX(0,IFERROR(INDEX(TAB_IR,MATCH($C281,TAB_IR_DIAS,1),MATCH($E$8,TAB_IR_REGIMES,0)),0)*IF($E$26=2,BF281,MAX(0,BI281))-BH281)</f>
        <v>82377.9134194288</v>
      </c>
      <c r="BK281" s="181" t="n">
        <f aca="false">MAX(0,BF281-BJ281-BF281*$E$25)</f>
        <v>891401.220774859</v>
      </c>
      <c r="BL281" s="180" t="n">
        <f aca="false">BK281/$D281</f>
        <v>434305.508115667</v>
      </c>
      <c r="BN281" s="180" t="n">
        <f aca="false">BU280</f>
        <v>965534.679439737</v>
      </c>
      <c r="BO281" s="180" t="n">
        <f aca="false">IF($F$9=0,0,IF($A281&gt;IN_PRAZO,0,IF(APORTE_CORRIGIDO="Sim",IN_APORTE*$D281,IN_APORTE))+IF(AND($F$35=1,PGBL_REINVESTE="Sim",$A281&gt;=13,$A281&lt;=IN_PRAZO,MONTH($B281)=5),PGBL_BENEFICIO,0))</f>
        <v>0</v>
      </c>
      <c r="BP281" s="180" t="n">
        <f aca="false">BO281*$F$24</f>
        <v>0</v>
      </c>
      <c r="BQ281" s="180" t="n">
        <f aca="false">BN281*$F$19</f>
        <v>9451.373103851</v>
      </c>
      <c r="BR281" s="180" t="n">
        <f aca="false">BN281*$F$22</f>
        <v>1206.91834929967</v>
      </c>
      <c r="BS281" s="180" t="n">
        <f aca="false">$F$23*MAX(0,BQ281-BN281*$F$18)</f>
        <v>0</v>
      </c>
      <c r="BT281" s="180" t="n">
        <f aca="false">IF(AND($F$27=1,OR(MONTH($B281)=5,MONTH($B281)=11)),MAX(0,$F$28*MAX(0,(BN281+BQ281-BR281-BS281+BO281-BP281)+BW280-BV281)-BW280),0)</f>
        <v>0</v>
      </c>
      <c r="BU281" s="181" t="n">
        <f aca="false">BN281+BQ281-BR281-BS281+BO281-BP281-BT281</f>
        <v>973779.134194288</v>
      </c>
      <c r="BV281" s="180" t="n">
        <f aca="false">BV280+BO281-BP281</f>
        <v>150000</v>
      </c>
      <c r="BW281" s="180" t="n">
        <f aca="false">BW280+BT281</f>
        <v>0</v>
      </c>
      <c r="BX281" s="180" t="n">
        <f aca="false">BU281+BW281-BV281</f>
        <v>823779.134194288</v>
      </c>
      <c r="BY281" s="180" t="n">
        <f aca="false">MAX(0,IFERROR(INDEX(TAB_IR,MATCH($C281,TAB_IR_DIAS,1),MATCH($F$8,TAB_IR_REGIMES,0)),0)*IF($F$26=2,BU281,MAX(0,BX281))-BW281)</f>
        <v>97377.9134194288</v>
      </c>
      <c r="BZ281" s="181" t="n">
        <f aca="false">MAX(0,BU281-BY281-BU281*$F$25)</f>
        <v>876401.220774859</v>
      </c>
      <c r="CA281" s="180" t="n">
        <f aca="false">BZ281/$D281</f>
        <v>426997.258508299</v>
      </c>
      <c r="CC281" s="180" t="n">
        <f aca="false">CJ280</f>
        <v>586043.858605923</v>
      </c>
      <c r="CD281" s="180" t="n">
        <f aca="false">IF($G$9=0,0,IF($A281&gt;IN_PRAZO,0,IF(APORTE_CORRIGIDO="Sim",IN_APORTE*$D281,IN_APORTE))+IF(AND($G$35=1,PGBL_REINVESTE="Sim",$A281&gt;=13,$A281&lt;=IN_PRAZO,MONTH($B281)=5),PGBL_BENEFICIO,0))</f>
        <v>0</v>
      </c>
      <c r="CE281" s="180" t="n">
        <f aca="false">CD281*$G$24</f>
        <v>0</v>
      </c>
      <c r="CF281" s="180" t="n">
        <f aca="false">CC281*$G$19</f>
        <v>4780.49187323716</v>
      </c>
      <c r="CG281" s="180" t="n">
        <f aca="false">CC281*$G$22</f>
        <v>488.369882171602</v>
      </c>
      <c r="CH281" s="180" t="n">
        <f aca="false">$G$23*MAX(0,CF281-CC281*$G$18)</f>
        <v>0</v>
      </c>
      <c r="CI281" s="180" t="n">
        <f aca="false">IF(AND($G$27=1,OR(MONTH($B281)=5,MONTH($B281)=11)),MAX(0,$G$28*MAX(0,(CC281+CF281-CG281-CH281+CD281-CE281)+CL280-CK281)-CL280),0)</f>
        <v>0</v>
      </c>
      <c r="CJ281" s="181" t="n">
        <f aca="false">CC281+CF281-CG281-CH281+CD281-CE281-CI281</f>
        <v>590335.980596988</v>
      </c>
      <c r="CK281" s="180" t="n">
        <f aca="false">CK280+CD281-CE281</f>
        <v>150000</v>
      </c>
      <c r="CL281" s="180" t="n">
        <f aca="false">CL280+CI281</f>
        <v>76948.9162245746</v>
      </c>
      <c r="CM281" s="180" t="n">
        <f aca="false">CJ281+CL281-CK281</f>
        <v>517284.896821563</v>
      </c>
      <c r="CN281" s="180" t="n">
        <f aca="false">MAX(0,IFERROR(INDEX(TAB_IR,MATCH($C281,TAB_IR_DIAS,1),MATCH($G$8,TAB_IR_REGIMES,0)),0)*IF($G$26=2,CJ281,MAX(0,CM281))-CL281)</f>
        <v>643.818298659826</v>
      </c>
      <c r="CO281" s="181" t="n">
        <f aca="false">MAX(0,CJ281-CN281-CJ281*$G$25)</f>
        <v>589692.162298328</v>
      </c>
      <c r="CP281" s="180" t="n">
        <f aca="false">CO281/$D281</f>
        <v>287307.834238974</v>
      </c>
    </row>
    <row r="282" customFormat="false" ht="12" hidden="false" customHeight="true" outlineLevel="0" collapsed="false">
      <c r="A282" s="177" t="n">
        <v>221</v>
      </c>
      <c r="B282" s="178" t="n">
        <f aca="false">EDATE(DATA_INICIO,$A282)</f>
        <v>52985</v>
      </c>
      <c r="C282" s="177" t="n">
        <f aca="false">$A282*30</f>
        <v>6630</v>
      </c>
      <c r="D282" s="179" t="n">
        <f aca="false">(1+IPCA_CENARIO)^($A282/12)</f>
        <v>2.05919432220286</v>
      </c>
      <c r="F282" s="180" t="n">
        <f aca="false">M281</f>
        <v>1155170.05369337</v>
      </c>
      <c r="G282" s="180" t="n">
        <f aca="false">IF($B$9=0,0,IF($A282&gt;IN_PRAZO,0,IF(APORTE_CORRIGIDO="Sim",IN_APORTE*$D282,IN_APORTE))+IF(AND($B$35=1,PGBL_REINVESTE="Sim",$A282&gt;=13,$A282&lt;=IN_PRAZO,MONTH($B282)=5),PGBL_BENEFICIO,0))</f>
        <v>0</v>
      </c>
      <c r="H282" s="180" t="n">
        <f aca="false">G282*$B$24</f>
        <v>0</v>
      </c>
      <c r="I282" s="180" t="n">
        <f aca="false">F282*$B$19</f>
        <v>10961.1694437275</v>
      </c>
      <c r="J282" s="180" t="n">
        <f aca="false">F282*$B$22</f>
        <v>192.528342282228</v>
      </c>
      <c r="K282" s="180" t="n">
        <f aca="false">$B$23*MAX(0,I282-F282*$B$18)</f>
        <v>0</v>
      </c>
      <c r="L282" s="180" t="n">
        <f aca="false">IF(AND($B$27=1,OR(MONTH($B282)=5,MONTH($B282)=11)),MAX(0,$B$28*MAX(0,(F282+I282-J282-K282+G282-H282)+O281-N282)-O281),0)</f>
        <v>0</v>
      </c>
      <c r="M282" s="181" t="n">
        <f aca="false">F282+I282-J282-K282+G282-H282-L282</f>
        <v>1165938.69479481</v>
      </c>
      <c r="N282" s="180" t="n">
        <f aca="false">N281+G282-H282</f>
        <v>150000</v>
      </c>
      <c r="O282" s="180" t="n">
        <f aca="false">O281+L282</f>
        <v>0</v>
      </c>
      <c r="P282" s="180" t="n">
        <f aca="false">M282+O282-N282</f>
        <v>1015938.69479481</v>
      </c>
      <c r="Q282" s="180" t="n">
        <f aca="false">MAX(0,IFERROR(INDEX(TAB_IR,MATCH($C282,TAB_IR_DIAS,1),MATCH($B$8,TAB_IR_REGIMES,0)),0)*IF($B$26=2,M282,MAX(0,P282))-O282)</f>
        <v>152390.804219222</v>
      </c>
      <c r="R282" s="181" t="n">
        <f aca="false">MAX(0,M282-Q282-M282*$B$25)</f>
        <v>1013547.89057559</v>
      </c>
      <c r="S282" s="180" t="n">
        <f aca="false">R282/$D282</f>
        <v>492206.043716811</v>
      </c>
      <c r="U282" s="180" t="n">
        <f aca="false">AB281</f>
        <v>863999.35510767</v>
      </c>
      <c r="V282" s="180" t="n">
        <f aca="false">IF($C$9=0,0,IF($A282&gt;IN_PRAZO,0,IF(APORTE_CORRIGIDO="Sim",IN_APORTE*$D282,IN_APORTE))+IF(AND($C$35=1,PGBL_REINVESTE="Sim",$A282&gt;=13,$A282&lt;=IN_PRAZO,MONTH($B282)=5),PGBL_BENEFICIO,0))</f>
        <v>0</v>
      </c>
      <c r="W282" s="180" t="n">
        <f aca="false">V282*$C$24</f>
        <v>0</v>
      </c>
      <c r="X282" s="180" t="n">
        <f aca="false">U282*$C$19</f>
        <v>7047.83752089749</v>
      </c>
      <c r="Y282" s="180" t="n">
        <f aca="false">U282*$C$22</f>
        <v>143.999892517945</v>
      </c>
      <c r="Z282" s="180" t="n">
        <f aca="false">$C$23*MAX(0,X282-U282*$C$18)</f>
        <v>0</v>
      </c>
      <c r="AA282" s="180" t="n">
        <f aca="false">IF(AND($C$27=1,OR(MONTH($B282)=5,MONTH($B282)=11)),MAX(0,$C$28*MAX(0,(U282+X282-Y282-Z282+V282-W282)+AD281-AC282)-AD281),0)</f>
        <v>0</v>
      </c>
      <c r="AB282" s="181" t="n">
        <f aca="false">U282+X282-Y282-Z282+V282-W282-AA282</f>
        <v>870903.192736049</v>
      </c>
      <c r="AC282" s="180" t="n">
        <f aca="false">AC281+V282-W282</f>
        <v>150000</v>
      </c>
      <c r="AD282" s="180" t="n">
        <f aca="false">AD281+AA282</f>
        <v>0</v>
      </c>
      <c r="AE282" s="180" t="n">
        <f aca="false">AB282+AD282-AC282</f>
        <v>720903.192736049</v>
      </c>
      <c r="AF282" s="180" t="n">
        <f aca="false">MAX(0,IFERROR(INDEX(TAB_IR,MATCH($C282,TAB_IR_DIAS,1),MATCH($C$8,TAB_IR_REGIMES,0)),0)*IF($C$26=2,AB282,MAX(0,AE282))-AD282)</f>
        <v>108135.478910407</v>
      </c>
      <c r="AG282" s="181" t="n">
        <f aca="false">MAX(0,AB282-AF282-AB282*$C$25)</f>
        <v>762767.713825642</v>
      </c>
      <c r="AH282" s="180" t="n">
        <f aca="false">AG282/$D282</f>
        <v>370420.462800061</v>
      </c>
      <c r="AJ282" s="180" t="n">
        <f aca="false">AQ281</f>
        <v>689625.062004738</v>
      </c>
      <c r="AK282" s="180" t="n">
        <f aca="false">IF($D$9=0,0,IF($A282&gt;IN_PRAZO,0,IF(APORTE_CORRIGIDO="Sim",IN_APORTE*$D282,IN_APORTE))+IF(AND($D$35=1,PGBL_REINVESTE="Sim",$A282&gt;=13,$A282&lt;=IN_PRAZO,MONTH($B282)=5),PGBL_BENEFICIO,0))</f>
        <v>0</v>
      </c>
      <c r="AL282" s="180" t="n">
        <f aca="false">AK282*$D$24</f>
        <v>0</v>
      </c>
      <c r="AM282" s="180" t="n">
        <f aca="false">AJ282*$D$19</f>
        <v>6198.83076013502</v>
      </c>
      <c r="AN282" s="180" t="n">
        <f aca="false">AJ282*$D$22</f>
        <v>574.687551670615</v>
      </c>
      <c r="AO282" s="180" t="n">
        <f aca="false">$D$23*MAX(0,AM282-AJ282*$D$18)</f>
        <v>0</v>
      </c>
      <c r="AP282" s="180" t="n">
        <f aca="false">IF(AND($D$27=1,OR(MONTH($B282)=5,MONTH($B282)=11)),MAX(0,$D$28*MAX(0,(AJ282+AM282-AN282-AO282+AK282-AL282)+AS281-AR282)-AS281),0)</f>
        <v>0</v>
      </c>
      <c r="AQ282" s="181" t="n">
        <f aca="false">AJ282+AM282-AN282-AO282+AK282-AL282-AP282</f>
        <v>695249.205213202</v>
      </c>
      <c r="AR282" s="180" t="n">
        <f aca="false">AR281+AK282-AL282</f>
        <v>150000</v>
      </c>
      <c r="AS282" s="180" t="n">
        <f aca="false">AS281+AP282</f>
        <v>94243.4849460239</v>
      </c>
      <c r="AT282" s="180" t="n">
        <f aca="false">AQ282+AS282-AR282</f>
        <v>639492.690159226</v>
      </c>
      <c r="AU282" s="180" t="n">
        <f aca="false">MAX(0,IFERROR(INDEX(TAB_IR,MATCH($C282,TAB_IR_DIAS,1),MATCH($D$8,TAB_IR_REGIMES,0)),0)*IF($D$26=2,AQ282,MAX(0,AT282))-AS282)</f>
        <v>1680.41857785995</v>
      </c>
      <c r="AV282" s="181" t="n">
        <f aca="false">MAX(0,AQ282-AU282-AQ282*$D$25)</f>
        <v>693568.786635342</v>
      </c>
      <c r="AW282" s="180" t="n">
        <f aca="false">AV282/$D282</f>
        <v>336815.607520413</v>
      </c>
      <c r="AY282" s="180" t="n">
        <f aca="false">BF281</f>
        <v>973779.134194288</v>
      </c>
      <c r="AZ282" s="180" t="n">
        <f aca="false">IF($E$9=0,0,IF($A282&gt;IN_PRAZO,0,IF(APORTE_CORRIGIDO="Sim",IN_APORTE*$D282,IN_APORTE))+IF(AND($E$35=1,PGBL_REINVESTE="Sim",$A282&gt;=13,$A282&lt;=IN_PRAZO,MONTH($B282)=5),PGBL_BENEFICIO,0))</f>
        <v>0</v>
      </c>
      <c r="BA282" s="180" t="n">
        <f aca="false">AZ282*$E$24</f>
        <v>0</v>
      </c>
      <c r="BB282" s="180" t="n">
        <f aca="false">AY282*$E$19</f>
        <v>9532.07597199479</v>
      </c>
      <c r="BC282" s="180" t="n">
        <f aca="false">AY282*$E$22</f>
        <v>1217.22391774286</v>
      </c>
      <c r="BD282" s="180" t="n">
        <f aca="false">$E$23*MAX(0,BB282-AY282*$E$18)</f>
        <v>0</v>
      </c>
      <c r="BE282" s="180" t="n">
        <f aca="false">IF(AND($E$27=1,OR(MONTH($B282)=5,MONTH($B282)=11)),MAX(0,$E$28*MAX(0,(AY282+BB282-BC282-BD282+AZ282-BA282)+BH281-BG282)-BH281),0)</f>
        <v>0</v>
      </c>
      <c r="BF282" s="181" t="n">
        <f aca="false">AY282+BB282-BC282-BD282+AZ282-BA282-BE282</f>
        <v>982093.98624854</v>
      </c>
      <c r="BG282" s="180" t="n">
        <f aca="false">BG281+AZ282-BA282</f>
        <v>150000</v>
      </c>
      <c r="BH282" s="180" t="n">
        <f aca="false">BH281+BE282</f>
        <v>0</v>
      </c>
      <c r="BI282" s="180" t="n">
        <f aca="false">BF282+BH282-BG282</f>
        <v>832093.98624854</v>
      </c>
      <c r="BJ282" s="180" t="n">
        <f aca="false">MAX(0,IFERROR(INDEX(TAB_IR,MATCH($C282,TAB_IR_DIAS,1),MATCH($E$8,TAB_IR_REGIMES,0)),0)*IF($E$26=2,BF282,MAX(0,BI282))-BH282)</f>
        <v>83209.398624854</v>
      </c>
      <c r="BK282" s="181" t="n">
        <f aca="false">MAX(0,BF282-BJ282-BF282*$E$25)</f>
        <v>898884.587623686</v>
      </c>
      <c r="BL282" s="180" t="n">
        <f aca="false">BK282/$D282</f>
        <v>436522.468001994</v>
      </c>
      <c r="BN282" s="180" t="n">
        <f aca="false">BU281</f>
        <v>973779.134194288</v>
      </c>
      <c r="BO282" s="180" t="n">
        <f aca="false">IF($F$9=0,0,IF($A282&gt;IN_PRAZO,0,IF(APORTE_CORRIGIDO="Sim",IN_APORTE*$D282,IN_APORTE))+IF(AND($F$35=1,PGBL_REINVESTE="Sim",$A282&gt;=13,$A282&lt;=IN_PRAZO,MONTH($B282)=5),PGBL_BENEFICIO,0))</f>
        <v>0</v>
      </c>
      <c r="BP282" s="180" t="n">
        <f aca="false">BO282*$F$24</f>
        <v>0</v>
      </c>
      <c r="BQ282" s="180" t="n">
        <f aca="false">BN282*$F$19</f>
        <v>9532.07597199479</v>
      </c>
      <c r="BR282" s="180" t="n">
        <f aca="false">BN282*$F$22</f>
        <v>1217.22391774286</v>
      </c>
      <c r="BS282" s="180" t="n">
        <f aca="false">$F$23*MAX(0,BQ282-BN282*$F$18)</f>
        <v>0</v>
      </c>
      <c r="BT282" s="180" t="n">
        <f aca="false">IF(AND($F$27=1,OR(MONTH($B282)=5,MONTH($B282)=11)),MAX(0,$F$28*MAX(0,(BN282+BQ282-BR282-BS282+BO282-BP282)+BW281-BV282)-BW281),0)</f>
        <v>0</v>
      </c>
      <c r="BU282" s="181" t="n">
        <f aca="false">BN282+BQ282-BR282-BS282+BO282-BP282-BT282</f>
        <v>982093.98624854</v>
      </c>
      <c r="BV282" s="180" t="n">
        <f aca="false">BV281+BO282-BP282</f>
        <v>150000</v>
      </c>
      <c r="BW282" s="180" t="n">
        <f aca="false">BW281+BT282</f>
        <v>0</v>
      </c>
      <c r="BX282" s="180" t="n">
        <f aca="false">BU282+BW282-BV282</f>
        <v>832093.98624854</v>
      </c>
      <c r="BY282" s="180" t="n">
        <f aca="false">MAX(0,IFERROR(INDEX(TAB_IR,MATCH($C282,TAB_IR_DIAS,1),MATCH($F$8,TAB_IR_REGIMES,0)),0)*IF($F$26=2,BU282,MAX(0,BX282))-BW282)</f>
        <v>98209.398624854</v>
      </c>
      <c r="BZ282" s="181" t="n">
        <f aca="false">MAX(0,BU282-BY282-BU282*$F$25)</f>
        <v>883884.587623686</v>
      </c>
      <c r="CA282" s="180" t="n">
        <f aca="false">BZ282/$D282</f>
        <v>429238.065632453</v>
      </c>
      <c r="CC282" s="180" t="n">
        <f aca="false">CJ281</f>
        <v>590335.980596988</v>
      </c>
      <c r="CD282" s="180" t="n">
        <f aca="false">IF($G$9=0,0,IF($A282&gt;IN_PRAZO,0,IF(APORTE_CORRIGIDO="Sim",IN_APORTE*$D282,IN_APORTE))+IF(AND($G$35=1,PGBL_REINVESTE="Sim",$A282&gt;=13,$A282&lt;=IN_PRAZO,MONTH($B282)=5),PGBL_BENEFICIO,0))</f>
        <v>0</v>
      </c>
      <c r="CE282" s="180" t="n">
        <f aca="false">CD282*$G$24</f>
        <v>0</v>
      </c>
      <c r="CF282" s="180" t="n">
        <f aca="false">CC282*$G$19</f>
        <v>4815.50367994057</v>
      </c>
      <c r="CG282" s="180" t="n">
        <f aca="false">CC282*$G$22</f>
        <v>491.94665049749</v>
      </c>
      <c r="CH282" s="180" t="n">
        <f aca="false">$G$23*MAX(0,CF282-CC282*$G$18)</f>
        <v>0</v>
      </c>
      <c r="CI282" s="180" t="n">
        <f aca="false">IF(AND($G$27=1,OR(MONTH($B282)=5,MONTH($B282)=11)),MAX(0,$G$28*MAX(0,(CC282+CF282-CG282-CH282+CD282-CE282)+CL281-CK282)-CL281),0)</f>
        <v>0</v>
      </c>
      <c r="CJ282" s="181" t="n">
        <f aca="false">CC282+CF282-CG282-CH282+CD282-CE282-CI282</f>
        <v>594659.537626431</v>
      </c>
      <c r="CK282" s="180" t="n">
        <f aca="false">CK281+CD282-CE282</f>
        <v>150000</v>
      </c>
      <c r="CL282" s="180" t="n">
        <f aca="false">CL281+CI282</f>
        <v>76948.9162245746</v>
      </c>
      <c r="CM282" s="180" t="n">
        <f aca="false">CJ282+CL282-CK282</f>
        <v>521608.453851006</v>
      </c>
      <c r="CN282" s="180" t="n">
        <f aca="false">MAX(0,IFERROR(INDEX(TAB_IR,MATCH($C282,TAB_IR_DIAS,1),MATCH($G$8,TAB_IR_REGIMES,0)),0)*IF($G$26=2,CJ282,MAX(0,CM282))-CL282)</f>
        <v>1292.3518530763</v>
      </c>
      <c r="CO282" s="181" t="n">
        <f aca="false">MAX(0,CJ282-CN282-CJ282*$G$25)</f>
        <v>593367.185773355</v>
      </c>
      <c r="CP282" s="180" t="n">
        <f aca="false">CO282/$D282</f>
        <v>288155.022270355</v>
      </c>
    </row>
    <row r="283" customFormat="false" ht="12" hidden="false" customHeight="true" outlineLevel="0" collapsed="false">
      <c r="A283" s="177" t="n">
        <v>222</v>
      </c>
      <c r="B283" s="178" t="n">
        <f aca="false">EDATE(DATA_INICIO,$A283)</f>
        <v>53016</v>
      </c>
      <c r="C283" s="177" t="n">
        <f aca="false">$A283*30</f>
        <v>6660</v>
      </c>
      <c r="D283" s="179" t="n">
        <f aca="false">(1+IPCA_CENARIO)^($A283/12)</f>
        <v>2.06593558857474</v>
      </c>
      <c r="F283" s="180" t="n">
        <f aca="false">M282</f>
        <v>1165938.69479481</v>
      </c>
      <c r="G283" s="180" t="n">
        <f aca="false">IF($B$9=0,0,IF($A283&gt;IN_PRAZO,0,IF(APORTE_CORRIGIDO="Sim",IN_APORTE*$D283,IN_APORTE))+IF(AND($B$35=1,PGBL_REINVESTE="Sim",$A283&gt;=13,$A283&lt;=IN_PRAZO,MONTH($B283)=5),PGBL_BENEFICIO,0))</f>
        <v>0</v>
      </c>
      <c r="H283" s="180" t="n">
        <f aca="false">G283*$B$24</f>
        <v>0</v>
      </c>
      <c r="I283" s="180" t="n">
        <f aca="false">F283*$B$19</f>
        <v>11063.350849326</v>
      </c>
      <c r="J283" s="180" t="n">
        <f aca="false">F283*$B$22</f>
        <v>194.323115799135</v>
      </c>
      <c r="K283" s="180" t="n">
        <f aca="false">$B$23*MAX(0,I283-F283*$B$18)</f>
        <v>0</v>
      </c>
      <c r="L283" s="180" t="n">
        <f aca="false">IF(AND($B$27=1,OR(MONTH($B283)=5,MONTH($B283)=11)),MAX(0,$B$28*MAX(0,(F283+I283-J283-K283+G283-H283)+O282-N283)-O282),0)</f>
        <v>0</v>
      </c>
      <c r="M283" s="181" t="n">
        <f aca="false">F283+I283-J283-K283+G283-H283-L283</f>
        <v>1176807.72252834</v>
      </c>
      <c r="N283" s="180" t="n">
        <f aca="false">N282+G283-H283</f>
        <v>150000</v>
      </c>
      <c r="O283" s="180" t="n">
        <f aca="false">O282+L283</f>
        <v>0</v>
      </c>
      <c r="P283" s="180" t="n">
        <f aca="false">M283+O283-N283</f>
        <v>1026807.72252834</v>
      </c>
      <c r="Q283" s="180" t="n">
        <f aca="false">MAX(0,IFERROR(INDEX(TAB_IR,MATCH($C283,TAB_IR_DIAS,1),MATCH($B$8,TAB_IR_REGIMES,0)),0)*IF($B$26=2,M283,MAX(0,P283))-O283)</f>
        <v>154021.158379251</v>
      </c>
      <c r="R283" s="181" t="n">
        <f aca="false">MAX(0,M283-Q283-M283*$B$25)</f>
        <v>1022786.56414909</v>
      </c>
      <c r="S283" s="180" t="n">
        <f aca="false">R283/$D283</f>
        <v>495071.855001393</v>
      </c>
      <c r="U283" s="180" t="n">
        <f aca="false">AB282</f>
        <v>870903.192736049</v>
      </c>
      <c r="V283" s="180" t="n">
        <f aca="false">IF($C$9=0,0,IF($A283&gt;IN_PRAZO,0,IF(APORTE_CORRIGIDO="Sim",IN_APORTE*$D283,IN_APORTE))+IF(AND($C$35=1,PGBL_REINVESTE="Sim",$A283&gt;=13,$A283&lt;=IN_PRAZO,MONTH($B283)=5),PGBL_BENEFICIO,0))</f>
        <v>0</v>
      </c>
      <c r="W283" s="180" t="n">
        <f aca="false">V283*$C$24</f>
        <v>0</v>
      </c>
      <c r="X283" s="180" t="n">
        <f aca="false">U283*$C$19</f>
        <v>7104.15368084349</v>
      </c>
      <c r="Y283" s="180" t="n">
        <f aca="false">U283*$C$22</f>
        <v>145.150532122675</v>
      </c>
      <c r="Z283" s="180" t="n">
        <f aca="false">$C$23*MAX(0,X283-U283*$C$18)</f>
        <v>0</v>
      </c>
      <c r="AA283" s="180" t="n">
        <f aca="false">IF(AND($C$27=1,OR(MONTH($B283)=5,MONTH($B283)=11)),MAX(0,$C$28*MAX(0,(U283+X283-Y283-Z283+V283-W283)+AD282-AC283)-AD282),0)</f>
        <v>0</v>
      </c>
      <c r="AB283" s="181" t="n">
        <f aca="false">U283+X283-Y283-Z283+V283-W283-AA283</f>
        <v>877862.19588477</v>
      </c>
      <c r="AC283" s="180" t="n">
        <f aca="false">AC282+V283-W283</f>
        <v>150000</v>
      </c>
      <c r="AD283" s="180" t="n">
        <f aca="false">AD282+AA283</f>
        <v>0</v>
      </c>
      <c r="AE283" s="180" t="n">
        <f aca="false">AB283+AD283-AC283</f>
        <v>727862.19588477</v>
      </c>
      <c r="AF283" s="180" t="n">
        <f aca="false">MAX(0,IFERROR(INDEX(TAB_IR,MATCH($C283,TAB_IR_DIAS,1),MATCH($C$8,TAB_IR_REGIMES,0)),0)*IF($C$26=2,AB283,MAX(0,AE283))-AD283)</f>
        <v>109179.329382716</v>
      </c>
      <c r="AG283" s="181" t="n">
        <f aca="false">MAX(0,AB283-AF283-AB283*$C$25)</f>
        <v>768682.866502055</v>
      </c>
      <c r="AH283" s="180" t="n">
        <f aca="false">AG283/$D283</f>
        <v>372074.943068462</v>
      </c>
      <c r="AJ283" s="180" t="n">
        <f aca="false">AQ282</f>
        <v>695249.205213202</v>
      </c>
      <c r="AK283" s="180" t="n">
        <f aca="false">IF($D$9=0,0,IF($A283&gt;IN_PRAZO,0,IF(APORTE_CORRIGIDO="Sim",IN_APORTE*$D283,IN_APORTE))+IF(AND($D$35=1,PGBL_REINVESTE="Sim",$A283&gt;=13,$A283&lt;=IN_PRAZO,MONTH($B283)=5),PGBL_BENEFICIO,0))</f>
        <v>0</v>
      </c>
      <c r="AL283" s="180" t="n">
        <f aca="false">AK283*$D$24</f>
        <v>0</v>
      </c>
      <c r="AM283" s="180" t="n">
        <f aca="false">AJ283*$D$19</f>
        <v>6249.38447959917</v>
      </c>
      <c r="AN283" s="180" t="n">
        <f aca="false">AJ283*$D$22</f>
        <v>579.374337677668</v>
      </c>
      <c r="AO283" s="180" t="n">
        <f aca="false">$D$23*MAX(0,AM283-AJ283*$D$18)</f>
        <v>0</v>
      </c>
      <c r="AP283" s="180" t="n">
        <f aca="false">IF(AND($D$27=1,OR(MONTH($B283)=5,MONTH($B283)=11)),MAX(0,$D$28*MAX(0,(AJ283+AM283-AN283-AO283+AK283-AL283)+AS282-AR283)-AS282),0)</f>
        <v>0</v>
      </c>
      <c r="AQ283" s="181" t="n">
        <f aca="false">AJ283+AM283-AN283-AO283+AK283-AL283-AP283</f>
        <v>700919.215355124</v>
      </c>
      <c r="AR283" s="180" t="n">
        <f aca="false">AR282+AK283-AL283</f>
        <v>150000</v>
      </c>
      <c r="AS283" s="180" t="n">
        <f aca="false">AS282+AP283</f>
        <v>94243.4849460239</v>
      </c>
      <c r="AT283" s="180" t="n">
        <f aca="false">AQ283+AS283-AR283</f>
        <v>645162.700301148</v>
      </c>
      <c r="AU283" s="180" t="n">
        <f aca="false">MAX(0,IFERROR(INDEX(TAB_IR,MATCH($C283,TAB_IR_DIAS,1),MATCH($D$8,TAB_IR_REGIMES,0)),0)*IF($D$26=2,AQ283,MAX(0,AT283))-AS283)</f>
        <v>2530.92009914819</v>
      </c>
      <c r="AV283" s="181" t="n">
        <f aca="false">MAX(0,AQ283-AU283-AQ283*$D$25)</f>
        <v>698388.295255975</v>
      </c>
      <c r="AW283" s="180" t="n">
        <f aca="false">AV283/$D283</f>
        <v>338049.404404609</v>
      </c>
      <c r="AY283" s="180" t="n">
        <f aca="false">BF282</f>
        <v>982093.98624854</v>
      </c>
      <c r="AZ283" s="180" t="n">
        <f aca="false">IF($E$9=0,0,IF($A283&gt;IN_PRAZO,0,IF(APORTE_CORRIGIDO="Sim",IN_APORTE*$D283,IN_APORTE))+IF(AND($E$35=1,PGBL_REINVESTE="Sim",$A283&gt;=13,$A283&lt;=IN_PRAZO,MONTH($B283)=5),PGBL_BENEFICIO,0))</f>
        <v>0</v>
      </c>
      <c r="BA283" s="180" t="n">
        <f aca="false">AZ283*$E$24</f>
        <v>0</v>
      </c>
      <c r="BB283" s="180" t="n">
        <f aca="false">AY283*$E$19</f>
        <v>9613.46794137869</v>
      </c>
      <c r="BC283" s="180" t="n">
        <f aca="false">AY283*$E$22</f>
        <v>1227.61748281067</v>
      </c>
      <c r="BD283" s="180" t="n">
        <f aca="false">$E$23*MAX(0,BB283-AY283*$E$18)</f>
        <v>0</v>
      </c>
      <c r="BE283" s="180" t="n">
        <f aca="false">IF(AND($E$27=1,OR(MONTH($B283)=5,MONTH($B283)=11)),MAX(0,$E$28*MAX(0,(AY283+BB283-BC283-BD283+AZ283-BA283)+BH282-BG283)-BH282),0)</f>
        <v>0</v>
      </c>
      <c r="BF283" s="181" t="n">
        <f aca="false">AY283+BB283-BC283-BD283+AZ283-BA283-BE283</f>
        <v>990479.836707108</v>
      </c>
      <c r="BG283" s="180" t="n">
        <f aca="false">BG282+AZ283-BA283</f>
        <v>150000</v>
      </c>
      <c r="BH283" s="180" t="n">
        <f aca="false">BH282+BE283</f>
        <v>0</v>
      </c>
      <c r="BI283" s="180" t="n">
        <f aca="false">BF283+BH283-BG283</f>
        <v>840479.836707108</v>
      </c>
      <c r="BJ283" s="180" t="n">
        <f aca="false">MAX(0,IFERROR(INDEX(TAB_IR,MATCH($C283,TAB_IR_DIAS,1),MATCH($E$8,TAB_IR_REGIMES,0)),0)*IF($E$26=2,BF283,MAX(0,BI283))-BH283)</f>
        <v>84047.9836707108</v>
      </c>
      <c r="BK283" s="181" t="n">
        <f aca="false">MAX(0,BF283-BJ283-BF283*$E$25)</f>
        <v>906431.853036397</v>
      </c>
      <c r="BL283" s="180" t="n">
        <f aca="false">BK283/$D283</f>
        <v>438751.265068111</v>
      </c>
      <c r="BN283" s="180" t="n">
        <f aca="false">BU282</f>
        <v>982093.98624854</v>
      </c>
      <c r="BO283" s="180" t="n">
        <f aca="false">IF($F$9=0,0,IF($A283&gt;IN_PRAZO,0,IF(APORTE_CORRIGIDO="Sim",IN_APORTE*$D283,IN_APORTE))+IF(AND($F$35=1,PGBL_REINVESTE="Sim",$A283&gt;=13,$A283&lt;=IN_PRAZO,MONTH($B283)=5),PGBL_BENEFICIO,0))</f>
        <v>0</v>
      </c>
      <c r="BP283" s="180" t="n">
        <f aca="false">BO283*$F$24</f>
        <v>0</v>
      </c>
      <c r="BQ283" s="180" t="n">
        <f aca="false">BN283*$F$19</f>
        <v>9613.46794137869</v>
      </c>
      <c r="BR283" s="180" t="n">
        <f aca="false">BN283*$F$22</f>
        <v>1227.61748281067</v>
      </c>
      <c r="BS283" s="180" t="n">
        <f aca="false">$F$23*MAX(0,BQ283-BN283*$F$18)</f>
        <v>0</v>
      </c>
      <c r="BT283" s="180" t="n">
        <f aca="false">IF(AND($F$27=1,OR(MONTH($B283)=5,MONTH($B283)=11)),MAX(0,$F$28*MAX(0,(BN283+BQ283-BR283-BS283+BO283-BP283)+BW282-BV283)-BW282),0)</f>
        <v>0</v>
      </c>
      <c r="BU283" s="181" t="n">
        <f aca="false">BN283+BQ283-BR283-BS283+BO283-BP283-BT283</f>
        <v>990479.836707108</v>
      </c>
      <c r="BV283" s="180" t="n">
        <f aca="false">BV282+BO283-BP283</f>
        <v>150000</v>
      </c>
      <c r="BW283" s="180" t="n">
        <f aca="false">BW282+BT283</f>
        <v>0</v>
      </c>
      <c r="BX283" s="180" t="n">
        <f aca="false">BU283+BW283-BV283</f>
        <v>840479.836707108</v>
      </c>
      <c r="BY283" s="180" t="n">
        <f aca="false">MAX(0,IFERROR(INDEX(TAB_IR,MATCH($C283,TAB_IR_DIAS,1),MATCH($F$8,TAB_IR_REGIMES,0)),0)*IF($F$26=2,BU283,MAX(0,BX283))-BW283)</f>
        <v>99047.9836707108</v>
      </c>
      <c r="BZ283" s="181" t="n">
        <f aca="false">MAX(0,BU283-BY283-BU283*$F$25)</f>
        <v>891431.853036397</v>
      </c>
      <c r="CA283" s="180" t="n">
        <f aca="false">BZ283/$D283</f>
        <v>431490.632121491</v>
      </c>
      <c r="CC283" s="180" t="n">
        <f aca="false">CJ282</f>
        <v>594659.537626431</v>
      </c>
      <c r="CD283" s="180" t="n">
        <f aca="false">IF($G$9=0,0,IF($A283&gt;IN_PRAZO,0,IF(APORTE_CORRIGIDO="Sim",IN_APORTE*$D283,IN_APORTE))+IF(AND($G$35=1,PGBL_REINVESTE="Sim",$A283&gt;=13,$A283&lt;=IN_PRAZO,MONTH($B283)=5),PGBL_BENEFICIO,0))</f>
        <v>0</v>
      </c>
      <c r="CE283" s="180" t="n">
        <f aca="false">CD283*$G$24</f>
        <v>0</v>
      </c>
      <c r="CF283" s="180" t="n">
        <f aca="false">CC283*$G$19</f>
        <v>4850.77190933879</v>
      </c>
      <c r="CG283" s="180" t="n">
        <f aca="false">CC283*$G$22</f>
        <v>495.549614688693</v>
      </c>
      <c r="CH283" s="180" t="n">
        <f aca="false">$G$23*MAX(0,CF283-CC283*$G$18)</f>
        <v>0</v>
      </c>
      <c r="CI283" s="180" t="n">
        <f aca="false">IF(AND($G$27=1,OR(MONTH($B283)=5,MONTH($B283)=11)),MAX(0,$G$28*MAX(0,(CC283+CF283-CG283-CH283+CD283-CE283)+CL282-CK283)-CL282),0)</f>
        <v>0</v>
      </c>
      <c r="CJ283" s="181" t="n">
        <f aca="false">CC283+CF283-CG283-CH283+CD283-CE283-CI283</f>
        <v>599014.759921081</v>
      </c>
      <c r="CK283" s="180" t="n">
        <f aca="false">CK282+CD283-CE283</f>
        <v>150000</v>
      </c>
      <c r="CL283" s="180" t="n">
        <f aca="false">CL282+CI283</f>
        <v>76948.9162245746</v>
      </c>
      <c r="CM283" s="180" t="n">
        <f aca="false">CJ283+CL283-CK283</f>
        <v>525963.676145656</v>
      </c>
      <c r="CN283" s="180" t="n">
        <f aca="false">MAX(0,IFERROR(INDEX(TAB_IR,MATCH($C283,TAB_IR_DIAS,1),MATCH($G$8,TAB_IR_REGIMES,0)),0)*IF($G$26=2,CJ283,MAX(0,CM283))-CL283)</f>
        <v>1945.6351972738</v>
      </c>
      <c r="CO283" s="181" t="n">
        <f aca="false">MAX(0,CJ283-CN283-CJ283*$G$25)</f>
        <v>597069.124723807</v>
      </c>
      <c r="CP283" s="180" t="n">
        <f aca="false">CO283/$D283</f>
        <v>289006.650558607</v>
      </c>
    </row>
    <row r="284" customFormat="false" ht="12" hidden="false" customHeight="true" outlineLevel="0" collapsed="false">
      <c r="A284" s="177" t="n">
        <v>223</v>
      </c>
      <c r="B284" s="178" t="n">
        <f aca="false">EDATE(DATA_INICIO,$A284)</f>
        <v>53044</v>
      </c>
      <c r="C284" s="177" t="n">
        <f aca="false">$A284*30</f>
        <v>6690</v>
      </c>
      <c r="D284" s="179" t="n">
        <f aca="false">(1+IPCA_CENARIO)^($A284/12)</f>
        <v>2.07269892409851</v>
      </c>
      <c r="F284" s="180" t="n">
        <f aca="false">M283</f>
        <v>1176807.72252834</v>
      </c>
      <c r="G284" s="180" t="n">
        <f aca="false">IF($B$9=0,0,IF($A284&gt;IN_PRAZO,0,IF(APORTE_CORRIGIDO="Sim",IN_APORTE*$D284,IN_APORTE))+IF(AND($B$35=1,PGBL_REINVESTE="Sim",$A284&gt;=13,$A284&lt;=IN_PRAZO,MONTH($B284)=5),PGBL_BENEFICIO,0))</f>
        <v>0</v>
      </c>
      <c r="H284" s="180" t="n">
        <f aca="false">G284*$B$24</f>
        <v>0</v>
      </c>
      <c r="I284" s="180" t="n">
        <f aca="false">F284*$B$19</f>
        <v>11166.4848028897</v>
      </c>
      <c r="J284" s="180" t="n">
        <f aca="false">F284*$B$22</f>
        <v>196.13462042139</v>
      </c>
      <c r="K284" s="180" t="n">
        <f aca="false">$B$23*MAX(0,I284-F284*$B$18)</f>
        <v>0</v>
      </c>
      <c r="L284" s="180" t="n">
        <f aca="false">IF(AND($B$27=1,OR(MONTH($B284)=5,MONTH($B284)=11)),MAX(0,$B$28*MAX(0,(F284+I284-J284-K284+G284-H284)+O283-N284)-O283),0)</f>
        <v>0</v>
      </c>
      <c r="M284" s="181" t="n">
        <f aca="false">F284+I284-J284-K284+G284-H284-L284</f>
        <v>1187778.07271081</v>
      </c>
      <c r="N284" s="180" t="n">
        <f aca="false">N283+G284-H284</f>
        <v>150000</v>
      </c>
      <c r="O284" s="180" t="n">
        <f aca="false">O283+L284</f>
        <v>0</v>
      </c>
      <c r="P284" s="180" t="n">
        <f aca="false">M284+O284-N284</f>
        <v>1037778.07271081</v>
      </c>
      <c r="Q284" s="180" t="n">
        <f aca="false">MAX(0,IFERROR(INDEX(TAB_IR,MATCH($C284,TAB_IR_DIAS,1),MATCH($B$8,TAB_IR_REGIMES,0)),0)*IF($B$26=2,M284,MAX(0,P284))-O284)</f>
        <v>155666.710906621</v>
      </c>
      <c r="R284" s="181" t="n">
        <f aca="false">MAX(0,M284-Q284-M284*$B$25)</f>
        <v>1032111.36180419</v>
      </c>
      <c r="S284" s="180" t="n">
        <f aca="false">R284/$D284</f>
        <v>497955.274547694</v>
      </c>
      <c r="U284" s="180" t="n">
        <f aca="false">AB283</f>
        <v>877862.19588477</v>
      </c>
      <c r="V284" s="180" t="n">
        <f aca="false">IF($C$9=0,0,IF($A284&gt;IN_PRAZO,0,IF(APORTE_CORRIGIDO="Sim",IN_APORTE*$D284,IN_APORTE))+IF(AND($C$35=1,PGBL_REINVESTE="Sim",$A284&gt;=13,$A284&lt;=IN_PRAZO,MONTH($B284)=5),PGBL_BENEFICIO,0))</f>
        <v>0</v>
      </c>
      <c r="W284" s="180" t="n">
        <f aca="false">V284*$C$24</f>
        <v>0</v>
      </c>
      <c r="X284" s="180" t="n">
        <f aca="false">U284*$C$19</f>
        <v>7160.9198383755</v>
      </c>
      <c r="Y284" s="180" t="n">
        <f aca="false">U284*$C$22</f>
        <v>146.310365980795</v>
      </c>
      <c r="Z284" s="180" t="n">
        <f aca="false">$C$23*MAX(0,X284-U284*$C$18)</f>
        <v>0</v>
      </c>
      <c r="AA284" s="180" t="n">
        <f aca="false">IF(AND($C$27=1,OR(MONTH($B284)=5,MONTH($B284)=11)),MAX(0,$C$28*MAX(0,(U284+X284-Y284-Z284+V284-W284)+AD283-AC284)-AD283),0)</f>
        <v>0</v>
      </c>
      <c r="AB284" s="181" t="n">
        <f aca="false">U284+X284-Y284-Z284+V284-W284-AA284</f>
        <v>884876.805357165</v>
      </c>
      <c r="AC284" s="180" t="n">
        <f aca="false">AC283+V284-W284</f>
        <v>150000</v>
      </c>
      <c r="AD284" s="180" t="n">
        <f aca="false">AD283+AA284</f>
        <v>0</v>
      </c>
      <c r="AE284" s="180" t="n">
        <f aca="false">AB284+AD284-AC284</f>
        <v>734876.805357165</v>
      </c>
      <c r="AF284" s="180" t="n">
        <f aca="false">MAX(0,IFERROR(INDEX(TAB_IR,MATCH($C284,TAB_IR_DIAS,1),MATCH($C$8,TAB_IR_REGIMES,0)),0)*IF($C$26=2,AB284,MAX(0,AE284))-AD284)</f>
        <v>110231.520803575</v>
      </c>
      <c r="AG284" s="181" t="n">
        <f aca="false">MAX(0,AB284-AF284-AB284*$C$25)</f>
        <v>774645.28455359</v>
      </c>
      <c r="AH284" s="180" t="n">
        <f aca="false">AG284/$D284</f>
        <v>373737.485723118</v>
      </c>
      <c r="AJ284" s="180" t="n">
        <f aca="false">AQ283</f>
        <v>700919.215355124</v>
      </c>
      <c r="AK284" s="180" t="n">
        <f aca="false">IF($D$9=0,0,IF($A284&gt;IN_PRAZO,0,IF(APORTE_CORRIGIDO="Sim",IN_APORTE*$D284,IN_APORTE))+IF(AND($D$35=1,PGBL_REINVESTE="Sim",$A284&gt;=13,$A284&lt;=IN_PRAZO,MONTH($B284)=5),PGBL_BENEFICIO,0))</f>
        <v>0</v>
      </c>
      <c r="AL284" s="180" t="n">
        <f aca="false">AK284*$D$24</f>
        <v>0</v>
      </c>
      <c r="AM284" s="180" t="n">
        <f aca="false">AJ284*$D$19</f>
        <v>6300.35048303275</v>
      </c>
      <c r="AN284" s="180" t="n">
        <f aca="false">AJ284*$D$22</f>
        <v>584.09934612927</v>
      </c>
      <c r="AO284" s="180" t="n">
        <f aca="false">$D$23*MAX(0,AM284-AJ284*$D$18)</f>
        <v>0</v>
      </c>
      <c r="AP284" s="180" t="n">
        <f aca="false">IF(AND($D$27=1,OR(MONTH($B284)=5,MONTH($B284)=11)),MAX(0,$D$28*MAX(0,(AJ284+AM284-AN284-AO284+AK284-AL284)+AS283-AR284)-AS283),0)</f>
        <v>0</v>
      </c>
      <c r="AQ284" s="181" t="n">
        <f aca="false">AJ284+AM284-AN284-AO284+AK284-AL284-AP284</f>
        <v>706635.466492027</v>
      </c>
      <c r="AR284" s="180" t="n">
        <f aca="false">AR283+AK284-AL284</f>
        <v>150000</v>
      </c>
      <c r="AS284" s="180" t="n">
        <f aca="false">AS283+AP284</f>
        <v>94243.4849460239</v>
      </c>
      <c r="AT284" s="180" t="n">
        <f aca="false">AQ284+AS284-AR284</f>
        <v>650878.951438051</v>
      </c>
      <c r="AU284" s="180" t="n">
        <f aca="false">MAX(0,IFERROR(INDEX(TAB_IR,MATCH($C284,TAB_IR_DIAS,1),MATCH($D$8,TAB_IR_REGIMES,0)),0)*IF($D$26=2,AQ284,MAX(0,AT284))-AS284)</f>
        <v>3388.35776968372</v>
      </c>
      <c r="AV284" s="181" t="n">
        <f aca="false">MAX(0,AQ284-AU284-AQ284*$D$25)</f>
        <v>703247.108722344</v>
      </c>
      <c r="AW284" s="180" t="n">
        <f aca="false">AV284/$D284</f>
        <v>339290.52625345</v>
      </c>
      <c r="AY284" s="180" t="n">
        <f aca="false">BF283</f>
        <v>990479.836707108</v>
      </c>
      <c r="AZ284" s="180" t="n">
        <f aca="false">IF($E$9=0,0,IF($A284&gt;IN_PRAZO,0,IF(APORTE_CORRIGIDO="Sim",IN_APORTE*$D284,IN_APORTE))+IF(AND($E$35=1,PGBL_REINVESTE="Sim",$A284&gt;=13,$A284&lt;=IN_PRAZO,MONTH($B284)=5),PGBL_BENEFICIO,0))</f>
        <v>0</v>
      </c>
      <c r="BA284" s="180" t="n">
        <f aca="false">AZ284*$E$24</f>
        <v>0</v>
      </c>
      <c r="BB284" s="180" t="n">
        <f aca="false">AY284*$E$19</f>
        <v>9695.55489606272</v>
      </c>
      <c r="BC284" s="180" t="n">
        <f aca="false">AY284*$E$22</f>
        <v>1238.09979588389</v>
      </c>
      <c r="BD284" s="180" t="n">
        <f aca="false">$E$23*MAX(0,BB284-AY284*$E$18)</f>
        <v>0</v>
      </c>
      <c r="BE284" s="180" t="n">
        <f aca="false">IF(AND($E$27=1,OR(MONTH($B284)=5,MONTH($B284)=11)),MAX(0,$E$28*MAX(0,(AY284+BB284-BC284-BD284+AZ284-BA284)+BH283-BG284)-BH283),0)</f>
        <v>0</v>
      </c>
      <c r="BF284" s="181" t="n">
        <f aca="false">AY284+BB284-BC284-BD284+AZ284-BA284-BE284</f>
        <v>998937.291807287</v>
      </c>
      <c r="BG284" s="180" t="n">
        <f aca="false">BG283+AZ284-BA284</f>
        <v>150000</v>
      </c>
      <c r="BH284" s="180" t="n">
        <f aca="false">BH283+BE284</f>
        <v>0</v>
      </c>
      <c r="BI284" s="180" t="n">
        <f aca="false">BF284+BH284-BG284</f>
        <v>848937.291807287</v>
      </c>
      <c r="BJ284" s="180" t="n">
        <f aca="false">MAX(0,IFERROR(INDEX(TAB_IR,MATCH($C284,TAB_IR_DIAS,1),MATCH($E$8,TAB_IR_REGIMES,0)),0)*IF($E$26=2,BF284,MAX(0,BI284))-BH284)</f>
        <v>84893.7291807287</v>
      </c>
      <c r="BK284" s="181" t="n">
        <f aca="false">MAX(0,BF284-BJ284-BF284*$E$25)</f>
        <v>914043.562626558</v>
      </c>
      <c r="BL284" s="180" t="n">
        <f aca="false">BK284/$D284</f>
        <v>440991.960771199</v>
      </c>
      <c r="BN284" s="180" t="n">
        <f aca="false">BU283</f>
        <v>990479.836707108</v>
      </c>
      <c r="BO284" s="180" t="n">
        <f aca="false">IF($F$9=0,0,IF($A284&gt;IN_PRAZO,0,IF(APORTE_CORRIGIDO="Sim",IN_APORTE*$D284,IN_APORTE))+IF(AND($F$35=1,PGBL_REINVESTE="Sim",$A284&gt;=13,$A284&lt;=IN_PRAZO,MONTH($B284)=5),PGBL_BENEFICIO,0))</f>
        <v>0</v>
      </c>
      <c r="BP284" s="180" t="n">
        <f aca="false">BO284*$F$24</f>
        <v>0</v>
      </c>
      <c r="BQ284" s="180" t="n">
        <f aca="false">BN284*$F$19</f>
        <v>9695.55489606272</v>
      </c>
      <c r="BR284" s="180" t="n">
        <f aca="false">BN284*$F$22</f>
        <v>1238.09979588389</v>
      </c>
      <c r="BS284" s="180" t="n">
        <f aca="false">$F$23*MAX(0,BQ284-BN284*$F$18)</f>
        <v>0</v>
      </c>
      <c r="BT284" s="180" t="n">
        <f aca="false">IF(AND($F$27=1,OR(MONTH($B284)=5,MONTH($B284)=11)),MAX(0,$F$28*MAX(0,(BN284+BQ284-BR284-BS284+BO284-BP284)+BW283-BV284)-BW283),0)</f>
        <v>0</v>
      </c>
      <c r="BU284" s="181" t="n">
        <f aca="false">BN284+BQ284-BR284-BS284+BO284-BP284-BT284</f>
        <v>998937.291807287</v>
      </c>
      <c r="BV284" s="180" t="n">
        <f aca="false">BV283+BO284-BP284</f>
        <v>150000</v>
      </c>
      <c r="BW284" s="180" t="n">
        <f aca="false">BW283+BT284</f>
        <v>0</v>
      </c>
      <c r="BX284" s="180" t="n">
        <f aca="false">BU284+BW284-BV284</f>
        <v>848937.291807287</v>
      </c>
      <c r="BY284" s="180" t="n">
        <f aca="false">MAX(0,IFERROR(INDEX(TAB_IR,MATCH($C284,TAB_IR_DIAS,1),MATCH($F$8,TAB_IR_REGIMES,0)),0)*IF($F$26=2,BU284,MAX(0,BX284))-BW284)</f>
        <v>99893.7291807287</v>
      </c>
      <c r="BZ284" s="181" t="n">
        <f aca="false">MAX(0,BU284-BY284-BU284*$F$25)</f>
        <v>899043.562626558</v>
      </c>
      <c r="CA284" s="180" t="n">
        <f aca="false">BZ284/$D284</f>
        <v>433755.01968651</v>
      </c>
      <c r="CC284" s="180" t="n">
        <f aca="false">CJ283</f>
        <v>599014.759921081</v>
      </c>
      <c r="CD284" s="180" t="n">
        <f aca="false">IF($G$9=0,0,IF($A284&gt;IN_PRAZO,0,IF(APORTE_CORRIGIDO="Sim",IN_APORTE*$D284,IN_APORTE))+IF(AND($G$35=1,PGBL_REINVESTE="Sim",$A284&gt;=13,$A284&lt;=IN_PRAZO,MONTH($B284)=5),PGBL_BENEFICIO,0))</f>
        <v>0</v>
      </c>
      <c r="CE284" s="180" t="n">
        <f aca="false">CD284*$G$24</f>
        <v>0</v>
      </c>
      <c r="CF284" s="180" t="n">
        <f aca="false">CC284*$G$19</f>
        <v>4886.29843944397</v>
      </c>
      <c r="CG284" s="180" t="n">
        <f aca="false">CC284*$G$22</f>
        <v>499.178966600901</v>
      </c>
      <c r="CH284" s="180" t="n">
        <f aca="false">$G$23*MAX(0,CF284-CC284*$G$18)</f>
        <v>0</v>
      </c>
      <c r="CI284" s="180" t="n">
        <f aca="false">IF(AND($G$27=1,OR(MONTH($B284)=5,MONTH($B284)=11)),MAX(0,$G$28*MAX(0,(CC284+CF284-CG284-CH284+CD284-CE284)+CL283-CK284)-CL283),0)</f>
        <v>0</v>
      </c>
      <c r="CJ284" s="181" t="n">
        <f aca="false">CC284+CF284-CG284-CH284+CD284-CE284-CI284</f>
        <v>603401.879393924</v>
      </c>
      <c r="CK284" s="180" t="n">
        <f aca="false">CK283+CD284-CE284</f>
        <v>150000</v>
      </c>
      <c r="CL284" s="180" t="n">
        <f aca="false">CL283+CI284</f>
        <v>76948.9162245746</v>
      </c>
      <c r="CM284" s="180" t="n">
        <f aca="false">CJ284+CL284-CK284</f>
        <v>530350.795618499</v>
      </c>
      <c r="CN284" s="180" t="n">
        <f aca="false">MAX(0,IFERROR(INDEX(TAB_IR,MATCH($C284,TAB_IR_DIAS,1),MATCH($G$8,TAB_IR_REGIMES,0)),0)*IF($G$26=2,CJ284,MAX(0,CM284))-CL284)</f>
        <v>2603.70311820025</v>
      </c>
      <c r="CO284" s="181" t="n">
        <f aca="false">MAX(0,CJ284-CN284-CJ284*$G$25)</f>
        <v>600798.176275724</v>
      </c>
      <c r="CP284" s="180" t="n">
        <f aca="false">CO284/$D284</f>
        <v>289862.733699749</v>
      </c>
    </row>
    <row r="285" customFormat="false" ht="12" hidden="false" customHeight="true" outlineLevel="0" collapsed="false">
      <c r="A285" s="177" t="n">
        <v>224</v>
      </c>
      <c r="B285" s="178" t="n">
        <f aca="false">EDATE(DATA_INICIO,$A285)</f>
        <v>53075</v>
      </c>
      <c r="C285" s="177" t="n">
        <f aca="false">$A285*30</f>
        <v>6720</v>
      </c>
      <c r="D285" s="179" t="n">
        <f aca="false">(1+IPCA_CENARIO)^($A285/12)</f>
        <v>2.07948440102286</v>
      </c>
      <c r="F285" s="180" t="n">
        <f aca="false">M284</f>
        <v>1187778.07271081</v>
      </c>
      <c r="G285" s="180" t="n">
        <f aca="false">IF($B$9=0,0,IF($A285&gt;IN_PRAZO,0,IF(APORTE_CORRIGIDO="Sim",IN_APORTE*$D285,IN_APORTE))+IF(AND($B$35=1,PGBL_REINVESTE="Sim",$A285&gt;=13,$A285&lt;=IN_PRAZO,MONTH($B285)=5),PGBL_BENEFICIO,0))</f>
        <v>0</v>
      </c>
      <c r="H285" s="180" t="n">
        <f aca="false">G285*$B$24</f>
        <v>0</v>
      </c>
      <c r="I285" s="180" t="n">
        <f aca="false">F285*$B$19</f>
        <v>11270.580184191</v>
      </c>
      <c r="J285" s="180" t="n">
        <f aca="false">F285*$B$22</f>
        <v>197.963012118468</v>
      </c>
      <c r="K285" s="180" t="n">
        <f aca="false">$B$23*MAX(0,I285-F285*$B$18)</f>
        <v>0</v>
      </c>
      <c r="L285" s="180" t="n">
        <f aca="false">IF(AND($B$27=1,OR(MONTH($B285)=5,MONTH($B285)=11)),MAX(0,$B$28*MAX(0,(F285+I285-J285-K285+G285-H285)+O284-N285)-O284),0)</f>
        <v>0</v>
      </c>
      <c r="M285" s="181" t="n">
        <f aca="false">F285+I285-J285-K285+G285-H285-L285</f>
        <v>1198850.68988288</v>
      </c>
      <c r="N285" s="180" t="n">
        <f aca="false">N284+G285-H285</f>
        <v>150000</v>
      </c>
      <c r="O285" s="180" t="n">
        <f aca="false">O284+L285</f>
        <v>0</v>
      </c>
      <c r="P285" s="180" t="n">
        <f aca="false">M285+O285-N285</f>
        <v>1048850.68988288</v>
      </c>
      <c r="Q285" s="180" t="n">
        <f aca="false">MAX(0,IFERROR(INDEX(TAB_IR,MATCH($C285,TAB_IR_DIAS,1),MATCH($B$8,TAB_IR_REGIMES,0)),0)*IF($B$26=2,M285,MAX(0,P285))-O285)</f>
        <v>157327.603482432</v>
      </c>
      <c r="R285" s="181" t="n">
        <f aca="false">MAX(0,M285-Q285-M285*$B$25)</f>
        <v>1041523.08640045</v>
      </c>
      <c r="S285" s="180" t="n">
        <f aca="false">R285/$D285</f>
        <v>500856.407428757</v>
      </c>
      <c r="U285" s="180" t="n">
        <f aca="false">AB284</f>
        <v>884876.805357165</v>
      </c>
      <c r="V285" s="180" t="n">
        <f aca="false">IF($C$9=0,0,IF($A285&gt;IN_PRAZO,0,IF(APORTE_CORRIGIDO="Sim",IN_APORTE*$D285,IN_APORTE))+IF(AND($C$35=1,PGBL_REINVESTE="Sim",$A285&gt;=13,$A285&lt;=IN_PRAZO,MONTH($B285)=5),PGBL_BENEFICIO,0))</f>
        <v>0</v>
      </c>
      <c r="W285" s="180" t="n">
        <f aca="false">V285*$C$24</f>
        <v>0</v>
      </c>
      <c r="X285" s="180" t="n">
        <f aca="false">U285*$C$19</f>
        <v>7218.13958922569</v>
      </c>
      <c r="Y285" s="180" t="n">
        <f aca="false">U285*$C$22</f>
        <v>147.479467559527</v>
      </c>
      <c r="Z285" s="180" t="n">
        <f aca="false">$C$23*MAX(0,X285-U285*$C$18)</f>
        <v>0</v>
      </c>
      <c r="AA285" s="180" t="n">
        <f aca="false">IF(AND($C$27=1,OR(MONTH($B285)=5,MONTH($B285)=11)),MAX(0,$C$28*MAX(0,(U285+X285-Y285-Z285+V285-W285)+AD284-AC285)-AD284),0)</f>
        <v>0</v>
      </c>
      <c r="AB285" s="181" t="n">
        <f aca="false">U285+X285-Y285-Z285+V285-W285-AA285</f>
        <v>891947.465478831</v>
      </c>
      <c r="AC285" s="180" t="n">
        <f aca="false">AC284+V285-W285</f>
        <v>150000</v>
      </c>
      <c r="AD285" s="180" t="n">
        <f aca="false">AD284+AA285</f>
        <v>0</v>
      </c>
      <c r="AE285" s="180" t="n">
        <f aca="false">AB285+AD285-AC285</f>
        <v>741947.465478831</v>
      </c>
      <c r="AF285" s="180" t="n">
        <f aca="false">MAX(0,IFERROR(INDEX(TAB_IR,MATCH($C285,TAB_IR_DIAS,1),MATCH($C$8,TAB_IR_REGIMES,0)),0)*IF($C$26=2,AB285,MAX(0,AE285))-AD285)</f>
        <v>111292.119821825</v>
      </c>
      <c r="AG285" s="181" t="n">
        <f aca="false">MAX(0,AB285-AF285-AB285*$C$25)</f>
        <v>780655.345657006</v>
      </c>
      <c r="AH285" s="180" t="n">
        <f aca="false">AG285/$D285</f>
        <v>375408.127742155</v>
      </c>
      <c r="AJ285" s="180" t="n">
        <f aca="false">AQ284</f>
        <v>706635.466492027</v>
      </c>
      <c r="AK285" s="180" t="n">
        <f aca="false">IF($D$9=0,0,IF($A285&gt;IN_PRAZO,0,IF(APORTE_CORRIGIDO="Sim",IN_APORTE*$D285,IN_APORTE))+IF(AND($D$35=1,PGBL_REINVESTE="Sim",$A285&gt;=13,$A285&lt;=IN_PRAZO,MONTH($B285)=5),PGBL_BENEFICIO,0))</f>
        <v>0</v>
      </c>
      <c r="AL285" s="180" t="n">
        <f aca="false">AK285*$D$24</f>
        <v>0</v>
      </c>
      <c r="AM285" s="180" t="n">
        <f aca="false">AJ285*$D$19</f>
        <v>6351.7321327615</v>
      </c>
      <c r="AN285" s="180" t="n">
        <f aca="false">AJ285*$D$22</f>
        <v>588.862888743356</v>
      </c>
      <c r="AO285" s="180" t="n">
        <f aca="false">$D$23*MAX(0,AM285-AJ285*$D$18)</f>
        <v>0</v>
      </c>
      <c r="AP285" s="180" t="n">
        <f aca="false">IF(AND($D$27=1,OR(MONTH($B285)=5,MONTH($B285)=11)),MAX(0,$D$28*MAX(0,(AJ285+AM285-AN285-AO285+AK285-AL285)+AS284-AR285)-AS284),0)</f>
        <v>0</v>
      </c>
      <c r="AQ285" s="181" t="n">
        <f aca="false">AJ285+AM285-AN285-AO285+AK285-AL285-AP285</f>
        <v>712398.335736045</v>
      </c>
      <c r="AR285" s="180" t="n">
        <f aca="false">AR284+AK285-AL285</f>
        <v>150000</v>
      </c>
      <c r="AS285" s="180" t="n">
        <f aca="false">AS284+AP285</f>
        <v>94243.4849460239</v>
      </c>
      <c r="AT285" s="180" t="n">
        <f aca="false">AQ285+AS285-AR285</f>
        <v>656641.820682069</v>
      </c>
      <c r="AU285" s="180" t="n">
        <f aca="false">MAX(0,IFERROR(INDEX(TAB_IR,MATCH($C285,TAB_IR_DIAS,1),MATCH($D$8,TAB_IR_REGIMES,0)),0)*IF($D$26=2,AQ285,MAX(0,AT285))-AS285)</f>
        <v>4252.78815628644</v>
      </c>
      <c r="AV285" s="181" t="n">
        <f aca="false">MAX(0,AQ285-AU285-AQ285*$D$25)</f>
        <v>708145.547579759</v>
      </c>
      <c r="AW285" s="180" t="n">
        <f aca="false">AV285/$D285</f>
        <v>340539.004395242</v>
      </c>
      <c r="AY285" s="180" t="n">
        <f aca="false">BF284</f>
        <v>998937.291807287</v>
      </c>
      <c r="AZ285" s="180" t="n">
        <f aca="false">IF($E$9=0,0,IF($A285&gt;IN_PRAZO,0,IF(APORTE_CORRIGIDO="Sim",IN_APORTE*$D285,IN_APORTE))+IF(AND($E$35=1,PGBL_REINVESTE="Sim",$A285&gt;=13,$A285&lt;=IN_PRAZO,MONTH($B285)=5),PGBL_BENEFICIO,0))</f>
        <v>0</v>
      </c>
      <c r="BA285" s="180" t="n">
        <f aca="false">AZ285*$E$24</f>
        <v>0</v>
      </c>
      <c r="BB285" s="180" t="n">
        <f aca="false">AY285*$E$19</f>
        <v>9778.34277034937</v>
      </c>
      <c r="BC285" s="180" t="n">
        <f aca="false">AY285*$E$22</f>
        <v>1248.67161475911</v>
      </c>
      <c r="BD285" s="180" t="n">
        <f aca="false">$E$23*MAX(0,BB285-AY285*$E$18)</f>
        <v>0</v>
      </c>
      <c r="BE285" s="180" t="n">
        <f aca="false">IF(AND($E$27=1,OR(MONTH($B285)=5,MONTH($B285)=11)),MAX(0,$E$28*MAX(0,(AY285+BB285-BC285-BD285+AZ285-BA285)+BH284-BG285)-BH284),0)</f>
        <v>0</v>
      </c>
      <c r="BF285" s="181" t="n">
        <f aca="false">AY285+BB285-BC285-BD285+AZ285-BA285-BE285</f>
        <v>1007466.96296288</v>
      </c>
      <c r="BG285" s="180" t="n">
        <f aca="false">BG284+AZ285-BA285</f>
        <v>150000</v>
      </c>
      <c r="BH285" s="180" t="n">
        <f aca="false">BH284+BE285</f>
        <v>0</v>
      </c>
      <c r="BI285" s="180" t="n">
        <f aca="false">BF285+BH285-BG285</f>
        <v>857466.962962877</v>
      </c>
      <c r="BJ285" s="180" t="n">
        <f aca="false">MAX(0,IFERROR(INDEX(TAB_IR,MATCH($C285,TAB_IR_DIAS,1),MATCH($E$8,TAB_IR_REGIMES,0)),0)*IF($E$26=2,BF285,MAX(0,BI285))-BH285)</f>
        <v>85746.6962962877</v>
      </c>
      <c r="BK285" s="181" t="n">
        <f aca="false">MAX(0,BF285-BJ285-BF285*$E$25)</f>
        <v>921720.266666589</v>
      </c>
      <c r="BL285" s="180" t="n">
        <f aca="false">BK285/$D285</f>
        <v>443244.616893118</v>
      </c>
      <c r="BN285" s="180" t="n">
        <f aca="false">BU284</f>
        <v>998937.291807287</v>
      </c>
      <c r="BO285" s="180" t="n">
        <f aca="false">IF($F$9=0,0,IF($A285&gt;IN_PRAZO,0,IF(APORTE_CORRIGIDO="Sim",IN_APORTE*$D285,IN_APORTE))+IF(AND($F$35=1,PGBL_REINVESTE="Sim",$A285&gt;=13,$A285&lt;=IN_PRAZO,MONTH($B285)=5),PGBL_BENEFICIO,0))</f>
        <v>0</v>
      </c>
      <c r="BP285" s="180" t="n">
        <f aca="false">BO285*$F$24</f>
        <v>0</v>
      </c>
      <c r="BQ285" s="180" t="n">
        <f aca="false">BN285*$F$19</f>
        <v>9778.34277034937</v>
      </c>
      <c r="BR285" s="180" t="n">
        <f aca="false">BN285*$F$22</f>
        <v>1248.67161475911</v>
      </c>
      <c r="BS285" s="180" t="n">
        <f aca="false">$F$23*MAX(0,BQ285-BN285*$F$18)</f>
        <v>0</v>
      </c>
      <c r="BT285" s="180" t="n">
        <f aca="false">IF(AND($F$27=1,OR(MONTH($B285)=5,MONTH($B285)=11)),MAX(0,$F$28*MAX(0,(BN285+BQ285-BR285-BS285+BO285-BP285)+BW284-BV285)-BW284),0)</f>
        <v>0</v>
      </c>
      <c r="BU285" s="181" t="n">
        <f aca="false">BN285+BQ285-BR285-BS285+BO285-BP285-BT285</f>
        <v>1007466.96296288</v>
      </c>
      <c r="BV285" s="180" t="n">
        <f aca="false">BV284+BO285-BP285</f>
        <v>150000</v>
      </c>
      <c r="BW285" s="180" t="n">
        <f aca="false">BW284+BT285</f>
        <v>0</v>
      </c>
      <c r="BX285" s="180" t="n">
        <f aca="false">BU285+BW285-BV285</f>
        <v>857466.962962877</v>
      </c>
      <c r="BY285" s="180" t="n">
        <f aca="false">MAX(0,IFERROR(INDEX(TAB_IR,MATCH($C285,TAB_IR_DIAS,1),MATCH($F$8,TAB_IR_REGIMES,0)),0)*IF($F$26=2,BU285,MAX(0,BX285))-BW285)</f>
        <v>100746.696296288</v>
      </c>
      <c r="BZ285" s="181" t="n">
        <f aca="false">MAX(0,BU285-BY285-BU285*$F$25)</f>
        <v>906720.266666589</v>
      </c>
      <c r="CA285" s="180" t="n">
        <f aca="false">BZ285/$D285</f>
        <v>436031.290362454</v>
      </c>
      <c r="CC285" s="180" t="n">
        <f aca="false">CJ284</f>
        <v>603401.879393924</v>
      </c>
      <c r="CD285" s="180" t="n">
        <f aca="false">IF($G$9=0,0,IF($A285&gt;IN_PRAZO,0,IF(APORTE_CORRIGIDO="Sim",IN_APORTE*$D285,IN_APORTE))+IF(AND($G$35=1,PGBL_REINVESTE="Sim",$A285&gt;=13,$A285&lt;=IN_PRAZO,MONTH($B285)=5),PGBL_BENEFICIO,0))</f>
        <v>0</v>
      </c>
      <c r="CE285" s="180" t="n">
        <f aca="false">CD285*$G$24</f>
        <v>0</v>
      </c>
      <c r="CF285" s="180" t="n">
        <f aca="false">CC285*$G$19</f>
        <v>4922.08516202261</v>
      </c>
      <c r="CG285" s="180" t="n">
        <f aca="false">CC285*$G$22</f>
        <v>502.834899494937</v>
      </c>
      <c r="CH285" s="180" t="n">
        <f aca="false">$G$23*MAX(0,CF285-CC285*$G$18)</f>
        <v>0</v>
      </c>
      <c r="CI285" s="180" t="n">
        <f aca="false">IF(AND($G$27=1,OR(MONTH($B285)=5,MONTH($B285)=11)),MAX(0,$G$28*MAX(0,(CC285+CF285-CG285-CH285+CD285-CE285)+CL284-CK285)-CL284),0)</f>
        <v>0</v>
      </c>
      <c r="CJ285" s="181" t="n">
        <f aca="false">CC285+CF285-CG285-CH285+CD285-CE285-CI285</f>
        <v>607821.129656452</v>
      </c>
      <c r="CK285" s="180" t="n">
        <f aca="false">CK284+CD285-CE285</f>
        <v>150000</v>
      </c>
      <c r="CL285" s="180" t="n">
        <f aca="false">CL284+CI285</f>
        <v>76948.9162245746</v>
      </c>
      <c r="CM285" s="180" t="n">
        <f aca="false">CJ285+CL285-CK285</f>
        <v>534770.045881027</v>
      </c>
      <c r="CN285" s="180" t="n">
        <f aca="false">MAX(0,IFERROR(INDEX(TAB_IR,MATCH($C285,TAB_IR_DIAS,1),MATCH($G$8,TAB_IR_REGIMES,0)),0)*IF($G$26=2,CJ285,MAX(0,CM285))-CL285)</f>
        <v>3266.59065757941</v>
      </c>
      <c r="CO285" s="181" t="n">
        <f aca="false">MAX(0,CJ285-CN285-CJ285*$G$25)</f>
        <v>604554.538998873</v>
      </c>
      <c r="CP285" s="180" t="n">
        <f aca="false">CO285/$D285</f>
        <v>290723.286359592</v>
      </c>
    </row>
    <row r="286" customFormat="false" ht="12" hidden="false" customHeight="true" outlineLevel="0" collapsed="false">
      <c r="A286" s="177" t="n">
        <v>225</v>
      </c>
      <c r="B286" s="178" t="n">
        <f aca="false">EDATE(DATA_INICIO,$A286)</f>
        <v>53105</v>
      </c>
      <c r="C286" s="177" t="n">
        <f aca="false">$A286*30</f>
        <v>6750</v>
      </c>
      <c r="D286" s="179" t="n">
        <f aca="false">(1+IPCA_CENARIO)^($A286/12)</f>
        <v>2.08629209183295</v>
      </c>
      <c r="F286" s="180" t="n">
        <f aca="false">M285</f>
        <v>1198850.68988288</v>
      </c>
      <c r="G286" s="180" t="n">
        <f aca="false">IF($B$9=0,0,IF($A286&gt;IN_PRAZO,0,IF(APORTE_CORRIGIDO="Sim",IN_APORTE*$D286,IN_APORTE))+IF(AND($B$35=1,PGBL_REINVESTE="Sim",$A286&gt;=13,$A286&lt;=IN_PRAZO,MONTH($B286)=5),PGBL_BENEFICIO,0))</f>
        <v>0</v>
      </c>
      <c r="H286" s="180" t="n">
        <f aca="false">G286*$B$24</f>
        <v>0</v>
      </c>
      <c r="I286" s="180" t="n">
        <f aca="false">F286*$B$19</f>
        <v>11375.6459557807</v>
      </c>
      <c r="J286" s="180" t="n">
        <f aca="false">F286*$B$22</f>
        <v>199.808448313813</v>
      </c>
      <c r="K286" s="180" t="n">
        <f aca="false">$B$23*MAX(0,I286-F286*$B$18)</f>
        <v>0</v>
      </c>
      <c r="L286" s="180" t="n">
        <f aca="false">IF(AND($B$27=1,OR(MONTH($B286)=5,MONTH($B286)=11)),MAX(0,$B$28*MAX(0,(F286+I286-J286-K286+G286-H286)+O285-N286)-O285),0)</f>
        <v>0</v>
      </c>
      <c r="M286" s="181" t="n">
        <f aca="false">F286+I286-J286-K286+G286-H286-L286</f>
        <v>1210026.52739035</v>
      </c>
      <c r="N286" s="180" t="n">
        <f aca="false">N285+G286-H286</f>
        <v>150000</v>
      </c>
      <c r="O286" s="180" t="n">
        <f aca="false">O285+L286</f>
        <v>0</v>
      </c>
      <c r="P286" s="180" t="n">
        <f aca="false">M286+O286-N286</f>
        <v>1060026.52739035</v>
      </c>
      <c r="Q286" s="180" t="n">
        <f aca="false">MAX(0,IFERROR(INDEX(TAB_IR,MATCH($C286,TAB_IR_DIAS,1),MATCH($B$8,TAB_IR_REGIMES,0)),0)*IF($B$26=2,M286,MAX(0,P286))-O286)</f>
        <v>159003.979108552</v>
      </c>
      <c r="R286" s="181" t="n">
        <f aca="false">MAX(0,M286-Q286-M286*$B$25)</f>
        <v>1051022.54828179</v>
      </c>
      <c r="S286" s="180" t="n">
        <f aca="false">R286/$D286</f>
        <v>503775.359354596</v>
      </c>
      <c r="U286" s="180" t="n">
        <f aca="false">AB285</f>
        <v>891947.465478831</v>
      </c>
      <c r="V286" s="180" t="n">
        <f aca="false">IF($C$9=0,0,IF($A286&gt;IN_PRAZO,0,IF(APORTE_CORRIGIDO="Sim",IN_APORTE*$D286,IN_APORTE))+IF(AND($C$35=1,PGBL_REINVESTE="Sim",$A286&gt;=13,$A286&lt;=IN_PRAZO,MONTH($B286)=5),PGBL_BENEFICIO,0))</f>
        <v>0</v>
      </c>
      <c r="W286" s="180" t="n">
        <f aca="false">V286*$C$24</f>
        <v>0</v>
      </c>
      <c r="X286" s="180" t="n">
        <f aca="false">U286*$C$19</f>
        <v>7275.81655785813</v>
      </c>
      <c r="Y286" s="180" t="n">
        <f aca="false">U286*$C$22</f>
        <v>148.657910913139</v>
      </c>
      <c r="Z286" s="180" t="n">
        <f aca="false">$C$23*MAX(0,X286-U286*$C$18)</f>
        <v>0</v>
      </c>
      <c r="AA286" s="180" t="n">
        <f aca="false">IF(AND($C$27=1,OR(MONTH($B286)=5,MONTH($B286)=11)),MAX(0,$C$28*MAX(0,(U286+X286-Y286-Z286+V286-W286)+AD285-AC286)-AD285),0)</f>
        <v>0</v>
      </c>
      <c r="AB286" s="181" t="n">
        <f aca="false">U286+X286-Y286-Z286+V286-W286-AA286</f>
        <v>899074.624125776</v>
      </c>
      <c r="AC286" s="180" t="n">
        <f aca="false">AC285+V286-W286</f>
        <v>150000</v>
      </c>
      <c r="AD286" s="180" t="n">
        <f aca="false">AD285+AA286</f>
        <v>0</v>
      </c>
      <c r="AE286" s="180" t="n">
        <f aca="false">AB286+AD286-AC286</f>
        <v>749074.624125776</v>
      </c>
      <c r="AF286" s="180" t="n">
        <f aca="false">MAX(0,IFERROR(INDEX(TAB_IR,MATCH($C286,TAB_IR_DIAS,1),MATCH($C$8,TAB_IR_REGIMES,0)),0)*IF($C$26=2,AB286,MAX(0,AE286))-AD286)</f>
        <v>112361.193618866</v>
      </c>
      <c r="AG286" s="181" t="n">
        <f aca="false">MAX(0,AB286-AF286-AB286*$C$25)</f>
        <v>786713.43050691</v>
      </c>
      <c r="AH286" s="180" t="n">
        <f aca="false">AG286/$D286</f>
        <v>377086.906280573</v>
      </c>
      <c r="AJ286" s="180" t="n">
        <f aca="false">AQ285</f>
        <v>712398.335736045</v>
      </c>
      <c r="AK286" s="180" t="n">
        <f aca="false">IF($D$9=0,0,IF($A286&gt;IN_PRAZO,0,IF(APORTE_CORRIGIDO="Sim",IN_APORTE*$D286,IN_APORTE))+IF(AND($D$35=1,PGBL_REINVESTE="Sim",$A286&gt;=13,$A286&lt;=IN_PRAZO,MONTH($B286)=5),PGBL_BENEFICIO,0))</f>
        <v>0</v>
      </c>
      <c r="AL286" s="180" t="n">
        <f aca="false">AK286*$D$24</f>
        <v>0</v>
      </c>
      <c r="AM286" s="180" t="n">
        <f aca="false">AJ286*$D$19</f>
        <v>6403.53281853213</v>
      </c>
      <c r="AN286" s="180" t="n">
        <f aca="false">AJ286*$D$22</f>
        <v>593.665279780038</v>
      </c>
      <c r="AO286" s="180" t="n">
        <f aca="false">$D$23*MAX(0,AM286-AJ286*$D$18)</f>
        <v>0</v>
      </c>
      <c r="AP286" s="180" t="n">
        <f aca="false">IF(AND($D$27=1,OR(MONTH($B286)=5,MONTH($B286)=11)),MAX(0,$D$28*MAX(0,(AJ286+AM286-AN286-AO286+AK286-AL286)+AS285-AR286)-AS285),0)</f>
        <v>5124.26828709924</v>
      </c>
      <c r="AQ286" s="181" t="n">
        <f aca="false">AJ286+AM286-AN286-AO286+AK286-AL286-AP286</f>
        <v>713083.934987698</v>
      </c>
      <c r="AR286" s="180" t="n">
        <f aca="false">AR285+AK286-AL286</f>
        <v>150000</v>
      </c>
      <c r="AS286" s="180" t="n">
        <f aca="false">AS285+AP286</f>
        <v>99367.7532331232</v>
      </c>
      <c r="AT286" s="180" t="n">
        <f aca="false">AQ286+AS286-AR286</f>
        <v>662451.688220821</v>
      </c>
      <c r="AU286" s="180" t="n">
        <f aca="false">MAX(0,IFERROR(INDEX(TAB_IR,MATCH($C286,TAB_IR_DIAS,1),MATCH($D$8,TAB_IR_REGIMES,0)),0)*IF($D$26=2,AQ286,MAX(0,AT286))-AS286)</f>
        <v>0</v>
      </c>
      <c r="AV286" s="181" t="n">
        <f aca="false">MAX(0,AQ286-AU286-AQ286*$D$25)</f>
        <v>713083.934987698</v>
      </c>
      <c r="AW286" s="180" t="n">
        <f aca="false">AV286/$D286</f>
        <v>341794.8703248</v>
      </c>
      <c r="AY286" s="180" t="n">
        <f aca="false">BF285</f>
        <v>1007466.96296288</v>
      </c>
      <c r="AZ286" s="180" t="n">
        <f aca="false">IF($E$9=0,0,IF($A286&gt;IN_PRAZO,0,IF(APORTE_CORRIGIDO="Sim",IN_APORTE*$D286,IN_APORTE))+IF(AND($E$35=1,PGBL_REINVESTE="Sim",$A286&gt;=13,$A286&lt;=IN_PRAZO,MONTH($B286)=5),PGBL_BENEFICIO,0))</f>
        <v>0</v>
      </c>
      <c r="BA286" s="180" t="n">
        <f aca="false">AZ286*$E$24</f>
        <v>0</v>
      </c>
      <c r="BB286" s="180" t="n">
        <f aca="false">AY286*$E$19</f>
        <v>9861.83754921264</v>
      </c>
      <c r="BC286" s="180" t="n">
        <f aca="false">AY286*$E$22</f>
        <v>1259.3337037036</v>
      </c>
      <c r="BD286" s="180" t="n">
        <f aca="false">$E$23*MAX(0,BB286-AY286*$E$18)</f>
        <v>0</v>
      </c>
      <c r="BE286" s="180" t="n">
        <f aca="false">IF(AND($E$27=1,OR(MONTH($B286)=5,MONTH($B286)=11)),MAX(0,$E$28*MAX(0,(AY286+BB286-BC286-BD286+AZ286-BA286)+BH285-BG286)-BH285),0)</f>
        <v>0</v>
      </c>
      <c r="BF286" s="181" t="n">
        <f aca="false">AY286+BB286-BC286-BD286+AZ286-BA286-BE286</f>
        <v>1016069.46680839</v>
      </c>
      <c r="BG286" s="180" t="n">
        <f aca="false">BG285+AZ286-BA286</f>
        <v>150000</v>
      </c>
      <c r="BH286" s="180" t="n">
        <f aca="false">BH285+BE286</f>
        <v>0</v>
      </c>
      <c r="BI286" s="180" t="n">
        <f aca="false">BF286+BH286-BG286</f>
        <v>866069.466808386</v>
      </c>
      <c r="BJ286" s="180" t="n">
        <f aca="false">MAX(0,IFERROR(INDEX(TAB_IR,MATCH($C286,TAB_IR_DIAS,1),MATCH($E$8,TAB_IR_REGIMES,0)),0)*IF($E$26=2,BF286,MAX(0,BI286))-BH286)</f>
        <v>86606.9466808386</v>
      </c>
      <c r="BK286" s="181" t="n">
        <f aca="false">MAX(0,BF286-BJ286-BF286*$E$25)</f>
        <v>929462.520127547</v>
      </c>
      <c r="BL286" s="180" t="n">
        <f aca="false">BK286/$D286</f>
        <v>445509.295542099</v>
      </c>
      <c r="BN286" s="180" t="n">
        <f aca="false">BU285</f>
        <v>1007466.96296288</v>
      </c>
      <c r="BO286" s="180" t="n">
        <f aca="false">IF($F$9=0,0,IF($A286&gt;IN_PRAZO,0,IF(APORTE_CORRIGIDO="Sim",IN_APORTE*$D286,IN_APORTE))+IF(AND($F$35=1,PGBL_REINVESTE="Sim",$A286&gt;=13,$A286&lt;=IN_PRAZO,MONTH($B286)=5),PGBL_BENEFICIO,0))</f>
        <v>0</v>
      </c>
      <c r="BP286" s="180" t="n">
        <f aca="false">BO286*$F$24</f>
        <v>0</v>
      </c>
      <c r="BQ286" s="180" t="n">
        <f aca="false">BN286*$F$19</f>
        <v>9861.83754921264</v>
      </c>
      <c r="BR286" s="180" t="n">
        <f aca="false">BN286*$F$22</f>
        <v>1259.3337037036</v>
      </c>
      <c r="BS286" s="180" t="n">
        <f aca="false">$F$23*MAX(0,BQ286-BN286*$F$18)</f>
        <v>0</v>
      </c>
      <c r="BT286" s="180" t="n">
        <f aca="false">IF(AND($F$27=1,OR(MONTH($B286)=5,MONTH($B286)=11)),MAX(0,$F$28*MAX(0,(BN286+BQ286-BR286-BS286+BO286-BP286)+BW285-BV286)-BW285),0)</f>
        <v>0</v>
      </c>
      <c r="BU286" s="181" t="n">
        <f aca="false">BN286+BQ286-BR286-BS286+BO286-BP286-BT286</f>
        <v>1016069.46680839</v>
      </c>
      <c r="BV286" s="180" t="n">
        <f aca="false">BV285+BO286-BP286</f>
        <v>150000</v>
      </c>
      <c r="BW286" s="180" t="n">
        <f aca="false">BW285+BT286</f>
        <v>0</v>
      </c>
      <c r="BX286" s="180" t="n">
        <f aca="false">BU286+BW286-BV286</f>
        <v>866069.466808386</v>
      </c>
      <c r="BY286" s="180" t="n">
        <f aca="false">MAX(0,IFERROR(INDEX(TAB_IR,MATCH($C286,TAB_IR_DIAS,1),MATCH($F$8,TAB_IR_REGIMES,0)),0)*IF($F$26=2,BU286,MAX(0,BX286))-BW286)</f>
        <v>101606.946680839</v>
      </c>
      <c r="BZ286" s="181" t="n">
        <f aca="false">MAX(0,BU286-BY286-BU286*$F$25)</f>
        <v>914462.520127547</v>
      </c>
      <c r="CA286" s="180" t="n">
        <f aca="false">BZ286/$D286</f>
        <v>438319.506509816</v>
      </c>
      <c r="CC286" s="180" t="n">
        <f aca="false">CJ285</f>
        <v>607821.129656452</v>
      </c>
      <c r="CD286" s="180" t="n">
        <f aca="false">IF($G$9=0,0,IF($A286&gt;IN_PRAZO,0,IF(APORTE_CORRIGIDO="Sim",IN_APORTE*$D286,IN_APORTE))+IF(AND($G$35=1,PGBL_REINVESTE="Sim",$A286&gt;=13,$A286&lt;=IN_PRAZO,MONTH($B286)=5),PGBL_BENEFICIO,0))</f>
        <v>0</v>
      </c>
      <c r="CE286" s="180" t="n">
        <f aca="false">CD286*$G$24</f>
        <v>0</v>
      </c>
      <c r="CF286" s="180" t="n">
        <f aca="false">CC286*$G$19</f>
        <v>4958.13398269632</v>
      </c>
      <c r="CG286" s="180" t="n">
        <f aca="false">CC286*$G$22</f>
        <v>506.517608047043</v>
      </c>
      <c r="CH286" s="180" t="n">
        <f aca="false">$G$23*MAX(0,CF286-CC286*$G$18)</f>
        <v>0</v>
      </c>
      <c r="CI286" s="180" t="n">
        <f aca="false">IF(AND($G$27=1,OR(MONTH($B286)=5,MONTH($B286)=11)),MAX(0,$G$28*MAX(0,(CC286+CF286-CG286-CH286+CD286-CE286)+CL285-CK286)-CL285),0)</f>
        <v>3934.33311377681</v>
      </c>
      <c r="CJ286" s="181" t="n">
        <f aca="false">CC286+CF286-CG286-CH286+CD286-CE286-CI286</f>
        <v>608338.412917325</v>
      </c>
      <c r="CK286" s="180" t="n">
        <f aca="false">CK285+CD286-CE286</f>
        <v>150000</v>
      </c>
      <c r="CL286" s="180" t="n">
        <f aca="false">CL285+CI286</f>
        <v>80883.2493383514</v>
      </c>
      <c r="CM286" s="180" t="n">
        <f aca="false">CJ286+CL286-CK286</f>
        <v>539221.662255676</v>
      </c>
      <c r="CN286" s="180" t="n">
        <f aca="false">MAX(0,IFERROR(INDEX(TAB_IR,MATCH($C286,TAB_IR_DIAS,1),MATCH($G$8,TAB_IR_REGIMES,0)),0)*IF($G$26=2,CJ286,MAX(0,CM286))-CL286)</f>
        <v>0</v>
      </c>
      <c r="CO286" s="181" t="n">
        <f aca="false">MAX(0,CJ286-CN286-CJ286*$G$25)</f>
        <v>608338.412917325</v>
      </c>
      <c r="CP286" s="180" t="n">
        <f aca="false">CO286/$D286</f>
        <v>291588.323273976</v>
      </c>
    </row>
    <row r="287" customFormat="false" ht="12" hidden="false" customHeight="true" outlineLevel="0" collapsed="false">
      <c r="A287" s="177" t="n">
        <v>226</v>
      </c>
      <c r="B287" s="178" t="n">
        <f aca="false">EDATE(DATA_INICIO,$A287)</f>
        <v>53136</v>
      </c>
      <c r="C287" s="177" t="n">
        <f aca="false">$A287*30</f>
        <v>6780</v>
      </c>
      <c r="D287" s="179" t="n">
        <f aca="false">(1+IPCA_CENARIO)^($A287/12)</f>
        <v>2.09312206925127</v>
      </c>
      <c r="F287" s="180" t="n">
        <f aca="false">M286</f>
        <v>1210026.52739035</v>
      </c>
      <c r="G287" s="180" t="n">
        <f aca="false">IF($B$9=0,0,IF($A287&gt;IN_PRAZO,0,IF(APORTE_CORRIGIDO="Sim",IN_APORTE*$D287,IN_APORTE))+IF(AND($B$35=1,PGBL_REINVESTE="Sim",$A287&gt;=13,$A287&lt;=IN_PRAZO,MONTH($B287)=5),PGBL_BENEFICIO,0))</f>
        <v>0</v>
      </c>
      <c r="H287" s="180" t="n">
        <f aca="false">G287*$B$24</f>
        <v>0</v>
      </c>
      <c r="I287" s="180" t="n">
        <f aca="false">F287*$B$19</f>
        <v>11481.6911637596</v>
      </c>
      <c r="J287" s="180" t="n">
        <f aca="false">F287*$B$22</f>
        <v>201.671087898391</v>
      </c>
      <c r="K287" s="180" t="n">
        <f aca="false">$B$23*MAX(0,I287-F287*$B$18)</f>
        <v>0</v>
      </c>
      <c r="L287" s="180" t="n">
        <f aca="false">IF(AND($B$27=1,OR(MONTH($B287)=5,MONTH($B287)=11)),MAX(0,$B$28*MAX(0,(F287+I287-J287-K287+G287-H287)+O286-N287)-O286),0)</f>
        <v>0</v>
      </c>
      <c r="M287" s="181" t="n">
        <f aca="false">F287+I287-J287-K287+G287-H287-L287</f>
        <v>1221306.54746621</v>
      </c>
      <c r="N287" s="180" t="n">
        <f aca="false">N286+G287-H287</f>
        <v>150000</v>
      </c>
      <c r="O287" s="180" t="n">
        <f aca="false">O286+L287</f>
        <v>0</v>
      </c>
      <c r="P287" s="180" t="n">
        <f aca="false">M287+O287-N287</f>
        <v>1071306.54746621</v>
      </c>
      <c r="Q287" s="180" t="n">
        <f aca="false">MAX(0,IFERROR(INDEX(TAB_IR,MATCH($C287,TAB_IR_DIAS,1),MATCH($B$8,TAB_IR_REGIMES,0)),0)*IF($B$26=2,M287,MAX(0,P287))-O287)</f>
        <v>160695.982119931</v>
      </c>
      <c r="R287" s="181" t="n">
        <f aca="false">MAX(0,M287-Q287-M287*$B$25)</f>
        <v>1060610.56534628</v>
      </c>
      <c r="S287" s="180" t="n">
        <f aca="false">R287/$D287</f>
        <v>506712.236676034</v>
      </c>
      <c r="U287" s="180" t="n">
        <f aca="false">AB286</f>
        <v>899074.624125776</v>
      </c>
      <c r="V287" s="180" t="n">
        <f aca="false">IF($C$9=0,0,IF($A287&gt;IN_PRAZO,0,IF(APORTE_CORRIGIDO="Sim",IN_APORTE*$D287,IN_APORTE))+IF(AND($C$35=1,PGBL_REINVESTE="Sim",$A287&gt;=13,$A287&lt;=IN_PRAZO,MONTH($B287)=5),PGBL_BENEFICIO,0))</f>
        <v>0</v>
      </c>
      <c r="W287" s="180" t="n">
        <f aca="false">V287*$C$24</f>
        <v>0</v>
      </c>
      <c r="X287" s="180" t="n">
        <f aca="false">U287*$C$19</f>
        <v>7333.95439769838</v>
      </c>
      <c r="Y287" s="180" t="n">
        <f aca="false">U287*$C$22</f>
        <v>149.845770687629</v>
      </c>
      <c r="Z287" s="180" t="n">
        <f aca="false">$C$23*MAX(0,X287-U287*$C$18)</f>
        <v>0</v>
      </c>
      <c r="AA287" s="180" t="n">
        <f aca="false">IF(AND($C$27=1,OR(MONTH($B287)=5,MONTH($B287)=11)),MAX(0,$C$28*MAX(0,(U287+X287-Y287-Z287+V287-W287)+AD286-AC287)-AD286),0)</f>
        <v>0</v>
      </c>
      <c r="AB287" s="181" t="n">
        <f aca="false">U287+X287-Y287-Z287+V287-W287-AA287</f>
        <v>906258.732752787</v>
      </c>
      <c r="AC287" s="180" t="n">
        <f aca="false">AC286+V287-W287</f>
        <v>150000</v>
      </c>
      <c r="AD287" s="180" t="n">
        <f aca="false">AD286+AA287</f>
        <v>0</v>
      </c>
      <c r="AE287" s="180" t="n">
        <f aca="false">AB287+AD287-AC287</f>
        <v>756258.732752787</v>
      </c>
      <c r="AF287" s="180" t="n">
        <f aca="false">MAX(0,IFERROR(INDEX(TAB_IR,MATCH($C287,TAB_IR_DIAS,1),MATCH($C$8,TAB_IR_REGIMES,0)),0)*IF($C$26=2,AB287,MAX(0,AE287))-AD287)</f>
        <v>113438.809912918</v>
      </c>
      <c r="AG287" s="181" t="n">
        <f aca="false">MAX(0,AB287-AF287-AB287*$C$25)</f>
        <v>792819.922839869</v>
      </c>
      <c r="AH287" s="180" t="n">
        <f aca="false">AG287/$D287</f>
        <v>378773.858671066</v>
      </c>
      <c r="AJ287" s="180" t="n">
        <f aca="false">AQ286</f>
        <v>713083.934987698</v>
      </c>
      <c r="AK287" s="180" t="n">
        <f aca="false">IF($D$9=0,0,IF($A287&gt;IN_PRAZO,0,IF(APORTE_CORRIGIDO="Sim",IN_APORTE*$D287,IN_APORTE))+IF(AND($D$35=1,PGBL_REINVESTE="Sim",$A287&gt;=13,$A287&lt;=IN_PRAZO,MONTH($B287)=5),PGBL_BENEFICIO,0))</f>
        <v>0</v>
      </c>
      <c r="AL287" s="180" t="n">
        <f aca="false">AK287*$D$24</f>
        <v>0</v>
      </c>
      <c r="AM287" s="180" t="n">
        <f aca="false">AJ287*$D$19</f>
        <v>6409.69546250263</v>
      </c>
      <c r="AN287" s="180" t="n">
        <f aca="false">AJ287*$D$22</f>
        <v>594.236612489749</v>
      </c>
      <c r="AO287" s="180" t="n">
        <f aca="false">$D$23*MAX(0,AM287-AJ287*$D$18)</f>
        <v>0</v>
      </c>
      <c r="AP287" s="180" t="n">
        <f aca="false">IF(AND($D$27=1,OR(MONTH($B287)=5,MONTH($B287)=11)),MAX(0,$D$28*MAX(0,(AJ287+AM287-AN287-AO287+AK287-AL287)+AS286-AR287)-AS286),0)</f>
        <v>0</v>
      </c>
      <c r="AQ287" s="181" t="n">
        <f aca="false">AJ287+AM287-AN287-AO287+AK287-AL287-AP287</f>
        <v>718899.393837711</v>
      </c>
      <c r="AR287" s="180" t="n">
        <f aca="false">AR286+AK287-AL287</f>
        <v>150000</v>
      </c>
      <c r="AS287" s="180" t="n">
        <f aca="false">AS286+AP287</f>
        <v>99367.7532331232</v>
      </c>
      <c r="AT287" s="180" t="n">
        <f aca="false">AQ287+AS287-AR287</f>
        <v>668267.147070834</v>
      </c>
      <c r="AU287" s="180" t="n">
        <f aca="false">MAX(0,IFERROR(INDEX(TAB_IR,MATCH($C287,TAB_IR_DIAS,1),MATCH($D$8,TAB_IR_REGIMES,0)),0)*IF($D$26=2,AQ287,MAX(0,AT287))-AS287)</f>
        <v>872.318827501949</v>
      </c>
      <c r="AV287" s="181" t="n">
        <f aca="false">MAX(0,AQ287-AU287-AQ287*$D$25)</f>
        <v>718027.075010209</v>
      </c>
      <c r="AW287" s="180" t="n">
        <f aca="false">AV287/$D287</f>
        <v>343041.185011754</v>
      </c>
      <c r="AY287" s="180" t="n">
        <f aca="false">BF286</f>
        <v>1016069.46680839</v>
      </c>
      <c r="AZ287" s="180" t="n">
        <f aca="false">IF($E$9=0,0,IF($A287&gt;IN_PRAZO,0,IF(APORTE_CORRIGIDO="Sim",IN_APORTE*$D287,IN_APORTE))+IF(AND($E$35=1,PGBL_REINVESTE="Sim",$A287&gt;=13,$A287&lt;=IN_PRAZO,MONTH($B287)=5),PGBL_BENEFICIO,0))</f>
        <v>0</v>
      </c>
      <c r="BA287" s="180" t="n">
        <f aca="false">AZ287*$E$24</f>
        <v>0</v>
      </c>
      <c r="BB287" s="180" t="n">
        <f aca="false">AY287*$E$19</f>
        <v>9946.0452687307</v>
      </c>
      <c r="BC287" s="180" t="n">
        <f aca="false">AY287*$E$22</f>
        <v>1270.08683351048</v>
      </c>
      <c r="BD287" s="180" t="n">
        <f aca="false">$E$23*MAX(0,BB287-AY287*$E$18)</f>
        <v>0</v>
      </c>
      <c r="BE287" s="180" t="n">
        <f aca="false">IF(AND($E$27=1,OR(MONTH($B287)=5,MONTH($B287)=11)),MAX(0,$E$28*MAX(0,(AY287+BB287-BC287-BD287+AZ287-BA287)+BH286-BG287)-BH286),0)</f>
        <v>0</v>
      </c>
      <c r="BF287" s="181" t="n">
        <f aca="false">AY287+BB287-BC287-BD287+AZ287-BA287-BE287</f>
        <v>1024745.42524361</v>
      </c>
      <c r="BG287" s="180" t="n">
        <f aca="false">BG286+AZ287-BA287</f>
        <v>150000</v>
      </c>
      <c r="BH287" s="180" t="n">
        <f aca="false">BH286+BE287</f>
        <v>0</v>
      </c>
      <c r="BI287" s="180" t="n">
        <f aca="false">BF287+BH287-BG287</f>
        <v>874745.425243606</v>
      </c>
      <c r="BJ287" s="180" t="n">
        <f aca="false">MAX(0,IFERROR(INDEX(TAB_IR,MATCH($C287,TAB_IR_DIAS,1),MATCH($E$8,TAB_IR_REGIMES,0)),0)*IF($E$26=2,BF287,MAX(0,BI287))-BH287)</f>
        <v>87474.5425243606</v>
      </c>
      <c r="BK287" s="181" t="n">
        <f aca="false">MAX(0,BF287-BJ287-BF287*$E$25)</f>
        <v>937270.882719246</v>
      </c>
      <c r="BL287" s="180" t="n">
        <f aca="false">BK287/$D287</f>
        <v>447786.059154457</v>
      </c>
      <c r="BN287" s="180" t="n">
        <f aca="false">BU286</f>
        <v>1016069.46680839</v>
      </c>
      <c r="BO287" s="180" t="n">
        <f aca="false">IF($F$9=0,0,IF($A287&gt;IN_PRAZO,0,IF(APORTE_CORRIGIDO="Sim",IN_APORTE*$D287,IN_APORTE))+IF(AND($F$35=1,PGBL_REINVESTE="Sim",$A287&gt;=13,$A287&lt;=IN_PRAZO,MONTH($B287)=5),PGBL_BENEFICIO,0))</f>
        <v>0</v>
      </c>
      <c r="BP287" s="180" t="n">
        <f aca="false">BO287*$F$24</f>
        <v>0</v>
      </c>
      <c r="BQ287" s="180" t="n">
        <f aca="false">BN287*$F$19</f>
        <v>9946.0452687307</v>
      </c>
      <c r="BR287" s="180" t="n">
        <f aca="false">BN287*$F$22</f>
        <v>1270.08683351048</v>
      </c>
      <c r="BS287" s="180" t="n">
        <f aca="false">$F$23*MAX(0,BQ287-BN287*$F$18)</f>
        <v>0</v>
      </c>
      <c r="BT287" s="180" t="n">
        <f aca="false">IF(AND($F$27=1,OR(MONTH($B287)=5,MONTH($B287)=11)),MAX(0,$F$28*MAX(0,(BN287+BQ287-BR287-BS287+BO287-BP287)+BW286-BV287)-BW286),0)</f>
        <v>0</v>
      </c>
      <c r="BU287" s="181" t="n">
        <f aca="false">BN287+BQ287-BR287-BS287+BO287-BP287-BT287</f>
        <v>1024745.42524361</v>
      </c>
      <c r="BV287" s="180" t="n">
        <f aca="false">BV286+BO287-BP287</f>
        <v>150000</v>
      </c>
      <c r="BW287" s="180" t="n">
        <f aca="false">BW286+BT287</f>
        <v>0</v>
      </c>
      <c r="BX287" s="180" t="n">
        <f aca="false">BU287+BW287-BV287</f>
        <v>874745.425243606</v>
      </c>
      <c r="BY287" s="180" t="n">
        <f aca="false">MAX(0,IFERROR(INDEX(TAB_IR,MATCH($C287,TAB_IR_DIAS,1),MATCH($F$8,TAB_IR_REGIMES,0)),0)*IF($F$26=2,BU287,MAX(0,BX287))-BW287)</f>
        <v>102474.542524361</v>
      </c>
      <c r="BZ287" s="181" t="n">
        <f aca="false">MAX(0,BU287-BY287-BU287*$F$25)</f>
        <v>922270.882719246</v>
      </c>
      <c r="CA287" s="180" t="n">
        <f aca="false">BZ287/$D287</f>
        <v>440619.730816346</v>
      </c>
      <c r="CC287" s="180" t="n">
        <f aca="false">CJ286</f>
        <v>608338.412917325</v>
      </c>
      <c r="CD287" s="180" t="n">
        <f aca="false">IF($G$9=0,0,IF($A287&gt;IN_PRAZO,0,IF(APORTE_CORRIGIDO="Sim",IN_APORTE*$D287,IN_APORTE))+IF(AND($G$35=1,PGBL_REINVESTE="Sim",$A287&gt;=13,$A287&lt;=IN_PRAZO,MONTH($B287)=5),PGBL_BENEFICIO,0))</f>
        <v>0</v>
      </c>
      <c r="CE287" s="180" t="n">
        <f aca="false">CD287*$G$24</f>
        <v>0</v>
      </c>
      <c r="CF287" s="180" t="n">
        <f aca="false">CC287*$G$19</f>
        <v>4962.35357887236</v>
      </c>
      <c r="CG287" s="180" t="n">
        <f aca="false">CC287*$G$22</f>
        <v>506.948677431104</v>
      </c>
      <c r="CH287" s="180" t="n">
        <f aca="false">$G$23*MAX(0,CF287-CC287*$G$18)</f>
        <v>0</v>
      </c>
      <c r="CI287" s="180" t="n">
        <f aca="false">IF(AND($G$27=1,OR(MONTH($B287)=5,MONTH($B287)=11)),MAX(0,$G$28*MAX(0,(CC287+CF287-CG287-CH287+CD287-CE287)+CL286-CK287)-CL286),0)</f>
        <v>0</v>
      </c>
      <c r="CJ287" s="181" t="n">
        <f aca="false">CC287+CF287-CG287-CH287+CD287-CE287-CI287</f>
        <v>612793.817818766</v>
      </c>
      <c r="CK287" s="180" t="n">
        <f aca="false">CK286+CD287-CE287</f>
        <v>150000</v>
      </c>
      <c r="CL287" s="180" t="n">
        <f aca="false">CL286+CI287</f>
        <v>80883.2493383514</v>
      </c>
      <c r="CM287" s="180" t="n">
        <f aca="false">CJ287+CL287-CK287</f>
        <v>543677.067157117</v>
      </c>
      <c r="CN287" s="180" t="n">
        <f aca="false">MAX(0,IFERROR(INDEX(TAB_IR,MATCH($C287,TAB_IR_DIAS,1),MATCH($G$8,TAB_IR_REGIMES,0)),0)*IF($G$26=2,CJ287,MAX(0,CM287))-CL287)</f>
        <v>668.310735216219</v>
      </c>
      <c r="CO287" s="181" t="n">
        <f aca="false">MAX(0,CJ287-CN287-CJ287*$G$25)</f>
        <v>612125.50708355</v>
      </c>
      <c r="CP287" s="180" t="n">
        <f aca="false">CO287/$D287</f>
        <v>292446.157859543</v>
      </c>
    </row>
    <row r="288" customFormat="false" ht="12" hidden="false" customHeight="true" outlineLevel="0" collapsed="false">
      <c r="A288" s="177" t="n">
        <v>227</v>
      </c>
      <c r="B288" s="178" t="n">
        <f aca="false">EDATE(DATA_INICIO,$A288)</f>
        <v>53166</v>
      </c>
      <c r="C288" s="177" t="n">
        <f aca="false">$A288*30</f>
        <v>6810</v>
      </c>
      <c r="D288" s="179" t="n">
        <f aca="false">(1+IPCA_CENARIO)^($A288/12)</f>
        <v>2.09997440623837</v>
      </c>
      <c r="F288" s="180" t="n">
        <f aca="false">M287</f>
        <v>1221306.54746621</v>
      </c>
      <c r="G288" s="180" t="n">
        <f aca="false">IF($B$9=0,0,IF($A288&gt;IN_PRAZO,0,IF(APORTE_CORRIGIDO="Sim",IN_APORTE*$D288,IN_APORTE))+IF(AND($B$35=1,PGBL_REINVESTE="Sim",$A288&gt;=13,$A288&lt;=IN_PRAZO,MONTH($B288)=5),PGBL_BENEFICIO,0))</f>
        <v>0</v>
      </c>
      <c r="H288" s="180" t="n">
        <f aca="false">G288*$B$24</f>
        <v>0</v>
      </c>
      <c r="I288" s="180" t="n">
        <f aca="false">F288*$B$19</f>
        <v>11588.7249385574</v>
      </c>
      <c r="J288" s="180" t="n">
        <f aca="false">F288*$B$22</f>
        <v>203.551091244368</v>
      </c>
      <c r="K288" s="180" t="n">
        <f aca="false">$B$23*MAX(0,I288-F288*$B$18)</f>
        <v>0</v>
      </c>
      <c r="L288" s="180" t="n">
        <f aca="false">IF(AND($B$27=1,OR(MONTH($B288)=5,MONTH($B288)=11)),MAX(0,$B$28*MAX(0,(F288+I288-J288-K288+G288-H288)+O287-N288)-O287),0)</f>
        <v>0</v>
      </c>
      <c r="M288" s="181" t="n">
        <f aca="false">F288+I288-J288-K288+G288-H288-L288</f>
        <v>1232691.72131352</v>
      </c>
      <c r="N288" s="180" t="n">
        <f aca="false">N287+G288-H288</f>
        <v>150000</v>
      </c>
      <c r="O288" s="180" t="n">
        <f aca="false">O287+L288</f>
        <v>0</v>
      </c>
      <c r="P288" s="180" t="n">
        <f aca="false">M288+O288-N288</f>
        <v>1082691.72131352</v>
      </c>
      <c r="Q288" s="180" t="n">
        <f aca="false">MAX(0,IFERROR(INDEX(TAB_IR,MATCH($C288,TAB_IR_DIAS,1),MATCH($B$8,TAB_IR_REGIMES,0)),0)*IF($B$26=2,M288,MAX(0,P288))-O288)</f>
        <v>162403.758197028</v>
      </c>
      <c r="R288" s="181" t="n">
        <f aca="false">MAX(0,M288-Q288-M288*$B$25)</f>
        <v>1070287.96311649</v>
      </c>
      <c r="S288" s="180" t="n">
        <f aca="false">R288/$D288</f>
        <v>509667.146388546</v>
      </c>
      <c r="U288" s="180" t="n">
        <f aca="false">AB287</f>
        <v>906258.732752787</v>
      </c>
      <c r="V288" s="180" t="n">
        <f aca="false">IF($C$9=0,0,IF($A288&gt;IN_PRAZO,0,IF(APORTE_CORRIGIDO="Sim",IN_APORTE*$D288,IN_APORTE))+IF(AND($C$35=1,PGBL_REINVESTE="Sim",$A288&gt;=13,$A288&lt;=IN_PRAZO,MONTH($B288)=5),PGBL_BENEFICIO,0))</f>
        <v>0</v>
      </c>
      <c r="W288" s="180" t="n">
        <f aca="false">V288*$C$24</f>
        <v>0</v>
      </c>
      <c r="X288" s="180" t="n">
        <f aca="false">U288*$C$19</f>
        <v>7392.55679136491</v>
      </c>
      <c r="Y288" s="180" t="n">
        <f aca="false">U288*$C$22</f>
        <v>151.043122125464</v>
      </c>
      <c r="Z288" s="180" t="n">
        <f aca="false">$C$23*MAX(0,X288-U288*$C$18)</f>
        <v>0</v>
      </c>
      <c r="AA288" s="180" t="n">
        <f aca="false">IF(AND($C$27=1,OR(MONTH($B288)=5,MONTH($B288)=11)),MAX(0,$C$28*MAX(0,(U288+X288-Y288-Z288+V288-W288)+AD287-AC288)-AD287),0)</f>
        <v>0</v>
      </c>
      <c r="AB288" s="181" t="n">
        <f aca="false">U288+X288-Y288-Z288+V288-W288-AA288</f>
        <v>913500.246422026</v>
      </c>
      <c r="AC288" s="180" t="n">
        <f aca="false">AC287+V288-W288</f>
        <v>150000</v>
      </c>
      <c r="AD288" s="180" t="n">
        <f aca="false">AD287+AA288</f>
        <v>0</v>
      </c>
      <c r="AE288" s="180" t="n">
        <f aca="false">AB288+AD288-AC288</f>
        <v>763500.246422026</v>
      </c>
      <c r="AF288" s="180" t="n">
        <f aca="false">MAX(0,IFERROR(INDEX(TAB_IR,MATCH($C288,TAB_IR_DIAS,1),MATCH($C$8,TAB_IR_REGIMES,0)),0)*IF($C$26=2,AB288,MAX(0,AE288))-AD288)</f>
        <v>114525.036963304</v>
      </c>
      <c r="AG288" s="181" t="n">
        <f aca="false">MAX(0,AB288-AF288-AB288*$C$25)</f>
        <v>798975.209458722</v>
      </c>
      <c r="AH288" s="180" t="n">
        <f aca="false">AG288/$D288</f>
        <v>380469.022424852</v>
      </c>
      <c r="AJ288" s="180" t="n">
        <f aca="false">AQ287</f>
        <v>718899.393837711</v>
      </c>
      <c r="AK288" s="180" t="n">
        <f aca="false">IF($D$9=0,0,IF($A288&gt;IN_PRAZO,0,IF(APORTE_CORRIGIDO="Sim",IN_APORTE*$D288,IN_APORTE))+IF(AND($D$35=1,PGBL_REINVESTE="Sim",$A288&gt;=13,$A288&lt;=IN_PRAZO,MONTH($B288)=5),PGBL_BENEFICIO,0))</f>
        <v>0</v>
      </c>
      <c r="AL288" s="180" t="n">
        <f aca="false">AK288*$D$24</f>
        <v>0</v>
      </c>
      <c r="AM288" s="180" t="n">
        <f aca="false">AJ288*$D$19</f>
        <v>6461.9688603095</v>
      </c>
      <c r="AN288" s="180" t="n">
        <f aca="false">AJ288*$D$22</f>
        <v>599.082828198093</v>
      </c>
      <c r="AO288" s="180" t="n">
        <f aca="false">$D$23*MAX(0,AM288-AJ288*$D$18)</f>
        <v>0</v>
      </c>
      <c r="AP288" s="180" t="n">
        <f aca="false">IF(AND($D$27=1,OR(MONTH($B288)=5,MONTH($B288)=11)),MAX(0,$D$28*MAX(0,(AJ288+AM288-AN288-AO288+AK288-AL288)+AS287-AR288)-AS287),0)</f>
        <v>0</v>
      </c>
      <c r="AQ288" s="181" t="n">
        <f aca="false">AJ288+AM288-AN288-AO288+AK288-AL288-AP288</f>
        <v>724762.279869822</v>
      </c>
      <c r="AR288" s="180" t="n">
        <f aca="false">AR287+AK288-AL288</f>
        <v>150000</v>
      </c>
      <c r="AS288" s="180" t="n">
        <f aca="false">AS287+AP288</f>
        <v>99367.7532331232</v>
      </c>
      <c r="AT288" s="180" t="n">
        <f aca="false">AQ288+AS288-AR288</f>
        <v>674130.033102946</v>
      </c>
      <c r="AU288" s="180" t="n">
        <f aca="false">MAX(0,IFERROR(INDEX(TAB_IR,MATCH($C288,TAB_IR_DIAS,1),MATCH($D$8,TAB_IR_REGIMES,0)),0)*IF($D$26=2,AQ288,MAX(0,AT288))-AS288)</f>
        <v>1751.75173231865</v>
      </c>
      <c r="AV288" s="181" t="n">
        <f aca="false">MAX(0,AQ288-AU288-AQ288*$D$25)</f>
        <v>723010.528137504</v>
      </c>
      <c r="AW288" s="180" t="n">
        <f aca="false">AV288/$D288</f>
        <v>344294.923780816</v>
      </c>
      <c r="AY288" s="180" t="n">
        <f aca="false">BF287</f>
        <v>1024745.42524361</v>
      </c>
      <c r="AZ288" s="180" t="n">
        <f aca="false">IF($E$9=0,0,IF($A288&gt;IN_PRAZO,0,IF(APORTE_CORRIGIDO="Sim",IN_APORTE*$D288,IN_APORTE))+IF(AND($E$35=1,PGBL_REINVESTE="Sim",$A288&gt;=13,$A288&lt;=IN_PRAZO,MONTH($B288)=5),PGBL_BENEFICIO,0))</f>
        <v>0</v>
      </c>
      <c r="BA288" s="180" t="n">
        <f aca="false">AZ288*$E$24</f>
        <v>0</v>
      </c>
      <c r="BB288" s="180" t="n">
        <f aca="false">AY288*$E$19</f>
        <v>10030.9720165222</v>
      </c>
      <c r="BC288" s="180" t="n">
        <f aca="false">AY288*$E$22</f>
        <v>1280.93178155451</v>
      </c>
      <c r="BD288" s="180" t="n">
        <f aca="false">$E$23*MAX(0,BB288-AY288*$E$18)</f>
        <v>0</v>
      </c>
      <c r="BE288" s="180" t="n">
        <f aca="false">IF(AND($E$27=1,OR(MONTH($B288)=5,MONTH($B288)=11)),MAX(0,$E$28*MAX(0,(AY288+BB288-BC288-BD288+AZ288-BA288)+BH287-BG288)-BH287),0)</f>
        <v>0</v>
      </c>
      <c r="BF288" s="181" t="n">
        <f aca="false">AY288+BB288-BC288-BD288+AZ288-BA288-BE288</f>
        <v>1033495.46547857</v>
      </c>
      <c r="BG288" s="180" t="n">
        <f aca="false">BG287+AZ288-BA288</f>
        <v>150000</v>
      </c>
      <c r="BH288" s="180" t="n">
        <f aca="false">BH287+BE288</f>
        <v>0</v>
      </c>
      <c r="BI288" s="180" t="n">
        <f aca="false">BF288+BH288-BG288</f>
        <v>883495.465478574</v>
      </c>
      <c r="BJ288" s="180" t="n">
        <f aca="false">MAX(0,IFERROR(INDEX(TAB_IR,MATCH($C288,TAB_IR_DIAS,1),MATCH($E$8,TAB_IR_REGIMES,0)),0)*IF($E$26=2,BF288,MAX(0,BI288))-BH288)</f>
        <v>88349.5465478574</v>
      </c>
      <c r="BK288" s="181" t="n">
        <f aca="false">MAX(0,BF288-BJ288-BF288*$E$25)</f>
        <v>945145.918930717</v>
      </c>
      <c r="BL288" s="180" t="n">
        <f aca="false">BK288/$D288</f>
        <v>450074.970496298</v>
      </c>
      <c r="BN288" s="180" t="n">
        <f aca="false">BU287</f>
        <v>1024745.42524361</v>
      </c>
      <c r="BO288" s="180" t="n">
        <f aca="false">IF($F$9=0,0,IF($A288&gt;IN_PRAZO,0,IF(APORTE_CORRIGIDO="Sim",IN_APORTE*$D288,IN_APORTE))+IF(AND($F$35=1,PGBL_REINVESTE="Sim",$A288&gt;=13,$A288&lt;=IN_PRAZO,MONTH($B288)=5),PGBL_BENEFICIO,0))</f>
        <v>0</v>
      </c>
      <c r="BP288" s="180" t="n">
        <f aca="false">BO288*$F$24</f>
        <v>0</v>
      </c>
      <c r="BQ288" s="180" t="n">
        <f aca="false">BN288*$F$19</f>
        <v>10030.9720165222</v>
      </c>
      <c r="BR288" s="180" t="n">
        <f aca="false">BN288*$F$22</f>
        <v>1280.93178155451</v>
      </c>
      <c r="BS288" s="180" t="n">
        <f aca="false">$F$23*MAX(0,BQ288-BN288*$F$18)</f>
        <v>0</v>
      </c>
      <c r="BT288" s="180" t="n">
        <f aca="false">IF(AND($F$27=1,OR(MONTH($B288)=5,MONTH($B288)=11)),MAX(0,$F$28*MAX(0,(BN288+BQ288-BR288-BS288+BO288-BP288)+BW287-BV288)-BW287),0)</f>
        <v>0</v>
      </c>
      <c r="BU288" s="181" t="n">
        <f aca="false">BN288+BQ288-BR288-BS288+BO288-BP288-BT288</f>
        <v>1033495.46547857</v>
      </c>
      <c r="BV288" s="180" t="n">
        <f aca="false">BV287+BO288-BP288</f>
        <v>150000</v>
      </c>
      <c r="BW288" s="180" t="n">
        <f aca="false">BW287+BT288</f>
        <v>0</v>
      </c>
      <c r="BX288" s="180" t="n">
        <f aca="false">BU288+BW288-BV288</f>
        <v>883495.465478574</v>
      </c>
      <c r="BY288" s="180" t="n">
        <f aca="false">MAX(0,IFERROR(INDEX(TAB_IR,MATCH($C288,TAB_IR_DIAS,1),MATCH($F$8,TAB_IR_REGIMES,0)),0)*IF($F$26=2,BU288,MAX(0,BX288))-BW288)</f>
        <v>103349.546547857</v>
      </c>
      <c r="BZ288" s="181" t="n">
        <f aca="false">MAX(0,BU288-BY288-BU288*$F$25)</f>
        <v>930145.918930717</v>
      </c>
      <c r="CA288" s="180" t="n">
        <f aca="false">BZ288/$D288</f>
        <v>442932.026298769</v>
      </c>
      <c r="CC288" s="180" t="n">
        <f aca="false">CJ287</f>
        <v>612793.817818766</v>
      </c>
      <c r="CD288" s="180" t="n">
        <f aca="false">IF($G$9=0,0,IF($A288&gt;IN_PRAZO,0,IF(APORTE_CORRIGIDO="Sim",IN_APORTE*$D288,IN_APORTE))+IF(AND($G$35=1,PGBL_REINVESTE="Sim",$A288&gt;=13,$A288&lt;=IN_PRAZO,MONTH($B288)=5),PGBL_BENEFICIO,0))</f>
        <v>0</v>
      </c>
      <c r="CE288" s="180" t="n">
        <f aca="false">CD288*$G$24</f>
        <v>0</v>
      </c>
      <c r="CF288" s="180" t="n">
        <f aca="false">CC288*$G$19</f>
        <v>4998.69732108644</v>
      </c>
      <c r="CG288" s="180" t="n">
        <f aca="false">CC288*$G$22</f>
        <v>510.661514848972</v>
      </c>
      <c r="CH288" s="180" t="n">
        <f aca="false">$G$23*MAX(0,CF288-CC288*$G$18)</f>
        <v>0</v>
      </c>
      <c r="CI288" s="180" t="n">
        <f aca="false">IF(AND($G$27=1,OR(MONTH($B288)=5,MONTH($B288)=11)),MAX(0,$G$28*MAX(0,(CC288+CF288-CG288-CH288+CD288-CE288)+CL287-CK288)-CL287),0)</f>
        <v>0</v>
      </c>
      <c r="CJ288" s="181" t="n">
        <f aca="false">CC288+CF288-CG288-CH288+CD288-CE288-CI288</f>
        <v>617281.853625003</v>
      </c>
      <c r="CK288" s="180" t="n">
        <f aca="false">CK287+CD288-CE288</f>
        <v>150000</v>
      </c>
      <c r="CL288" s="180" t="n">
        <f aca="false">CL287+CI288</f>
        <v>80883.2493383514</v>
      </c>
      <c r="CM288" s="180" t="n">
        <f aca="false">CJ288+CL288-CK288</f>
        <v>548165.102963355</v>
      </c>
      <c r="CN288" s="180" t="n">
        <f aca="false">MAX(0,IFERROR(INDEX(TAB_IR,MATCH($C288,TAB_IR_DIAS,1),MATCH($G$8,TAB_IR_REGIMES,0)),0)*IF($G$26=2,CJ288,MAX(0,CM288))-CL288)</f>
        <v>1341.51610615183</v>
      </c>
      <c r="CO288" s="181" t="n">
        <f aca="false">MAX(0,CJ288-CN288-CJ288*$G$25)</f>
        <v>615940.337518852</v>
      </c>
      <c r="CP288" s="180" t="n">
        <f aca="false">CO288/$D288</f>
        <v>293308.49732696</v>
      </c>
    </row>
    <row r="289" customFormat="false" ht="12" hidden="false" customHeight="true" outlineLevel="0" collapsed="false">
      <c r="A289" s="177" t="n">
        <v>228</v>
      </c>
      <c r="B289" s="178" t="n">
        <f aca="false">EDATE(DATA_INICIO,$A289)</f>
        <v>53197</v>
      </c>
      <c r="C289" s="177" t="n">
        <f aca="false">$A289*30</f>
        <v>6840</v>
      </c>
      <c r="D289" s="179" t="n">
        <f aca="false">(1+IPCA_CENARIO)^($A289/12)</f>
        <v>2.10684917599367</v>
      </c>
      <c r="F289" s="180" t="n">
        <f aca="false">M288</f>
        <v>1232691.72131352</v>
      </c>
      <c r="G289" s="180" t="n">
        <f aca="false">IF($B$9=0,0,IF($A289&gt;IN_PRAZO,0,IF(APORTE_CORRIGIDO="Sim",IN_APORTE*$D289,IN_APORTE))+IF(AND($B$35=1,PGBL_REINVESTE="Sim",$A289&gt;=13,$A289&lt;=IN_PRAZO,MONTH($B289)=5),PGBL_BENEFICIO,0))</f>
        <v>0</v>
      </c>
      <c r="H289" s="180" t="n">
        <f aca="false">G289*$B$24</f>
        <v>0</v>
      </c>
      <c r="I289" s="180" t="n">
        <f aca="false">F289*$B$19</f>
        <v>11696.7564957187</v>
      </c>
      <c r="J289" s="180" t="n">
        <f aca="false">F289*$B$22</f>
        <v>205.44862021892</v>
      </c>
      <c r="K289" s="180" t="n">
        <f aca="false">$B$23*MAX(0,I289-F289*$B$18)</f>
        <v>0</v>
      </c>
      <c r="L289" s="180" t="n">
        <f aca="false">IF(AND($B$27=1,OR(MONTH($B289)=5,MONTH($B289)=11)),MAX(0,$B$28*MAX(0,(F289+I289-J289-K289+G289-H289)+O288-N289)-O288),0)</f>
        <v>0</v>
      </c>
      <c r="M289" s="181" t="n">
        <f aca="false">F289+I289-J289-K289+G289-H289-L289</f>
        <v>1244183.02918902</v>
      </c>
      <c r="N289" s="180" t="n">
        <f aca="false">N288+G289-H289</f>
        <v>150000</v>
      </c>
      <c r="O289" s="180" t="n">
        <f aca="false">O288+L289</f>
        <v>0</v>
      </c>
      <c r="P289" s="180" t="n">
        <f aca="false">M289+O289-N289</f>
        <v>1094183.02918902</v>
      </c>
      <c r="Q289" s="180" t="n">
        <f aca="false">MAX(0,IFERROR(INDEX(TAB_IR,MATCH($C289,TAB_IR_DIAS,1),MATCH($B$8,TAB_IR_REGIMES,0)),0)*IF($B$26=2,M289,MAX(0,P289))-O289)</f>
        <v>164127.454378353</v>
      </c>
      <c r="R289" s="181" t="n">
        <f aca="false">MAX(0,M289-Q289-M289*$B$25)</f>
        <v>1080055.57481067</v>
      </c>
      <c r="S289" s="180" t="n">
        <f aca="false">R289/$D289</f>
        <v>512640.196136143</v>
      </c>
      <c r="U289" s="180" t="n">
        <f aca="false">AB288</f>
        <v>913500.246422026</v>
      </c>
      <c r="V289" s="180" t="n">
        <f aca="false">IF($C$9=0,0,IF($A289&gt;IN_PRAZO,0,IF(APORTE_CORRIGIDO="Sim",IN_APORTE*$D289,IN_APORTE))+IF(AND($C$35=1,PGBL_REINVESTE="Sim",$A289&gt;=13,$A289&lt;=IN_PRAZO,MONTH($B289)=5),PGBL_BENEFICIO,0))</f>
        <v>0</v>
      </c>
      <c r="W289" s="180" t="n">
        <f aca="false">V289*$C$24</f>
        <v>0</v>
      </c>
      <c r="X289" s="180" t="n">
        <f aca="false">U289*$C$19</f>
        <v>7451.62745090238</v>
      </c>
      <c r="Y289" s="180" t="n">
        <f aca="false">U289*$C$22</f>
        <v>152.250041070338</v>
      </c>
      <c r="Z289" s="180" t="n">
        <f aca="false">$C$23*MAX(0,X289-U289*$C$18)</f>
        <v>0</v>
      </c>
      <c r="AA289" s="180" t="n">
        <f aca="false">IF(AND($C$27=1,OR(MONTH($B289)=5,MONTH($B289)=11)),MAX(0,$C$28*MAX(0,(U289+X289-Y289-Z289+V289-W289)+AD288-AC289)-AD288),0)</f>
        <v>0</v>
      </c>
      <c r="AB289" s="181" t="n">
        <f aca="false">U289+X289-Y289-Z289+V289-W289-AA289</f>
        <v>920799.623831858</v>
      </c>
      <c r="AC289" s="180" t="n">
        <f aca="false">AC288+V289-W289</f>
        <v>150000</v>
      </c>
      <c r="AD289" s="180" t="n">
        <f aca="false">AD288+AA289</f>
        <v>0</v>
      </c>
      <c r="AE289" s="180" t="n">
        <f aca="false">AB289+AD289-AC289</f>
        <v>770799.623831858</v>
      </c>
      <c r="AF289" s="180" t="n">
        <f aca="false">MAX(0,IFERROR(INDEX(TAB_IR,MATCH($C289,TAB_IR_DIAS,1),MATCH($C$8,TAB_IR_REGIMES,0)),0)*IF($C$26=2,AB289,MAX(0,AE289))-AD289)</f>
        <v>115619.943574779</v>
      </c>
      <c r="AG289" s="181" t="n">
        <f aca="false">MAX(0,AB289-AF289-AB289*$C$25)</f>
        <v>805179.68025708</v>
      </c>
      <c r="AH289" s="180" t="n">
        <f aca="false">AG289/$D289</f>
        <v>382172.435232496</v>
      </c>
      <c r="AJ289" s="180" t="n">
        <f aca="false">AQ288</f>
        <v>724762.279869822</v>
      </c>
      <c r="AK289" s="180" t="n">
        <f aca="false">IF($D$9=0,0,IF($A289&gt;IN_PRAZO,0,IF(APORTE_CORRIGIDO="Sim",IN_APORTE*$D289,IN_APORTE))+IF(AND($D$35=1,PGBL_REINVESTE="Sim",$A289&gt;=13,$A289&lt;=IN_PRAZO,MONTH($B289)=5),PGBL_BENEFICIO,0))</f>
        <v>0</v>
      </c>
      <c r="AL289" s="180" t="n">
        <f aca="false">AK289*$D$24</f>
        <v>0</v>
      </c>
      <c r="AM289" s="180" t="n">
        <f aca="false">AJ289*$D$19</f>
        <v>6514.66856668816</v>
      </c>
      <c r="AN289" s="180" t="n">
        <f aca="false">AJ289*$D$22</f>
        <v>603.968566558185</v>
      </c>
      <c r="AO289" s="180" t="n">
        <f aca="false">$D$23*MAX(0,AM289-AJ289*$D$18)</f>
        <v>0</v>
      </c>
      <c r="AP289" s="180" t="n">
        <f aca="false">IF(AND($D$27=1,OR(MONTH($B289)=5,MONTH($B289)=11)),MAX(0,$D$28*MAX(0,(AJ289+AM289-AN289-AO289+AK289-AL289)+AS288-AR289)-AS288),0)</f>
        <v>0</v>
      </c>
      <c r="AQ289" s="181" t="n">
        <f aca="false">AJ289+AM289-AN289-AO289+AK289-AL289-AP289</f>
        <v>730672.979869952</v>
      </c>
      <c r="AR289" s="180" t="n">
        <f aca="false">AR288+AK289-AL289</f>
        <v>150000</v>
      </c>
      <c r="AS289" s="180" t="n">
        <f aca="false">AS288+AP289</f>
        <v>99367.7532331232</v>
      </c>
      <c r="AT289" s="180" t="n">
        <f aca="false">AQ289+AS289-AR289</f>
        <v>680040.733103076</v>
      </c>
      <c r="AU289" s="180" t="n">
        <f aca="false">MAX(0,IFERROR(INDEX(TAB_IR,MATCH($C289,TAB_IR_DIAS,1),MATCH($D$8,TAB_IR_REGIMES,0)),0)*IF($D$26=2,AQ289,MAX(0,AT289))-AS289)</f>
        <v>2638.35673233814</v>
      </c>
      <c r="AV289" s="181" t="n">
        <f aca="false">MAX(0,AQ289-AU289-AQ289*$D$25)</f>
        <v>728034.623137614</v>
      </c>
      <c r="AW289" s="180" t="n">
        <f aca="false">AV289/$D289</f>
        <v>345556.118317888</v>
      </c>
      <c r="AY289" s="180" t="n">
        <f aca="false">BF288</f>
        <v>1033495.46547857</v>
      </c>
      <c r="AZ289" s="180" t="n">
        <f aca="false">IF($E$9=0,0,IF($A289&gt;IN_PRAZO,0,IF(APORTE_CORRIGIDO="Sim",IN_APORTE*$D289,IN_APORTE))+IF(AND($E$35=1,PGBL_REINVESTE="Sim",$A289&gt;=13,$A289&lt;=IN_PRAZO,MONTH($B289)=5),PGBL_BENEFICIO,0))</f>
        <v>0</v>
      </c>
      <c r="BA289" s="180" t="n">
        <f aca="false">AZ289*$E$24</f>
        <v>0</v>
      </c>
      <c r="BB289" s="180" t="n">
        <f aca="false">AY289*$E$19</f>
        <v>10116.6239321866</v>
      </c>
      <c r="BC289" s="180" t="n">
        <f aca="false">AY289*$E$22</f>
        <v>1291.86933184822</v>
      </c>
      <c r="BD289" s="180" t="n">
        <f aca="false">$E$23*MAX(0,BB289-AY289*$E$18)</f>
        <v>0</v>
      </c>
      <c r="BE289" s="180" t="n">
        <f aca="false">IF(AND($E$27=1,OR(MONTH($B289)=5,MONTH($B289)=11)),MAX(0,$E$28*MAX(0,(AY289+BB289-BC289-BD289+AZ289-BA289)+BH288-BG289)-BH288),0)</f>
        <v>0</v>
      </c>
      <c r="BF289" s="181" t="n">
        <f aca="false">AY289+BB289-BC289-BD289+AZ289-BA289-BE289</f>
        <v>1042320.22007891</v>
      </c>
      <c r="BG289" s="180" t="n">
        <f aca="false">BG288+AZ289-BA289</f>
        <v>150000</v>
      </c>
      <c r="BH289" s="180" t="n">
        <f aca="false">BH288+BE289</f>
        <v>0</v>
      </c>
      <c r="BI289" s="180" t="n">
        <f aca="false">BF289+BH289-BG289</f>
        <v>892320.220078912</v>
      </c>
      <c r="BJ289" s="180" t="n">
        <f aca="false">MAX(0,IFERROR(INDEX(TAB_IR,MATCH($C289,TAB_IR_DIAS,1),MATCH($E$8,TAB_IR_REGIMES,0)),0)*IF($E$26=2,BF289,MAX(0,BI289))-BH289)</f>
        <v>89232.0220078913</v>
      </c>
      <c r="BK289" s="181" t="n">
        <f aca="false">MAX(0,BF289-BJ289-BF289*$E$25)</f>
        <v>953088.198071021</v>
      </c>
      <c r="BL289" s="180" t="n">
        <f aca="false">BK289/$D289</f>
        <v>452376.092665251</v>
      </c>
      <c r="BN289" s="180" t="n">
        <f aca="false">BU288</f>
        <v>1033495.46547857</v>
      </c>
      <c r="BO289" s="180" t="n">
        <f aca="false">IF($F$9=0,0,IF($A289&gt;IN_PRAZO,0,IF(APORTE_CORRIGIDO="Sim",IN_APORTE*$D289,IN_APORTE))+IF(AND($F$35=1,PGBL_REINVESTE="Sim",$A289&gt;=13,$A289&lt;=IN_PRAZO,MONTH($B289)=5),PGBL_BENEFICIO,0))</f>
        <v>0</v>
      </c>
      <c r="BP289" s="180" t="n">
        <f aca="false">BO289*$F$24</f>
        <v>0</v>
      </c>
      <c r="BQ289" s="180" t="n">
        <f aca="false">BN289*$F$19</f>
        <v>10116.6239321866</v>
      </c>
      <c r="BR289" s="180" t="n">
        <f aca="false">BN289*$F$22</f>
        <v>1291.86933184822</v>
      </c>
      <c r="BS289" s="180" t="n">
        <f aca="false">$F$23*MAX(0,BQ289-BN289*$F$18)</f>
        <v>0</v>
      </c>
      <c r="BT289" s="180" t="n">
        <f aca="false">IF(AND($F$27=1,OR(MONTH($B289)=5,MONTH($B289)=11)),MAX(0,$F$28*MAX(0,(BN289+BQ289-BR289-BS289+BO289-BP289)+BW288-BV289)-BW288),0)</f>
        <v>0</v>
      </c>
      <c r="BU289" s="181" t="n">
        <f aca="false">BN289+BQ289-BR289-BS289+BO289-BP289-BT289</f>
        <v>1042320.22007891</v>
      </c>
      <c r="BV289" s="180" t="n">
        <f aca="false">BV288+BO289-BP289</f>
        <v>150000</v>
      </c>
      <c r="BW289" s="180" t="n">
        <f aca="false">BW288+BT289</f>
        <v>0</v>
      </c>
      <c r="BX289" s="180" t="n">
        <f aca="false">BU289+BW289-BV289</f>
        <v>892320.220078912</v>
      </c>
      <c r="BY289" s="180" t="n">
        <f aca="false">MAX(0,IFERROR(INDEX(TAB_IR,MATCH($C289,TAB_IR_DIAS,1),MATCH($F$8,TAB_IR_REGIMES,0)),0)*IF($F$26=2,BU289,MAX(0,BX289))-BW289)</f>
        <v>104232.022007891</v>
      </c>
      <c r="BZ289" s="181" t="n">
        <f aca="false">MAX(0,BU289-BY289-BU289*$F$25)</f>
        <v>938088.198071021</v>
      </c>
      <c r="CA289" s="180" t="n">
        <f aca="false">BZ289/$D289</f>
        <v>445256.456304511</v>
      </c>
      <c r="CC289" s="180" t="n">
        <f aca="false">CJ288</f>
        <v>617281.853625003</v>
      </c>
      <c r="CD289" s="180" t="n">
        <f aca="false">IF($G$9=0,0,IF($A289&gt;IN_PRAZO,0,IF(APORTE_CORRIGIDO="Sim",IN_APORTE*$D289,IN_APORTE))+IF(AND($G$35=1,PGBL_REINVESTE="Sim",$A289&gt;=13,$A289&lt;=IN_PRAZO,MONTH($B289)=5),PGBL_BENEFICIO,0))</f>
        <v>0</v>
      </c>
      <c r="CE289" s="180" t="n">
        <f aca="false">CD289*$G$24</f>
        <v>0</v>
      </c>
      <c r="CF289" s="180" t="n">
        <f aca="false">CC289*$G$19</f>
        <v>5035.30724094731</v>
      </c>
      <c r="CG289" s="180" t="n">
        <f aca="false">CC289*$G$22</f>
        <v>514.401544687503</v>
      </c>
      <c r="CH289" s="180" t="n">
        <f aca="false">$G$23*MAX(0,CF289-CC289*$G$18)</f>
        <v>0</v>
      </c>
      <c r="CI289" s="180" t="n">
        <f aca="false">IF(AND($G$27=1,OR(MONTH($B289)=5,MONTH($B289)=11)),MAX(0,$G$28*MAX(0,(CC289+CF289-CG289-CH289+CD289-CE289)+CL288-CK289)-CL288),0)</f>
        <v>0</v>
      </c>
      <c r="CJ289" s="181" t="n">
        <f aca="false">CC289+CF289-CG289-CH289+CD289-CE289-CI289</f>
        <v>621802.759321263</v>
      </c>
      <c r="CK289" s="180" t="n">
        <f aca="false">CK288+CD289-CE289</f>
        <v>150000</v>
      </c>
      <c r="CL289" s="180" t="n">
        <f aca="false">CL288+CI289</f>
        <v>80883.2493383514</v>
      </c>
      <c r="CM289" s="180" t="n">
        <f aca="false">CJ289+CL289-CK289</f>
        <v>552686.008659615</v>
      </c>
      <c r="CN289" s="180" t="n">
        <f aca="false">MAX(0,IFERROR(INDEX(TAB_IR,MATCH($C289,TAB_IR_DIAS,1),MATCH($G$8,TAB_IR_REGIMES,0)),0)*IF($G$26=2,CJ289,MAX(0,CM289))-CL289)</f>
        <v>2019.65196059081</v>
      </c>
      <c r="CO289" s="181" t="n">
        <f aca="false">MAX(0,CJ289-CN289-CJ289*$G$25)</f>
        <v>619783.107360672</v>
      </c>
      <c r="CP289" s="180" t="n">
        <f aca="false">CO289/$D289</f>
        <v>294175.356462504</v>
      </c>
    </row>
    <row r="290" customFormat="false" ht="12" hidden="false" customHeight="true" outlineLevel="0" collapsed="false">
      <c r="A290" s="177" t="n">
        <v>229</v>
      </c>
      <c r="B290" s="178" t="n">
        <f aca="false">EDATE(DATA_INICIO,$A290)</f>
        <v>53228</v>
      </c>
      <c r="C290" s="177" t="n">
        <f aca="false">$A290*30</f>
        <v>6870</v>
      </c>
      <c r="D290" s="179" t="n">
        <f aca="false">(1+IPCA_CENARIO)^($A290/12)</f>
        <v>2.11374645195622</v>
      </c>
      <c r="F290" s="180" t="n">
        <f aca="false">M289</f>
        <v>1244183.02918902</v>
      </c>
      <c r="G290" s="180" t="n">
        <f aca="false">IF($B$9=0,0,IF($A290&gt;IN_PRAZO,0,IF(APORTE_CORRIGIDO="Sim",IN_APORTE*$D290,IN_APORTE))+IF(AND($B$35=1,PGBL_REINVESTE="Sim",$A290&gt;=13,$A290&lt;=IN_PRAZO,MONTH($B290)=5),PGBL_BENEFICIO,0))</f>
        <v>0</v>
      </c>
      <c r="H290" s="180" t="n">
        <f aca="false">G290*$B$24</f>
        <v>0</v>
      </c>
      <c r="I290" s="180" t="n">
        <f aca="false">F290*$B$19</f>
        <v>11805.7951366969</v>
      </c>
      <c r="J290" s="180" t="n">
        <f aca="false">F290*$B$22</f>
        <v>207.36383819817</v>
      </c>
      <c r="K290" s="180" t="n">
        <f aca="false">$B$23*MAX(0,I290-F290*$B$18)</f>
        <v>0</v>
      </c>
      <c r="L290" s="180" t="n">
        <f aca="false">IF(AND($B$27=1,OR(MONTH($B290)=5,MONTH($B290)=11)),MAX(0,$B$28*MAX(0,(F290+I290-J290-K290+G290-H290)+O289-N290)-O289),0)</f>
        <v>0</v>
      </c>
      <c r="M290" s="181" t="n">
        <f aca="false">F290+I290-J290-K290+G290-H290-L290</f>
        <v>1255781.46048752</v>
      </c>
      <c r="N290" s="180" t="n">
        <f aca="false">N289+G290-H290</f>
        <v>150000</v>
      </c>
      <c r="O290" s="180" t="n">
        <f aca="false">O289+L290</f>
        <v>0</v>
      </c>
      <c r="P290" s="180" t="n">
        <f aca="false">M290+O290-N290</f>
        <v>1105781.46048752</v>
      </c>
      <c r="Q290" s="180" t="n">
        <f aca="false">MAX(0,IFERROR(INDEX(TAB_IR,MATCH($C290,TAB_IR_DIAS,1),MATCH($B$8,TAB_IR_REGIMES,0)),0)*IF($B$26=2,M290,MAX(0,P290))-O290)</f>
        <v>165867.219073128</v>
      </c>
      <c r="R290" s="181" t="n">
        <f aca="false">MAX(0,M290-Q290-M290*$B$25)</f>
        <v>1089914.24141439</v>
      </c>
      <c r="S290" s="180" t="n">
        <f aca="false">R290/$D290</f>
        <v>515631.494215261</v>
      </c>
      <c r="U290" s="180" t="n">
        <f aca="false">AB289</f>
        <v>920799.623831858</v>
      </c>
      <c r="V290" s="180" t="n">
        <f aca="false">IF($C$9=0,0,IF($A290&gt;IN_PRAZO,0,IF(APORTE_CORRIGIDO="Sim",IN_APORTE*$D290,IN_APORTE))+IF(AND($C$35=1,PGBL_REINVESTE="Sim",$A290&gt;=13,$A290&lt;=IN_PRAZO,MONTH($B290)=5),PGBL_BENEFICIO,0))</f>
        <v>0</v>
      </c>
      <c r="W290" s="180" t="n">
        <f aca="false">V290*$C$24</f>
        <v>0</v>
      </c>
      <c r="X290" s="180" t="n">
        <f aca="false">U290*$C$19</f>
        <v>7511.17011801675</v>
      </c>
      <c r="Y290" s="180" t="n">
        <f aca="false">U290*$C$22</f>
        <v>153.466603971976</v>
      </c>
      <c r="Z290" s="180" t="n">
        <f aca="false">$C$23*MAX(0,X290-U290*$C$18)</f>
        <v>0</v>
      </c>
      <c r="AA290" s="180" t="n">
        <f aca="false">IF(AND($C$27=1,OR(MONTH($B290)=5,MONTH($B290)=11)),MAX(0,$C$28*MAX(0,(U290+X290-Y290-Z290+V290-W290)+AD289-AC290)-AD289),0)</f>
        <v>0</v>
      </c>
      <c r="AB290" s="181" t="n">
        <f aca="false">U290+X290-Y290-Z290+V290-W290-AA290</f>
        <v>928157.327345903</v>
      </c>
      <c r="AC290" s="180" t="n">
        <f aca="false">AC289+V290-W290</f>
        <v>150000</v>
      </c>
      <c r="AD290" s="180" t="n">
        <f aca="false">AD289+AA290</f>
        <v>0</v>
      </c>
      <c r="AE290" s="180" t="n">
        <f aca="false">AB290+AD290-AC290</f>
        <v>778157.327345903</v>
      </c>
      <c r="AF290" s="180" t="n">
        <f aca="false">MAX(0,IFERROR(INDEX(TAB_IR,MATCH($C290,TAB_IR_DIAS,1),MATCH($C$8,TAB_IR_REGIMES,0)),0)*IF($C$26=2,AB290,MAX(0,AE290))-AD290)</f>
        <v>116723.599101885</v>
      </c>
      <c r="AG290" s="181" t="n">
        <f aca="false">MAX(0,AB290-AF290-AB290*$C$25)</f>
        <v>811433.728244018</v>
      </c>
      <c r="AH290" s="180" t="n">
        <f aca="false">AG290/$D290</f>
        <v>383884.134964748</v>
      </c>
      <c r="AJ290" s="180" t="n">
        <f aca="false">AQ289</f>
        <v>730672.979869952</v>
      </c>
      <c r="AK290" s="180" t="n">
        <f aca="false">IF($D$9=0,0,IF($A290&gt;IN_PRAZO,0,IF(APORTE_CORRIGIDO="Sim",IN_APORTE*$D290,IN_APORTE))+IF(AND($D$35=1,PGBL_REINVESTE="Sim",$A290&gt;=13,$A290&lt;=IN_PRAZO,MONTH($B290)=5),PGBL_BENEFICIO,0))</f>
        <v>0</v>
      </c>
      <c r="AL290" s="180" t="n">
        <f aca="false">AK290*$D$24</f>
        <v>0</v>
      </c>
      <c r="AM290" s="180" t="n">
        <f aca="false">AJ290*$D$19</f>
        <v>6567.79805834008</v>
      </c>
      <c r="AN290" s="180" t="n">
        <f aca="false">AJ290*$D$22</f>
        <v>608.894149891627</v>
      </c>
      <c r="AO290" s="180" t="n">
        <f aca="false">$D$23*MAX(0,AM290-AJ290*$D$18)</f>
        <v>0</v>
      </c>
      <c r="AP290" s="180" t="n">
        <f aca="false">IF(AND($D$27=1,OR(MONTH($B290)=5,MONTH($B290)=11)),MAX(0,$D$28*MAX(0,(AJ290+AM290-AN290-AO290+AK290-AL290)+AS289-AR290)-AS289),0)</f>
        <v>0</v>
      </c>
      <c r="AQ290" s="181" t="n">
        <f aca="false">AJ290+AM290-AN290-AO290+AK290-AL290-AP290</f>
        <v>736631.883778401</v>
      </c>
      <c r="AR290" s="180" t="n">
        <f aca="false">AR289+AK290-AL290</f>
        <v>150000</v>
      </c>
      <c r="AS290" s="180" t="n">
        <f aca="false">AS289+AP290</f>
        <v>99367.7532331232</v>
      </c>
      <c r="AT290" s="180" t="n">
        <f aca="false">AQ290+AS290-AR290</f>
        <v>685999.637011524</v>
      </c>
      <c r="AU290" s="180" t="n">
        <f aca="false">MAX(0,IFERROR(INDEX(TAB_IR,MATCH($C290,TAB_IR_DIAS,1),MATCH($D$8,TAB_IR_REGIMES,0)),0)*IF($D$26=2,AQ290,MAX(0,AT290))-AS290)</f>
        <v>3532.1923186054</v>
      </c>
      <c r="AV290" s="181" t="n">
        <f aca="false">MAX(0,AQ290-AU290-AQ290*$D$25)</f>
        <v>733099.691459795</v>
      </c>
      <c r="AW290" s="180" t="n">
        <f aca="false">AV290/$D290</f>
        <v>346824.800477527</v>
      </c>
      <c r="AY290" s="180" t="n">
        <f aca="false">BF289</f>
        <v>1042320.22007891</v>
      </c>
      <c r="AZ290" s="180" t="n">
        <f aca="false">IF($E$9=0,0,IF($A290&gt;IN_PRAZO,0,IF(APORTE_CORRIGIDO="Sim",IN_APORTE*$D290,IN_APORTE))+IF(AND($E$35=1,PGBL_REINVESTE="Sim",$A290&gt;=13,$A290&lt;=IN_PRAZO,MONTH($B290)=5),PGBL_BENEFICIO,0))</f>
        <v>0</v>
      </c>
      <c r="BA290" s="180" t="n">
        <f aca="false">AZ290*$E$24</f>
        <v>0</v>
      </c>
      <c r="BB290" s="180" t="n">
        <f aca="false">AY290*$E$19</f>
        <v>10203.0072077476</v>
      </c>
      <c r="BC290" s="180" t="n">
        <f aca="false">AY290*$E$22</f>
        <v>1302.90027509864</v>
      </c>
      <c r="BD290" s="180" t="n">
        <f aca="false">$E$23*MAX(0,BB290-AY290*$E$18)</f>
        <v>0</v>
      </c>
      <c r="BE290" s="180" t="n">
        <f aca="false">IF(AND($E$27=1,OR(MONTH($B290)=5,MONTH($B290)=11)),MAX(0,$E$28*MAX(0,(AY290+BB290-BC290-BD290+AZ290-BA290)+BH289-BG290)-BH289),0)</f>
        <v>0</v>
      </c>
      <c r="BF290" s="181" t="n">
        <f aca="false">AY290+BB290-BC290-BD290+AZ290-BA290-BE290</f>
        <v>1051220.32701156</v>
      </c>
      <c r="BG290" s="180" t="n">
        <f aca="false">BG289+AZ290-BA290</f>
        <v>150000</v>
      </c>
      <c r="BH290" s="180" t="n">
        <f aca="false">BH289+BE290</f>
        <v>0</v>
      </c>
      <c r="BI290" s="180" t="n">
        <f aca="false">BF290+BH290-BG290</f>
        <v>901220.327011562</v>
      </c>
      <c r="BJ290" s="180" t="n">
        <f aca="false">MAX(0,IFERROR(INDEX(TAB_IR,MATCH($C290,TAB_IR_DIAS,1),MATCH($E$8,TAB_IR_REGIMES,0)),0)*IF($E$26=2,BF290,MAX(0,BI290))-BH290)</f>
        <v>90122.0327011562</v>
      </c>
      <c r="BK290" s="181" t="n">
        <f aca="false">MAX(0,BF290-BJ290-BF290*$E$25)</f>
        <v>961098.294310405</v>
      </c>
      <c r="BL290" s="180" t="n">
        <f aca="false">BK290/$D290</f>
        <v>454689.489092192</v>
      </c>
      <c r="BN290" s="180" t="n">
        <f aca="false">BU289</f>
        <v>1042320.22007891</v>
      </c>
      <c r="BO290" s="180" t="n">
        <f aca="false">IF($F$9=0,0,IF($A290&gt;IN_PRAZO,0,IF(APORTE_CORRIGIDO="Sim",IN_APORTE*$D290,IN_APORTE))+IF(AND($F$35=1,PGBL_REINVESTE="Sim",$A290&gt;=13,$A290&lt;=IN_PRAZO,MONTH($B290)=5),PGBL_BENEFICIO,0))</f>
        <v>0</v>
      </c>
      <c r="BP290" s="180" t="n">
        <f aca="false">BO290*$F$24</f>
        <v>0</v>
      </c>
      <c r="BQ290" s="180" t="n">
        <f aca="false">BN290*$F$19</f>
        <v>10203.0072077476</v>
      </c>
      <c r="BR290" s="180" t="n">
        <f aca="false">BN290*$F$22</f>
        <v>1302.90027509864</v>
      </c>
      <c r="BS290" s="180" t="n">
        <f aca="false">$F$23*MAX(0,BQ290-BN290*$F$18)</f>
        <v>0</v>
      </c>
      <c r="BT290" s="180" t="n">
        <f aca="false">IF(AND($F$27=1,OR(MONTH($B290)=5,MONTH($B290)=11)),MAX(0,$F$28*MAX(0,(BN290+BQ290-BR290-BS290+BO290-BP290)+BW289-BV290)-BW289),0)</f>
        <v>0</v>
      </c>
      <c r="BU290" s="181" t="n">
        <f aca="false">BN290+BQ290-BR290-BS290+BO290-BP290-BT290</f>
        <v>1051220.32701156</v>
      </c>
      <c r="BV290" s="180" t="n">
        <f aca="false">BV289+BO290-BP290</f>
        <v>150000</v>
      </c>
      <c r="BW290" s="180" t="n">
        <f aca="false">BW289+BT290</f>
        <v>0</v>
      </c>
      <c r="BX290" s="180" t="n">
        <f aca="false">BU290+BW290-BV290</f>
        <v>901220.327011562</v>
      </c>
      <c r="BY290" s="180" t="n">
        <f aca="false">MAX(0,IFERROR(INDEX(TAB_IR,MATCH($C290,TAB_IR_DIAS,1),MATCH($F$8,TAB_IR_REGIMES,0)),0)*IF($F$26=2,BU290,MAX(0,BX290))-BW290)</f>
        <v>105122.032701156</v>
      </c>
      <c r="BZ290" s="181" t="n">
        <f aca="false">MAX(0,BU290-BY290-BU290*$F$25)</f>
        <v>946098.294310405</v>
      </c>
      <c r="CA290" s="180" t="n">
        <f aca="false">BZ290/$D290</f>
        <v>447593.084513432</v>
      </c>
      <c r="CC290" s="180" t="n">
        <f aca="false">CJ289</f>
        <v>621802.759321263</v>
      </c>
      <c r="CD290" s="180" t="n">
        <f aca="false">IF($G$9=0,0,IF($A290&gt;IN_PRAZO,0,IF(APORTE_CORRIGIDO="Sim",IN_APORTE*$D290,IN_APORTE))+IF(AND($G$35=1,PGBL_REINVESTE="Sim",$A290&gt;=13,$A290&lt;=IN_PRAZO,MONTH($B290)=5),PGBL_BENEFICIO,0))</f>
        <v>0</v>
      </c>
      <c r="CE290" s="180" t="n">
        <f aca="false">CD290*$G$24</f>
        <v>0</v>
      </c>
      <c r="CF290" s="180" t="n">
        <f aca="false">CC290*$G$19</f>
        <v>5072.18528791132</v>
      </c>
      <c r="CG290" s="180" t="n">
        <f aca="false">CC290*$G$22</f>
        <v>518.168966101053</v>
      </c>
      <c r="CH290" s="180" t="n">
        <f aca="false">$G$23*MAX(0,CF290-CC290*$G$18)</f>
        <v>0</v>
      </c>
      <c r="CI290" s="180" t="n">
        <f aca="false">IF(AND($G$27=1,OR(MONTH($B290)=5,MONTH($B290)=11)),MAX(0,$G$28*MAX(0,(CC290+CF290-CG290-CH290+CD290-CE290)+CL289-CK290)-CL289),0)</f>
        <v>0</v>
      </c>
      <c r="CJ290" s="181" t="n">
        <f aca="false">CC290+CF290-CG290-CH290+CD290-CE290-CI290</f>
        <v>626356.775643074</v>
      </c>
      <c r="CK290" s="180" t="n">
        <f aca="false">CK289+CD290-CE290</f>
        <v>150000</v>
      </c>
      <c r="CL290" s="180" t="n">
        <f aca="false">CL289+CI290</f>
        <v>80883.2493383514</v>
      </c>
      <c r="CM290" s="180" t="n">
        <f aca="false">CJ290+CL290-CK290</f>
        <v>557240.024981425</v>
      </c>
      <c r="CN290" s="180" t="n">
        <f aca="false">MAX(0,IFERROR(INDEX(TAB_IR,MATCH($C290,TAB_IR_DIAS,1),MATCH($G$8,TAB_IR_REGIMES,0)),0)*IF($G$26=2,CJ290,MAX(0,CM290))-CL290)</f>
        <v>2702.75440886235</v>
      </c>
      <c r="CO290" s="181" t="n">
        <f aca="false">MAX(0,CJ290-CN290-CJ290*$G$25)</f>
        <v>623654.021234211</v>
      </c>
      <c r="CP290" s="180" t="n">
        <f aca="false">CO290/$D290</f>
        <v>295046.75012324</v>
      </c>
    </row>
    <row r="291" customFormat="false" ht="12" hidden="false" customHeight="true" outlineLevel="0" collapsed="false">
      <c r="A291" s="177" t="n">
        <v>230</v>
      </c>
      <c r="B291" s="178" t="n">
        <f aca="false">EDATE(DATA_INICIO,$A291)</f>
        <v>53258</v>
      </c>
      <c r="C291" s="177" t="n">
        <f aca="false">$A291*30</f>
        <v>6900</v>
      </c>
      <c r="D291" s="179" t="n">
        <f aca="false">(1+IPCA_CENARIO)^($A291/12)</f>
        <v>2.12066630780547</v>
      </c>
      <c r="F291" s="180" t="n">
        <f aca="false">M290</f>
        <v>1255781.46048752</v>
      </c>
      <c r="G291" s="180" t="n">
        <f aca="false">IF($B$9=0,0,IF($A291&gt;IN_PRAZO,0,IF(APORTE_CORRIGIDO="Sim",IN_APORTE*$D291,IN_APORTE))+IF(AND($B$35=1,PGBL_REINVESTE="Sim",$A291&gt;=13,$A291&lt;=IN_PRAZO,MONTH($B291)=5),PGBL_BENEFICIO,0))</f>
        <v>0</v>
      </c>
      <c r="H291" s="180" t="n">
        <f aca="false">G291*$B$24</f>
        <v>0</v>
      </c>
      <c r="I291" s="180" t="n">
        <f aca="false">F291*$B$19</f>
        <v>11915.8502496543</v>
      </c>
      <c r="J291" s="180" t="n">
        <f aca="false">F291*$B$22</f>
        <v>209.296910081253</v>
      </c>
      <c r="K291" s="180" t="n">
        <f aca="false">$B$23*MAX(0,I291-F291*$B$18)</f>
        <v>0</v>
      </c>
      <c r="L291" s="180" t="n">
        <f aca="false">IF(AND($B$27=1,OR(MONTH($B291)=5,MONTH($B291)=11)),MAX(0,$B$28*MAX(0,(F291+I291-J291-K291+G291-H291)+O290-N291)-O290),0)</f>
        <v>0</v>
      </c>
      <c r="M291" s="181" t="n">
        <f aca="false">F291+I291-J291-K291+G291-H291-L291</f>
        <v>1267488.01382709</v>
      </c>
      <c r="N291" s="180" t="n">
        <f aca="false">N290+G291-H291</f>
        <v>150000</v>
      </c>
      <c r="O291" s="180" t="n">
        <f aca="false">O290+L291</f>
        <v>0</v>
      </c>
      <c r="P291" s="180" t="n">
        <f aca="false">M291+O291-N291</f>
        <v>1117488.01382709</v>
      </c>
      <c r="Q291" s="180" t="n">
        <f aca="false">MAX(0,IFERROR(INDEX(TAB_IR,MATCH($C291,TAB_IR_DIAS,1),MATCH($B$8,TAB_IR_REGIMES,0)),0)*IF($B$26=2,M291,MAX(0,P291))-O291)</f>
        <v>167623.202074064</v>
      </c>
      <c r="R291" s="181" t="n">
        <f aca="false">MAX(0,M291-Q291-M291*$B$25)</f>
        <v>1099864.81175303</v>
      </c>
      <c r="S291" s="180" t="n">
        <f aca="false">R291/$D291</f>
        <v>518641.149578692</v>
      </c>
      <c r="U291" s="180" t="n">
        <f aca="false">AB290</f>
        <v>928157.327345903</v>
      </c>
      <c r="V291" s="180" t="n">
        <f aca="false">IF($C$9=0,0,IF($A291&gt;IN_PRAZO,0,IF(APORTE_CORRIGIDO="Sim",IN_APORTE*$D291,IN_APORTE))+IF(AND($C$35=1,PGBL_REINVESTE="Sim",$A291&gt;=13,$A291&lt;=IN_PRAZO,MONTH($B291)=5),PGBL_BENEFICIO,0))</f>
        <v>0</v>
      </c>
      <c r="W291" s="180" t="n">
        <f aca="false">V291*$C$24</f>
        <v>0</v>
      </c>
      <c r="X291" s="180" t="n">
        <f aca="false">U291*$C$19</f>
        <v>7571.1885643123</v>
      </c>
      <c r="Y291" s="180" t="n">
        <f aca="false">U291*$C$22</f>
        <v>154.692887890984</v>
      </c>
      <c r="Z291" s="180" t="n">
        <f aca="false">$C$23*MAX(0,X291-U291*$C$18)</f>
        <v>0</v>
      </c>
      <c r="AA291" s="180" t="n">
        <f aca="false">IF(AND($C$27=1,OR(MONTH($B291)=5,MONTH($B291)=11)),MAX(0,$C$28*MAX(0,(U291+X291-Y291-Z291+V291-W291)+AD290-AC291)-AD290),0)</f>
        <v>0</v>
      </c>
      <c r="AB291" s="181" t="n">
        <f aca="false">U291+X291-Y291-Z291+V291-W291-AA291</f>
        <v>935573.823022324</v>
      </c>
      <c r="AC291" s="180" t="n">
        <f aca="false">AC290+V291-W291</f>
        <v>150000</v>
      </c>
      <c r="AD291" s="180" t="n">
        <f aca="false">AD290+AA291</f>
        <v>0</v>
      </c>
      <c r="AE291" s="180" t="n">
        <f aca="false">AB291+AD291-AC291</f>
        <v>785573.823022324</v>
      </c>
      <c r="AF291" s="180" t="n">
        <f aca="false">MAX(0,IFERROR(INDEX(TAB_IR,MATCH($C291,TAB_IR_DIAS,1),MATCH($C$8,TAB_IR_REGIMES,0)),0)*IF($C$26=2,AB291,MAX(0,AE291))-AD291)</f>
        <v>117836.073453349</v>
      </c>
      <c r="AG291" s="181" t="n">
        <f aca="false">MAX(0,AB291-AF291-AB291*$C$25)</f>
        <v>817737.749568976</v>
      </c>
      <c r="AH291" s="180" t="n">
        <f aca="false">AG291/$D291</f>
        <v>385604.159673379</v>
      </c>
      <c r="AJ291" s="180" t="n">
        <f aca="false">AQ290</f>
        <v>736631.883778401</v>
      </c>
      <c r="AK291" s="180" t="n">
        <f aca="false">IF($D$9=0,0,IF($A291&gt;IN_PRAZO,0,IF(APORTE_CORRIGIDO="Sim",IN_APORTE*$D291,IN_APORTE))+IF(AND($D$35=1,PGBL_REINVESTE="Sim",$A291&gt;=13,$A291&lt;=IN_PRAZO,MONTH($B291)=5),PGBL_BENEFICIO,0))</f>
        <v>0</v>
      </c>
      <c r="AL291" s="180" t="n">
        <f aca="false">AK291*$D$24</f>
        <v>0</v>
      </c>
      <c r="AM291" s="180" t="n">
        <f aca="false">AJ291*$D$19</f>
        <v>6621.36084032048</v>
      </c>
      <c r="AN291" s="180" t="n">
        <f aca="false">AJ291*$D$22</f>
        <v>613.859903148667</v>
      </c>
      <c r="AO291" s="180" t="n">
        <f aca="false">$D$23*MAX(0,AM291-AJ291*$D$18)</f>
        <v>0</v>
      </c>
      <c r="AP291" s="180" t="n">
        <f aca="false">IF(AND($D$27=1,OR(MONTH($B291)=5,MONTH($B291)=11)),MAX(0,$D$28*MAX(0,(AJ291+AM291-AN291-AO291+AK291-AL291)+AS290-AR291)-AS290),0)</f>
        <v>0</v>
      </c>
      <c r="AQ291" s="181" t="n">
        <f aca="false">AJ291+AM291-AN291-AO291+AK291-AL291-AP291</f>
        <v>742639.384715573</v>
      </c>
      <c r="AR291" s="180" t="n">
        <f aca="false">AR290+AK291-AL291</f>
        <v>150000</v>
      </c>
      <c r="AS291" s="180" t="n">
        <f aca="false">AS290+AP291</f>
        <v>99367.7532331232</v>
      </c>
      <c r="AT291" s="180" t="n">
        <f aca="false">AQ291+AS291-AR291</f>
        <v>692007.137948696</v>
      </c>
      <c r="AU291" s="180" t="n">
        <f aca="false">MAX(0,IFERROR(INDEX(TAB_IR,MATCH($C291,TAB_IR_DIAS,1),MATCH($D$8,TAB_IR_REGIMES,0)),0)*IF($D$26=2,AQ291,MAX(0,AT291))-AS291)</f>
        <v>4433.31745918117</v>
      </c>
      <c r="AV291" s="181" t="n">
        <f aca="false">MAX(0,AQ291-AU291-AQ291*$D$25)</f>
        <v>738206.067256391</v>
      </c>
      <c r="AW291" s="180" t="n">
        <f aca="false">AV291/$D291</f>
        <v>348101.002283716</v>
      </c>
      <c r="AY291" s="180" t="n">
        <f aca="false">BF290</f>
        <v>1051220.32701156</v>
      </c>
      <c r="AZ291" s="180" t="n">
        <f aca="false">IF($E$9=0,0,IF($A291&gt;IN_PRAZO,0,IF(APORTE_CORRIGIDO="Sim",IN_APORTE*$D291,IN_APORTE))+IF(AND($E$35=1,PGBL_REINVESTE="Sim",$A291&gt;=13,$A291&lt;=IN_PRAZO,MONTH($B291)=5),PGBL_BENEFICIO,0))</f>
        <v>0</v>
      </c>
      <c r="BA291" s="180" t="n">
        <f aca="false">AZ291*$E$24</f>
        <v>0</v>
      </c>
      <c r="BB291" s="180" t="n">
        <f aca="false">AY291*$E$19</f>
        <v>10290.1280881011</v>
      </c>
      <c r="BC291" s="180" t="n">
        <f aca="false">AY291*$E$22</f>
        <v>1314.02540876445</v>
      </c>
      <c r="BD291" s="180" t="n">
        <f aca="false">$E$23*MAX(0,BB291-AY291*$E$18)</f>
        <v>0</v>
      </c>
      <c r="BE291" s="180" t="n">
        <f aca="false">IF(AND($E$27=1,OR(MONTH($B291)=5,MONTH($B291)=11)),MAX(0,$E$28*MAX(0,(AY291+BB291-BC291-BD291+AZ291-BA291)+BH290-BG291)-BH290),0)</f>
        <v>0</v>
      </c>
      <c r="BF291" s="181" t="n">
        <f aca="false">AY291+BB291-BC291-BD291+AZ291-BA291-BE291</f>
        <v>1060196.4296909</v>
      </c>
      <c r="BG291" s="180" t="n">
        <f aca="false">BG290+AZ291-BA291</f>
        <v>150000</v>
      </c>
      <c r="BH291" s="180" t="n">
        <f aca="false">BH290+BE291</f>
        <v>0</v>
      </c>
      <c r="BI291" s="180" t="n">
        <f aca="false">BF291+BH291-BG291</f>
        <v>910196.429690898</v>
      </c>
      <c r="BJ291" s="180" t="n">
        <f aca="false">MAX(0,IFERROR(INDEX(TAB_IR,MATCH($C291,TAB_IR_DIAS,1),MATCH($E$8,TAB_IR_REGIMES,0)),0)*IF($E$26=2,BF291,MAX(0,BI291))-BH291)</f>
        <v>91019.6429690898</v>
      </c>
      <c r="BK291" s="181" t="n">
        <f aca="false">MAX(0,BF291-BJ291-BF291*$E$25)</f>
        <v>969176.786721808</v>
      </c>
      <c r="BL291" s="180" t="n">
        <f aca="false">BK291/$D291</f>
        <v>457015.223542992</v>
      </c>
      <c r="BN291" s="180" t="n">
        <f aca="false">BU290</f>
        <v>1051220.32701156</v>
      </c>
      <c r="BO291" s="180" t="n">
        <f aca="false">IF($F$9=0,0,IF($A291&gt;IN_PRAZO,0,IF(APORTE_CORRIGIDO="Sim",IN_APORTE*$D291,IN_APORTE))+IF(AND($F$35=1,PGBL_REINVESTE="Sim",$A291&gt;=13,$A291&lt;=IN_PRAZO,MONTH($B291)=5),PGBL_BENEFICIO,0))</f>
        <v>0</v>
      </c>
      <c r="BP291" s="180" t="n">
        <f aca="false">BO291*$F$24</f>
        <v>0</v>
      </c>
      <c r="BQ291" s="180" t="n">
        <f aca="false">BN291*$F$19</f>
        <v>10290.1280881011</v>
      </c>
      <c r="BR291" s="180" t="n">
        <f aca="false">BN291*$F$22</f>
        <v>1314.02540876445</v>
      </c>
      <c r="BS291" s="180" t="n">
        <f aca="false">$F$23*MAX(0,BQ291-BN291*$F$18)</f>
        <v>0</v>
      </c>
      <c r="BT291" s="180" t="n">
        <f aca="false">IF(AND($F$27=1,OR(MONTH($B291)=5,MONTH($B291)=11)),MAX(0,$F$28*MAX(0,(BN291+BQ291-BR291-BS291+BO291-BP291)+BW290-BV291)-BW290),0)</f>
        <v>0</v>
      </c>
      <c r="BU291" s="181" t="n">
        <f aca="false">BN291+BQ291-BR291-BS291+BO291-BP291-BT291</f>
        <v>1060196.4296909</v>
      </c>
      <c r="BV291" s="180" t="n">
        <f aca="false">BV290+BO291-BP291</f>
        <v>150000</v>
      </c>
      <c r="BW291" s="180" t="n">
        <f aca="false">BW290+BT291</f>
        <v>0</v>
      </c>
      <c r="BX291" s="180" t="n">
        <f aca="false">BU291+BW291-BV291</f>
        <v>910196.429690898</v>
      </c>
      <c r="BY291" s="180" t="n">
        <f aca="false">MAX(0,IFERROR(INDEX(TAB_IR,MATCH($C291,TAB_IR_DIAS,1),MATCH($F$8,TAB_IR_REGIMES,0)),0)*IF($F$26=2,BU291,MAX(0,BX291))-BW291)</f>
        <v>106019.64296909</v>
      </c>
      <c r="BZ291" s="181" t="n">
        <f aca="false">MAX(0,BU291-BY291-BU291*$F$25)</f>
        <v>954176.786721808</v>
      </c>
      <c r="CA291" s="180" t="n">
        <f aca="false">BZ291/$D291</f>
        <v>449941.974939575</v>
      </c>
      <c r="CC291" s="180" t="n">
        <f aca="false">CJ290</f>
        <v>626356.775643074</v>
      </c>
      <c r="CD291" s="180" t="n">
        <f aca="false">IF($G$9=0,0,IF($A291&gt;IN_PRAZO,0,IF(APORTE_CORRIGIDO="Sim",IN_APORTE*$D291,IN_APORTE))+IF(AND($G$35=1,PGBL_REINVESTE="Sim",$A291&gt;=13,$A291&lt;=IN_PRAZO,MONTH($B291)=5),PGBL_BENEFICIO,0))</f>
        <v>0</v>
      </c>
      <c r="CE291" s="180" t="n">
        <f aca="false">CD291*$G$24</f>
        <v>0</v>
      </c>
      <c r="CF291" s="180" t="n">
        <f aca="false">CC291*$G$19</f>
        <v>5109.33342571246</v>
      </c>
      <c r="CG291" s="180" t="n">
        <f aca="false">CC291*$G$22</f>
        <v>521.963979702561</v>
      </c>
      <c r="CH291" s="180" t="n">
        <f aca="false">$G$23*MAX(0,CF291-CC291*$G$18)</f>
        <v>0</v>
      </c>
      <c r="CI291" s="180" t="n">
        <f aca="false">IF(AND($G$27=1,OR(MONTH($B291)=5,MONTH($B291)=11)),MAX(0,$G$28*MAX(0,(CC291+CF291-CG291-CH291+CD291-CE291)+CL290-CK291)-CL290),0)</f>
        <v>0</v>
      </c>
      <c r="CJ291" s="181" t="n">
        <f aca="false">CC291+CF291-CG291-CH291+CD291-CE291-CI291</f>
        <v>630944.145089083</v>
      </c>
      <c r="CK291" s="180" t="n">
        <f aca="false">CK290+CD291-CE291</f>
        <v>150000</v>
      </c>
      <c r="CL291" s="180" t="n">
        <f aca="false">CL290+CI291</f>
        <v>80883.2493383514</v>
      </c>
      <c r="CM291" s="180" t="n">
        <f aca="false">CJ291+CL291-CK291</f>
        <v>561827.394427435</v>
      </c>
      <c r="CN291" s="180" t="n">
        <f aca="false">MAX(0,IFERROR(INDEX(TAB_IR,MATCH($C291,TAB_IR_DIAS,1),MATCH($G$8,TAB_IR_REGIMES,0)),0)*IF($G$26=2,CJ291,MAX(0,CM291))-CL291)</f>
        <v>3390.85982576384</v>
      </c>
      <c r="CO291" s="181" t="n">
        <f aca="false">MAX(0,CJ291-CN291-CJ291*$G$25)</f>
        <v>627553.28526332</v>
      </c>
      <c r="CP291" s="180" t="n">
        <f aca="false">CO291/$D291</f>
        <v>295922.693237264</v>
      </c>
    </row>
    <row r="292" customFormat="false" ht="12" hidden="false" customHeight="true" outlineLevel="0" collapsed="false">
      <c r="A292" s="177" t="n">
        <v>231</v>
      </c>
      <c r="B292" s="178" t="n">
        <f aca="false">EDATE(DATA_INICIO,$A292)</f>
        <v>53289</v>
      </c>
      <c r="C292" s="177" t="n">
        <f aca="false">$A292*30</f>
        <v>6930</v>
      </c>
      <c r="D292" s="179" t="n">
        <f aca="false">(1+IPCA_CENARIO)^($A292/12)</f>
        <v>2.1276088174621</v>
      </c>
      <c r="F292" s="180" t="n">
        <f aca="false">M291</f>
        <v>1267488.01382709</v>
      </c>
      <c r="G292" s="180" t="n">
        <f aca="false">IF($B$9=0,0,IF($A292&gt;IN_PRAZO,0,IF(APORTE_CORRIGIDO="Sim",IN_APORTE*$D292,IN_APORTE))+IF(AND($B$35=1,PGBL_REINVESTE="Sim",$A292&gt;=13,$A292&lt;=IN_PRAZO,MONTH($B292)=5),PGBL_BENEFICIO,0))</f>
        <v>0</v>
      </c>
      <c r="H292" s="180" t="n">
        <f aca="false">G292*$B$24</f>
        <v>0</v>
      </c>
      <c r="I292" s="180" t="n">
        <f aca="false">F292*$B$19</f>
        <v>12026.9313102712</v>
      </c>
      <c r="J292" s="180" t="n">
        <f aca="false">F292*$B$22</f>
        <v>211.248002304515</v>
      </c>
      <c r="K292" s="180" t="n">
        <f aca="false">$B$23*MAX(0,I292-F292*$B$18)</f>
        <v>0</v>
      </c>
      <c r="L292" s="180" t="n">
        <f aca="false">IF(AND($B$27=1,OR(MONTH($B292)=5,MONTH($B292)=11)),MAX(0,$B$28*MAX(0,(F292+I292-J292-K292+G292-H292)+O291-N292)-O291),0)</f>
        <v>0</v>
      </c>
      <c r="M292" s="181" t="n">
        <f aca="false">F292+I292-J292-K292+G292-H292-L292</f>
        <v>1279303.69713506</v>
      </c>
      <c r="N292" s="180" t="n">
        <f aca="false">N291+G292-H292</f>
        <v>150000</v>
      </c>
      <c r="O292" s="180" t="n">
        <f aca="false">O291+L292</f>
        <v>0</v>
      </c>
      <c r="P292" s="180" t="n">
        <f aca="false">M292+O292-N292</f>
        <v>1129303.69713506</v>
      </c>
      <c r="Q292" s="180" t="n">
        <f aca="false">MAX(0,IFERROR(INDEX(TAB_IR,MATCH($C292,TAB_IR_DIAS,1),MATCH($B$8,TAB_IR_REGIMES,0)),0)*IF($B$26=2,M292,MAX(0,P292))-O292)</f>
        <v>169395.554570259</v>
      </c>
      <c r="R292" s="181" t="n">
        <f aca="false">MAX(0,M292-Q292-M292*$B$25)</f>
        <v>1109908.1425648</v>
      </c>
      <c r="S292" s="180" t="n">
        <f aca="false">R292/$D292</f>
        <v>521669.271839522</v>
      </c>
      <c r="U292" s="180" t="n">
        <f aca="false">AB291</f>
        <v>935573.823022324</v>
      </c>
      <c r="V292" s="180" t="n">
        <f aca="false">IF($C$9=0,0,IF($A292&gt;IN_PRAZO,0,IF(APORTE_CORRIGIDO="Sim",IN_APORTE*$D292,IN_APORTE))+IF(AND($C$35=1,PGBL_REINVESTE="Sim",$A292&gt;=13,$A292&lt;=IN_PRAZO,MONTH($B292)=5),PGBL_BENEFICIO,0))</f>
        <v>0</v>
      </c>
      <c r="W292" s="180" t="n">
        <f aca="false">V292*$C$24</f>
        <v>0</v>
      </c>
      <c r="X292" s="180" t="n">
        <f aca="false">U292*$C$19</f>
        <v>7631.68659153055</v>
      </c>
      <c r="Y292" s="180" t="n">
        <f aca="false">U292*$C$22</f>
        <v>155.928970503721</v>
      </c>
      <c r="Z292" s="180" t="n">
        <f aca="false">$C$23*MAX(0,X292-U292*$C$18)</f>
        <v>0</v>
      </c>
      <c r="AA292" s="180" t="n">
        <f aca="false">IF(AND($C$27=1,OR(MONTH($B292)=5,MONTH($B292)=11)),MAX(0,$C$28*MAX(0,(U292+X292-Y292-Z292+V292-W292)+AD291-AC292)-AD291),0)</f>
        <v>0</v>
      </c>
      <c r="AB292" s="181" t="n">
        <f aca="false">U292+X292-Y292-Z292+V292-W292-AA292</f>
        <v>943049.580643351</v>
      </c>
      <c r="AC292" s="180" t="n">
        <f aca="false">AC291+V292-W292</f>
        <v>150000</v>
      </c>
      <c r="AD292" s="180" t="n">
        <f aca="false">AD291+AA292</f>
        <v>0</v>
      </c>
      <c r="AE292" s="180" t="n">
        <f aca="false">AB292+AD292-AC292</f>
        <v>793049.580643351</v>
      </c>
      <c r="AF292" s="180" t="n">
        <f aca="false">MAX(0,IFERROR(INDEX(TAB_IR,MATCH($C292,TAB_IR_DIAS,1),MATCH($C$8,TAB_IR_REGIMES,0)),0)*IF($C$26=2,AB292,MAX(0,AE292))-AD292)</f>
        <v>118957.437096503</v>
      </c>
      <c r="AG292" s="181" t="n">
        <f aca="false">MAX(0,AB292-AF292-AB292*$C$25)</f>
        <v>824092.143546849</v>
      </c>
      <c r="AH292" s="180" t="n">
        <f aca="false">AG292/$D292</f>
        <v>387332.547592024</v>
      </c>
      <c r="AJ292" s="180" t="n">
        <f aca="false">AQ291</f>
        <v>742639.384715573</v>
      </c>
      <c r="AK292" s="180" t="n">
        <f aca="false">IF($D$9=0,0,IF($A292&gt;IN_PRAZO,0,IF(APORTE_CORRIGIDO="Sim",IN_APORTE*$D292,IN_APORTE))+IF(AND($D$35=1,PGBL_REINVESTE="Sim",$A292&gt;=13,$A292&lt;=IN_PRAZO,MONTH($B292)=5),PGBL_BENEFICIO,0))</f>
        <v>0</v>
      </c>
      <c r="AL292" s="180" t="n">
        <f aca="false">AK292*$D$24</f>
        <v>0</v>
      </c>
      <c r="AM292" s="180" t="n">
        <f aca="false">AJ292*$D$19</f>
        <v>6675.36044626958</v>
      </c>
      <c r="AN292" s="180" t="n">
        <f aca="false">AJ292*$D$22</f>
        <v>618.866153929644</v>
      </c>
      <c r="AO292" s="180" t="n">
        <f aca="false">$D$23*MAX(0,AM292-AJ292*$D$18)</f>
        <v>0</v>
      </c>
      <c r="AP292" s="180" t="n">
        <f aca="false">IF(AND($D$27=1,OR(MONTH($B292)=5,MONTH($B292)=11)),MAX(0,$D$28*MAX(0,(AJ292+AM292-AN292-AO292+AK292-AL292)+AS291-AR292)-AS291),0)</f>
        <v>5341.79160303218</v>
      </c>
      <c r="AQ292" s="181" t="n">
        <f aca="false">AJ292+AM292-AN292-AO292+AK292-AL292-AP292</f>
        <v>743354.08740488</v>
      </c>
      <c r="AR292" s="180" t="n">
        <f aca="false">AR291+AK292-AL292</f>
        <v>150000</v>
      </c>
      <c r="AS292" s="180" t="n">
        <f aca="false">AS291+AP292</f>
        <v>104709.544836155</v>
      </c>
      <c r="AT292" s="180" t="n">
        <f aca="false">AQ292+AS292-AR292</f>
        <v>698063.632241036</v>
      </c>
      <c r="AU292" s="180" t="n">
        <f aca="false">MAX(0,IFERROR(INDEX(TAB_IR,MATCH($C292,TAB_IR_DIAS,1),MATCH($D$8,TAB_IR_REGIMES,0)),0)*IF($D$26=2,AQ292,MAX(0,AT292))-AS292)</f>
        <v>0</v>
      </c>
      <c r="AV292" s="181" t="n">
        <f aca="false">MAX(0,AQ292-AU292-AQ292*$D$25)</f>
        <v>743354.08740488</v>
      </c>
      <c r="AW292" s="180" t="n">
        <f aca="false">AV292/$D292</f>
        <v>349384.755930643</v>
      </c>
      <c r="AY292" s="180" t="n">
        <f aca="false">BF291</f>
        <v>1060196.4296909</v>
      </c>
      <c r="AZ292" s="180" t="n">
        <f aca="false">IF($E$9=0,0,IF($A292&gt;IN_PRAZO,0,IF(APORTE_CORRIGIDO="Sim",IN_APORTE*$D292,IN_APORTE))+IF(AND($E$35=1,PGBL_REINVESTE="Sim",$A292&gt;=13,$A292&lt;=IN_PRAZO,MONTH($B292)=5),PGBL_BENEFICIO,0))</f>
        <v>0</v>
      </c>
      <c r="BA292" s="180" t="n">
        <f aca="false">AZ292*$E$24</f>
        <v>0</v>
      </c>
      <c r="BB292" s="180" t="n">
        <f aca="false">AY292*$E$19</f>
        <v>10377.9928714666</v>
      </c>
      <c r="BC292" s="180" t="n">
        <f aca="false">AY292*$E$22</f>
        <v>1325.24553711362</v>
      </c>
      <c r="BD292" s="180" t="n">
        <f aca="false">$E$23*MAX(0,BB292-AY292*$E$18)</f>
        <v>0</v>
      </c>
      <c r="BE292" s="180" t="n">
        <f aca="false">IF(AND($E$27=1,OR(MONTH($B292)=5,MONTH($B292)=11)),MAX(0,$E$28*MAX(0,(AY292+BB292-BC292-BD292+AZ292-BA292)+BH291-BG292)-BH291),0)</f>
        <v>0</v>
      </c>
      <c r="BF292" s="181" t="n">
        <f aca="false">AY292+BB292-BC292-BD292+AZ292-BA292-BE292</f>
        <v>1069249.17702525</v>
      </c>
      <c r="BG292" s="180" t="n">
        <f aca="false">BG291+AZ292-BA292</f>
        <v>150000</v>
      </c>
      <c r="BH292" s="180" t="n">
        <f aca="false">BH291+BE292</f>
        <v>0</v>
      </c>
      <c r="BI292" s="180" t="n">
        <f aca="false">BF292+BH292-BG292</f>
        <v>919249.177025251</v>
      </c>
      <c r="BJ292" s="180" t="n">
        <f aca="false">MAX(0,IFERROR(INDEX(TAB_IR,MATCH($C292,TAB_IR_DIAS,1),MATCH($E$8,TAB_IR_REGIMES,0)),0)*IF($E$26=2,BF292,MAX(0,BI292))-BH292)</f>
        <v>91924.9177025251</v>
      </c>
      <c r="BK292" s="181" t="n">
        <f aca="false">MAX(0,BF292-BJ292-BF292*$E$25)</f>
        <v>977324.259322726</v>
      </c>
      <c r="BL292" s="180" t="n">
        <f aca="false">BK292/$D292</f>
        <v>459353.360120268</v>
      </c>
      <c r="BN292" s="180" t="n">
        <f aca="false">BU291</f>
        <v>1060196.4296909</v>
      </c>
      <c r="BO292" s="180" t="n">
        <f aca="false">IF($F$9=0,0,IF($A292&gt;IN_PRAZO,0,IF(APORTE_CORRIGIDO="Sim",IN_APORTE*$D292,IN_APORTE))+IF(AND($F$35=1,PGBL_REINVESTE="Sim",$A292&gt;=13,$A292&lt;=IN_PRAZO,MONTH($B292)=5),PGBL_BENEFICIO,0))</f>
        <v>0</v>
      </c>
      <c r="BP292" s="180" t="n">
        <f aca="false">BO292*$F$24</f>
        <v>0</v>
      </c>
      <c r="BQ292" s="180" t="n">
        <f aca="false">BN292*$F$19</f>
        <v>10377.9928714666</v>
      </c>
      <c r="BR292" s="180" t="n">
        <f aca="false">BN292*$F$22</f>
        <v>1325.24553711362</v>
      </c>
      <c r="BS292" s="180" t="n">
        <f aca="false">$F$23*MAX(0,BQ292-BN292*$F$18)</f>
        <v>0</v>
      </c>
      <c r="BT292" s="180" t="n">
        <f aca="false">IF(AND($F$27=1,OR(MONTH($B292)=5,MONTH($B292)=11)),MAX(0,$F$28*MAX(0,(BN292+BQ292-BR292-BS292+BO292-BP292)+BW291-BV292)-BW291),0)</f>
        <v>0</v>
      </c>
      <c r="BU292" s="181" t="n">
        <f aca="false">BN292+BQ292-BR292-BS292+BO292-BP292-BT292</f>
        <v>1069249.17702525</v>
      </c>
      <c r="BV292" s="180" t="n">
        <f aca="false">BV291+BO292-BP292</f>
        <v>150000</v>
      </c>
      <c r="BW292" s="180" t="n">
        <f aca="false">BW291+BT292</f>
        <v>0</v>
      </c>
      <c r="BX292" s="180" t="n">
        <f aca="false">BU292+BW292-BV292</f>
        <v>919249.177025251</v>
      </c>
      <c r="BY292" s="180" t="n">
        <f aca="false">MAX(0,IFERROR(INDEX(TAB_IR,MATCH($C292,TAB_IR_DIAS,1),MATCH($F$8,TAB_IR_REGIMES,0)),0)*IF($F$26=2,BU292,MAX(0,BX292))-BW292)</f>
        <v>106924.917702525</v>
      </c>
      <c r="BZ292" s="181" t="n">
        <f aca="false">MAX(0,BU292-BY292-BU292*$F$25)</f>
        <v>962324.259322726</v>
      </c>
      <c r="CA292" s="180" t="n">
        <f aca="false">BZ292/$D292</f>
        <v>452303.191932917</v>
      </c>
      <c r="CC292" s="180" t="n">
        <f aca="false">CJ291</f>
        <v>630944.145089083</v>
      </c>
      <c r="CD292" s="180" t="n">
        <f aca="false">IF($G$9=0,0,IF($A292&gt;IN_PRAZO,0,IF(APORTE_CORRIGIDO="Sim",IN_APORTE*$D292,IN_APORTE))+IF(AND($G$35=1,PGBL_REINVESTE="Sim",$A292&gt;=13,$A292&lt;=IN_PRAZO,MONTH($B292)=5),PGBL_BENEFICIO,0))</f>
        <v>0</v>
      </c>
      <c r="CE292" s="180" t="n">
        <f aca="false">CD292*$G$24</f>
        <v>0</v>
      </c>
      <c r="CF292" s="180" t="n">
        <f aca="false">CC292*$G$19</f>
        <v>5146.75363246687</v>
      </c>
      <c r="CG292" s="180" t="n">
        <f aca="false">CC292*$G$22</f>
        <v>525.786787574236</v>
      </c>
      <c r="CH292" s="180" t="n">
        <f aca="false">$G$23*MAX(0,CF292-CC292*$G$18)</f>
        <v>0</v>
      </c>
      <c r="CI292" s="180" t="n">
        <f aca="false">IF(AND($G$27=1,OR(MONTH($B292)=5,MONTH($B292)=11)),MAX(0,$G$28*MAX(0,(CC292+CF292-CG292-CH292+CD292-CE292)+CL291-CK292)-CL291),0)</f>
        <v>4084.00485249775</v>
      </c>
      <c r="CJ292" s="181" t="n">
        <f aca="false">CC292+CF292-CG292-CH292+CD292-CE292-CI292</f>
        <v>631481.107081478</v>
      </c>
      <c r="CK292" s="180" t="n">
        <f aca="false">CK291+CD292-CE292</f>
        <v>150000</v>
      </c>
      <c r="CL292" s="180" t="n">
        <f aca="false">CL291+CI292</f>
        <v>84967.2541908491</v>
      </c>
      <c r="CM292" s="180" t="n">
        <f aca="false">CJ292+CL292-CK292</f>
        <v>566448.361272328</v>
      </c>
      <c r="CN292" s="180" t="n">
        <f aca="false">MAX(0,IFERROR(INDEX(TAB_IR,MATCH($C292,TAB_IR_DIAS,1),MATCH($G$8,TAB_IR_REGIMES,0)),0)*IF($G$26=2,CJ292,MAX(0,CM292))-CL292)</f>
        <v>0</v>
      </c>
      <c r="CO292" s="181" t="n">
        <f aca="false">MAX(0,CJ292-CN292-CJ292*$G$25)</f>
        <v>631481.107081478</v>
      </c>
      <c r="CP292" s="180" t="n">
        <f aca="false">CO292/$D292</f>
        <v>296803.200803959</v>
      </c>
    </row>
    <row r="293" customFormat="false" ht="12" hidden="false" customHeight="true" outlineLevel="0" collapsed="false">
      <c r="A293" s="177" t="n">
        <v>232</v>
      </c>
      <c r="B293" s="178" t="n">
        <f aca="false">EDATE(DATA_INICIO,$A293)</f>
        <v>53319</v>
      </c>
      <c r="C293" s="177" t="n">
        <f aca="false">$A293*30</f>
        <v>6960</v>
      </c>
      <c r="D293" s="179" t="n">
        <f aca="false">(1+IPCA_CENARIO)^($A293/12)</f>
        <v>2.13457405508878</v>
      </c>
      <c r="F293" s="180" t="n">
        <f aca="false">M292</f>
        <v>1279303.69713506</v>
      </c>
      <c r="G293" s="180" t="n">
        <f aca="false">IF($B$9=0,0,IF($A293&gt;IN_PRAZO,0,IF(APORTE_CORRIGIDO="Sim",IN_APORTE*$D293,IN_APORTE))+IF(AND($B$35=1,PGBL_REINVESTE="Sim",$A293&gt;=13,$A293&lt;=IN_PRAZO,MONTH($B293)=5),PGBL_BENEFICIO,0))</f>
        <v>0</v>
      </c>
      <c r="H293" s="180" t="n">
        <f aca="false">G293*$B$24</f>
        <v>0</v>
      </c>
      <c r="I293" s="180" t="n">
        <f aca="false">F293*$B$19</f>
        <v>12139.0478825611</v>
      </c>
      <c r="J293" s="180" t="n">
        <f aca="false">F293*$B$22</f>
        <v>213.217282855843</v>
      </c>
      <c r="K293" s="180" t="n">
        <f aca="false">$B$23*MAX(0,I293-F293*$B$18)</f>
        <v>0</v>
      </c>
      <c r="L293" s="180" t="n">
        <f aca="false">IF(AND($B$27=1,OR(MONTH($B293)=5,MONTH($B293)=11)),MAX(0,$B$28*MAX(0,(F293+I293-J293-K293+G293-H293)+O292-N293)-O292),0)</f>
        <v>0</v>
      </c>
      <c r="M293" s="181" t="n">
        <f aca="false">F293+I293-J293-K293+G293-H293-L293</f>
        <v>1291229.52773476</v>
      </c>
      <c r="N293" s="180" t="n">
        <f aca="false">N292+G293-H293</f>
        <v>150000</v>
      </c>
      <c r="O293" s="180" t="n">
        <f aca="false">O292+L293</f>
        <v>0</v>
      </c>
      <c r="P293" s="180" t="n">
        <f aca="false">M293+O293-N293</f>
        <v>1141229.52773476</v>
      </c>
      <c r="Q293" s="180" t="n">
        <f aca="false">MAX(0,IFERROR(INDEX(TAB_IR,MATCH($C293,TAB_IR_DIAS,1),MATCH($B$8,TAB_IR_REGIMES,0)),0)*IF($B$26=2,M293,MAX(0,P293))-O293)</f>
        <v>171184.429160215</v>
      </c>
      <c r="R293" s="181" t="n">
        <f aca="false">MAX(0,M293-Q293-M293*$B$25)</f>
        <v>1120045.09857455</v>
      </c>
      <c r="S293" s="180" t="n">
        <f aca="false">R293/$D293</f>
        <v>524715.971275105</v>
      </c>
      <c r="U293" s="180" t="n">
        <f aca="false">AB292</f>
        <v>943049.580643351</v>
      </c>
      <c r="V293" s="180" t="n">
        <f aca="false">IF($C$9=0,0,IF($A293&gt;IN_PRAZO,0,IF(APORTE_CORRIGIDO="Sim",IN_APORTE*$D293,IN_APORTE))+IF(AND($C$35=1,PGBL_REINVESTE="Sim",$A293&gt;=13,$A293&lt;=IN_PRAZO,MONTH($B293)=5),PGBL_BENEFICIO,0))</f>
        <v>0</v>
      </c>
      <c r="W293" s="180" t="n">
        <f aca="false">V293*$C$24</f>
        <v>0</v>
      </c>
      <c r="X293" s="180" t="n">
        <f aca="false">U293*$C$19</f>
        <v>7692.66803179105</v>
      </c>
      <c r="Y293" s="180" t="n">
        <f aca="false">U293*$C$22</f>
        <v>157.174930107225</v>
      </c>
      <c r="Z293" s="180" t="n">
        <f aca="false">$C$23*MAX(0,X293-U293*$C$18)</f>
        <v>0</v>
      </c>
      <c r="AA293" s="180" t="n">
        <f aca="false">IF(AND($C$27=1,OR(MONTH($B293)=5,MONTH($B293)=11)),MAX(0,$C$28*MAX(0,(U293+X293-Y293-Z293+V293-W293)+AD292-AC293)-AD292),0)</f>
        <v>0</v>
      </c>
      <c r="AB293" s="181" t="n">
        <f aca="false">U293+X293-Y293-Z293+V293-W293-AA293</f>
        <v>950585.073745035</v>
      </c>
      <c r="AC293" s="180" t="n">
        <f aca="false">AC292+V293-W293</f>
        <v>150000</v>
      </c>
      <c r="AD293" s="180" t="n">
        <f aca="false">AD292+AA293</f>
        <v>0</v>
      </c>
      <c r="AE293" s="180" t="n">
        <f aca="false">AB293+AD293-AC293</f>
        <v>800585.073745035</v>
      </c>
      <c r="AF293" s="180" t="n">
        <f aca="false">MAX(0,IFERROR(INDEX(TAB_IR,MATCH($C293,TAB_IR_DIAS,1),MATCH($C$8,TAB_IR_REGIMES,0)),0)*IF($C$26=2,AB293,MAX(0,AE293))-AD293)</f>
        <v>120087.761061755</v>
      </c>
      <c r="AG293" s="181" t="n">
        <f aca="false">MAX(0,AB293-AF293-AB293*$C$25)</f>
        <v>830497.31268328</v>
      </c>
      <c r="AH293" s="180" t="n">
        <f aca="false">AG293/$D293</f>
        <v>389069.337137023</v>
      </c>
      <c r="AJ293" s="180" t="n">
        <f aca="false">AQ292</f>
        <v>743354.08740488</v>
      </c>
      <c r="AK293" s="180" t="n">
        <f aca="false">IF($D$9=0,0,IF($A293&gt;IN_PRAZO,0,IF(APORTE_CORRIGIDO="Sim",IN_APORTE*$D293,IN_APORTE))+IF(AND($D$35=1,PGBL_REINVESTE="Sim",$A293&gt;=13,$A293&lt;=IN_PRAZO,MONTH($B293)=5),PGBL_BENEFICIO,0))</f>
        <v>0</v>
      </c>
      <c r="AL293" s="180" t="n">
        <f aca="false">AK293*$D$24</f>
        <v>0</v>
      </c>
      <c r="AM293" s="180" t="n">
        <f aca="false">AJ293*$D$19</f>
        <v>6681.78469222427</v>
      </c>
      <c r="AN293" s="180" t="n">
        <f aca="false">AJ293*$D$22</f>
        <v>619.461739504067</v>
      </c>
      <c r="AO293" s="180" t="n">
        <f aca="false">$D$23*MAX(0,AM293-AJ293*$D$18)</f>
        <v>0</v>
      </c>
      <c r="AP293" s="180" t="n">
        <f aca="false">IF(AND($D$27=1,OR(MONTH($B293)=5,MONTH($B293)=11)),MAX(0,$D$28*MAX(0,(AJ293+AM293-AN293-AO293+AK293-AL293)+AS292-AR293)-AS292),0)</f>
        <v>0</v>
      </c>
      <c r="AQ293" s="181" t="n">
        <f aca="false">AJ293+AM293-AN293-AO293+AK293-AL293-AP293</f>
        <v>749416.410357601</v>
      </c>
      <c r="AR293" s="180" t="n">
        <f aca="false">AR292+AK293-AL293</f>
        <v>150000</v>
      </c>
      <c r="AS293" s="180" t="n">
        <f aca="false">AS292+AP293</f>
        <v>104709.544836155</v>
      </c>
      <c r="AT293" s="180" t="n">
        <f aca="false">AQ293+AS293-AR293</f>
        <v>704125.955193756</v>
      </c>
      <c r="AU293" s="180" t="n">
        <f aca="false">MAX(0,IFERROR(INDEX(TAB_IR,MATCH($C293,TAB_IR_DIAS,1),MATCH($D$8,TAB_IR_REGIMES,0)),0)*IF($D$26=2,AQ293,MAX(0,AT293))-AS293)</f>
        <v>909.348442908027</v>
      </c>
      <c r="AV293" s="181" t="n">
        <f aca="false">MAX(0,AQ293-AU293-AQ293*$D$25)</f>
        <v>748507.061914693</v>
      </c>
      <c r="AW293" s="180" t="n">
        <f aca="false">AV293/$D293</f>
        <v>350658.746240388</v>
      </c>
      <c r="AY293" s="180" t="n">
        <f aca="false">BF292</f>
        <v>1069249.17702525</v>
      </c>
      <c r="AZ293" s="180" t="n">
        <f aca="false">IF($E$9=0,0,IF($A293&gt;IN_PRAZO,0,IF(APORTE_CORRIGIDO="Sim",IN_APORTE*$D293,IN_APORTE))+IF(AND($E$35=1,PGBL_REINVESTE="Sim",$A293&gt;=13,$A293&lt;=IN_PRAZO,MONTH($B293)=5),PGBL_BENEFICIO,0))</f>
        <v>0</v>
      </c>
      <c r="BA293" s="180" t="n">
        <f aca="false">AZ293*$E$24</f>
        <v>0</v>
      </c>
      <c r="BB293" s="180" t="n">
        <f aca="false">AY293*$E$19</f>
        <v>10466.6079098426</v>
      </c>
      <c r="BC293" s="180" t="n">
        <f aca="false">AY293*$E$22</f>
        <v>1336.56147128156</v>
      </c>
      <c r="BD293" s="180" t="n">
        <f aca="false">$E$23*MAX(0,BB293-AY293*$E$18)</f>
        <v>0</v>
      </c>
      <c r="BE293" s="180" t="n">
        <f aca="false">IF(AND($E$27=1,OR(MONTH($B293)=5,MONTH($B293)=11)),MAX(0,$E$28*MAX(0,(AY293+BB293-BC293-BD293+AZ293-BA293)+BH292-BG293)-BH292),0)</f>
        <v>0</v>
      </c>
      <c r="BF293" s="181" t="n">
        <f aca="false">AY293+BB293-BC293-BD293+AZ293-BA293-BE293</f>
        <v>1078379.22346381</v>
      </c>
      <c r="BG293" s="180" t="n">
        <f aca="false">BG292+AZ293-BA293</f>
        <v>150000</v>
      </c>
      <c r="BH293" s="180" t="n">
        <f aca="false">BH292+BE293</f>
        <v>0</v>
      </c>
      <c r="BI293" s="180" t="n">
        <f aca="false">BF293+BH293-BG293</f>
        <v>928379.223463812</v>
      </c>
      <c r="BJ293" s="180" t="n">
        <f aca="false">MAX(0,IFERROR(INDEX(TAB_IR,MATCH($C293,TAB_IR_DIAS,1),MATCH($E$8,TAB_IR_REGIMES,0)),0)*IF($E$26=2,BF293,MAX(0,BI293))-BH293)</f>
        <v>92837.9223463812</v>
      </c>
      <c r="BK293" s="181" t="n">
        <f aca="false">MAX(0,BF293-BJ293-BF293*$E$25)</f>
        <v>985541.301117431</v>
      </c>
      <c r="BL293" s="180" t="n">
        <f aca="false">BK293/$D293</f>
        <v>461703.96326514</v>
      </c>
      <c r="BN293" s="180" t="n">
        <f aca="false">BU292</f>
        <v>1069249.17702525</v>
      </c>
      <c r="BO293" s="180" t="n">
        <f aca="false">IF($F$9=0,0,IF($A293&gt;IN_PRAZO,0,IF(APORTE_CORRIGIDO="Sim",IN_APORTE*$D293,IN_APORTE))+IF(AND($F$35=1,PGBL_REINVESTE="Sim",$A293&gt;=13,$A293&lt;=IN_PRAZO,MONTH($B293)=5),PGBL_BENEFICIO,0))</f>
        <v>0</v>
      </c>
      <c r="BP293" s="180" t="n">
        <f aca="false">BO293*$F$24</f>
        <v>0</v>
      </c>
      <c r="BQ293" s="180" t="n">
        <f aca="false">BN293*$F$19</f>
        <v>10466.6079098426</v>
      </c>
      <c r="BR293" s="180" t="n">
        <f aca="false">BN293*$F$22</f>
        <v>1336.56147128156</v>
      </c>
      <c r="BS293" s="180" t="n">
        <f aca="false">$F$23*MAX(0,BQ293-BN293*$F$18)</f>
        <v>0</v>
      </c>
      <c r="BT293" s="180" t="n">
        <f aca="false">IF(AND($F$27=1,OR(MONTH($B293)=5,MONTH($B293)=11)),MAX(0,$F$28*MAX(0,(BN293+BQ293-BR293-BS293+BO293-BP293)+BW292-BV293)-BW292),0)</f>
        <v>0</v>
      </c>
      <c r="BU293" s="181" t="n">
        <f aca="false">BN293+BQ293-BR293-BS293+BO293-BP293-BT293</f>
        <v>1078379.22346381</v>
      </c>
      <c r="BV293" s="180" t="n">
        <f aca="false">BV292+BO293-BP293</f>
        <v>150000</v>
      </c>
      <c r="BW293" s="180" t="n">
        <f aca="false">BW292+BT293</f>
        <v>0</v>
      </c>
      <c r="BX293" s="180" t="n">
        <f aca="false">BU293+BW293-BV293</f>
        <v>928379.223463812</v>
      </c>
      <c r="BY293" s="180" t="n">
        <f aca="false">MAX(0,IFERROR(INDEX(TAB_IR,MATCH($C293,TAB_IR_DIAS,1),MATCH($F$8,TAB_IR_REGIMES,0)),0)*IF($F$26=2,BU293,MAX(0,BX293))-BW293)</f>
        <v>107837.922346381</v>
      </c>
      <c r="BZ293" s="181" t="n">
        <f aca="false">MAX(0,BU293-BY293-BU293*$F$25)</f>
        <v>970541.301117431</v>
      </c>
      <c r="CA293" s="180" t="n">
        <f aca="false">BZ293/$D293</f>
        <v>454676.800181132</v>
      </c>
      <c r="CC293" s="180" t="n">
        <f aca="false">CJ292</f>
        <v>631481.107081478</v>
      </c>
      <c r="CD293" s="180" t="n">
        <f aca="false">IF($G$9=0,0,IF($A293&gt;IN_PRAZO,0,IF(APORTE_CORRIGIDO="Sim",IN_APORTE*$D293,IN_APORTE))+IF(AND($G$35=1,PGBL_REINVESTE="Sim",$A293&gt;=13,$A293&lt;=IN_PRAZO,MONTH($B293)=5),PGBL_BENEFICIO,0))</f>
        <v>0</v>
      </c>
      <c r="CE293" s="180" t="n">
        <f aca="false">CD293*$G$24</f>
        <v>0</v>
      </c>
      <c r="CF293" s="180" t="n">
        <f aca="false">CC293*$G$19</f>
        <v>5151.13375249234</v>
      </c>
      <c r="CG293" s="180" t="n">
        <f aca="false">CC293*$G$22</f>
        <v>526.234255901232</v>
      </c>
      <c r="CH293" s="180" t="n">
        <f aca="false">$G$23*MAX(0,CF293-CC293*$G$18)</f>
        <v>0</v>
      </c>
      <c r="CI293" s="180" t="n">
        <f aca="false">IF(AND($G$27=1,OR(MONTH($B293)=5,MONTH($B293)=11)),MAX(0,$G$28*MAX(0,(CC293+CF293-CG293-CH293+CD293-CE293)+CL292-CK293)-CL292),0)</f>
        <v>0</v>
      </c>
      <c r="CJ293" s="181" t="n">
        <f aca="false">CC293+CF293-CG293-CH293+CD293-CE293-CI293</f>
        <v>636106.00657807</v>
      </c>
      <c r="CK293" s="180" t="n">
        <f aca="false">CK292+CD293-CE293</f>
        <v>150000</v>
      </c>
      <c r="CL293" s="180" t="n">
        <f aca="false">CL292+CI293</f>
        <v>84967.2541908491</v>
      </c>
      <c r="CM293" s="180" t="n">
        <f aca="false">CJ293+CL293-CK293</f>
        <v>571073.260768919</v>
      </c>
      <c r="CN293" s="180" t="n">
        <f aca="false">MAX(0,IFERROR(INDEX(TAB_IR,MATCH($C293,TAB_IR_DIAS,1),MATCH($G$8,TAB_IR_REGIMES,0)),0)*IF($G$26=2,CJ293,MAX(0,CM293))-CL293)</f>
        <v>693.734924488672</v>
      </c>
      <c r="CO293" s="181" t="n">
        <f aca="false">MAX(0,CJ293-CN293-CJ293*$G$25)</f>
        <v>635412.271653581</v>
      </c>
      <c r="CP293" s="180" t="n">
        <f aca="false">CO293/$D293</f>
        <v>297676.377232624</v>
      </c>
    </row>
    <row r="294" customFormat="false" ht="12" hidden="false" customHeight="true" outlineLevel="0" collapsed="false">
      <c r="A294" s="177" t="n">
        <v>233</v>
      </c>
      <c r="B294" s="178" t="n">
        <f aca="false">EDATE(DATA_INICIO,$A294)</f>
        <v>53350</v>
      </c>
      <c r="C294" s="177" t="n">
        <f aca="false">$A294*30</f>
        <v>6990</v>
      </c>
      <c r="D294" s="179" t="n">
        <f aca="false">(1+IPCA_CENARIO)^($A294/12)</f>
        <v>2.14156209509098</v>
      </c>
      <c r="F294" s="180" t="n">
        <f aca="false">M293</f>
        <v>1291229.52773476</v>
      </c>
      <c r="G294" s="180" t="n">
        <f aca="false">IF($B$9=0,0,IF($A294&gt;IN_PRAZO,0,IF(APORTE_CORRIGIDO="Sim",IN_APORTE*$D294,IN_APORTE))+IF(AND($B$35=1,PGBL_REINVESTE="Sim",$A294&gt;=13,$A294&lt;=IN_PRAZO,MONTH($B294)=5),PGBL_BENEFICIO,0))</f>
        <v>0</v>
      </c>
      <c r="H294" s="180" t="n">
        <f aca="false">G294*$B$24</f>
        <v>0</v>
      </c>
      <c r="I294" s="180" t="n">
        <f aca="false">F294*$B$19</f>
        <v>12252.2096196946</v>
      </c>
      <c r="J294" s="180" t="n">
        <f aca="false">F294*$B$22</f>
        <v>215.204921289127</v>
      </c>
      <c r="K294" s="180" t="n">
        <f aca="false">$B$23*MAX(0,I294-F294*$B$18)</f>
        <v>0</v>
      </c>
      <c r="L294" s="180" t="n">
        <f aca="false">IF(AND($B$27=1,OR(MONTH($B294)=5,MONTH($B294)=11)),MAX(0,$B$28*MAX(0,(F294+I294-J294-K294+G294-H294)+O293-N294)-O293),0)</f>
        <v>0</v>
      </c>
      <c r="M294" s="181" t="n">
        <f aca="false">F294+I294-J294-K294+G294-H294-L294</f>
        <v>1303266.53243317</v>
      </c>
      <c r="N294" s="180" t="n">
        <f aca="false">N293+G294-H294</f>
        <v>150000</v>
      </c>
      <c r="O294" s="180" t="n">
        <f aca="false">O293+L294</f>
        <v>0</v>
      </c>
      <c r="P294" s="180" t="n">
        <f aca="false">M294+O294-N294</f>
        <v>1153266.53243317</v>
      </c>
      <c r="Q294" s="180" t="n">
        <f aca="false">MAX(0,IFERROR(INDEX(TAB_IR,MATCH($C294,TAB_IR_DIAS,1),MATCH($B$8,TAB_IR_REGIMES,0)),0)*IF($B$26=2,M294,MAX(0,P294))-O294)</f>
        <v>172989.979864975</v>
      </c>
      <c r="R294" s="181" t="n">
        <f aca="false">MAX(0,M294-Q294-M294*$B$25)</f>
        <v>1130276.55256819</v>
      </c>
      <c r="S294" s="180" t="n">
        <f aca="false">R294/$D294</f>
        <v>527781.358831054</v>
      </c>
      <c r="U294" s="180" t="n">
        <f aca="false">AB293</f>
        <v>950585.073745035</v>
      </c>
      <c r="V294" s="180" t="n">
        <f aca="false">IF($C$9=0,0,IF($A294&gt;IN_PRAZO,0,IF(APORTE_CORRIGIDO="Sim",IN_APORTE*$D294,IN_APORTE))+IF(AND($C$35=1,PGBL_REINVESTE="Sim",$A294&gt;=13,$A294&lt;=IN_PRAZO,MONTH($B294)=5),PGBL_BENEFICIO,0))</f>
        <v>0</v>
      </c>
      <c r="W294" s="180" t="n">
        <f aca="false">V294*$C$24</f>
        <v>0</v>
      </c>
      <c r="X294" s="180" t="n">
        <f aca="false">U294*$C$19</f>
        <v>7754.13674783413</v>
      </c>
      <c r="Y294" s="180" t="n">
        <f aca="false">U294*$C$22</f>
        <v>158.430845624173</v>
      </c>
      <c r="Z294" s="180" t="n">
        <f aca="false">$C$23*MAX(0,X294-U294*$C$18)</f>
        <v>0</v>
      </c>
      <c r="AA294" s="180" t="n">
        <f aca="false">IF(AND($C$27=1,OR(MONTH($B294)=5,MONTH($B294)=11)),MAX(0,$C$28*MAX(0,(U294+X294-Y294-Z294+V294-W294)+AD293-AC294)-AD293),0)</f>
        <v>0</v>
      </c>
      <c r="AB294" s="181" t="n">
        <f aca="false">U294+X294-Y294-Z294+V294-W294-AA294</f>
        <v>958180.779647245</v>
      </c>
      <c r="AC294" s="180" t="n">
        <f aca="false">AC293+V294-W294</f>
        <v>150000</v>
      </c>
      <c r="AD294" s="180" t="n">
        <f aca="false">AD293+AA294</f>
        <v>0</v>
      </c>
      <c r="AE294" s="180" t="n">
        <f aca="false">AB294+AD294-AC294</f>
        <v>808180.779647245</v>
      </c>
      <c r="AF294" s="180" t="n">
        <f aca="false">MAX(0,IFERROR(INDEX(TAB_IR,MATCH($C294,TAB_IR_DIAS,1),MATCH($C$8,TAB_IR_REGIMES,0)),0)*IF($C$26=2,AB294,MAX(0,AE294))-AD294)</f>
        <v>121227.116947087</v>
      </c>
      <c r="AG294" s="181" t="n">
        <f aca="false">MAX(0,AB294-AF294-AB294*$C$25)</f>
        <v>836953.662700158</v>
      </c>
      <c r="AH294" s="180" t="n">
        <f aca="false">AG294/$D294</f>
        <v>390814.566908275</v>
      </c>
      <c r="AJ294" s="180" t="n">
        <f aca="false">AQ293</f>
        <v>749416.410357601</v>
      </c>
      <c r="AK294" s="180" t="n">
        <f aca="false">IF($D$9=0,0,IF($A294&gt;IN_PRAZO,0,IF(APORTE_CORRIGIDO="Sim",IN_APORTE*$D294,IN_APORTE))+IF(AND($D$35=1,PGBL_REINVESTE="Sim",$A294&gt;=13,$A294&lt;=IN_PRAZO,MONTH($B294)=5),PGBL_BENEFICIO,0))</f>
        <v>0</v>
      </c>
      <c r="AL294" s="180" t="n">
        <f aca="false">AK294*$D$24</f>
        <v>0</v>
      </c>
      <c r="AM294" s="180" t="n">
        <f aca="false">AJ294*$D$19</f>
        <v>6736.27707666278</v>
      </c>
      <c r="AN294" s="180" t="n">
        <f aca="false">AJ294*$D$22</f>
        <v>624.513675298001</v>
      </c>
      <c r="AO294" s="180" t="n">
        <f aca="false">$D$23*MAX(0,AM294-AJ294*$D$18)</f>
        <v>0</v>
      </c>
      <c r="AP294" s="180" t="n">
        <f aca="false">IF(AND($D$27=1,OR(MONTH($B294)=5,MONTH($B294)=11)),MAX(0,$D$28*MAX(0,(AJ294+AM294-AN294-AO294+AK294-AL294)+AS293-AR294)-AS293),0)</f>
        <v>0</v>
      </c>
      <c r="AQ294" s="181" t="n">
        <f aca="false">AJ294+AM294-AN294-AO294+AK294-AL294-AP294</f>
        <v>755528.173758965</v>
      </c>
      <c r="AR294" s="180" t="n">
        <f aca="false">AR293+AK294-AL294</f>
        <v>150000</v>
      </c>
      <c r="AS294" s="180" t="n">
        <f aca="false">AS293+AP294</f>
        <v>104709.544836155</v>
      </c>
      <c r="AT294" s="180" t="n">
        <f aca="false">AQ294+AS294-AR294</f>
        <v>710237.718595121</v>
      </c>
      <c r="AU294" s="180" t="n">
        <f aca="false">MAX(0,IFERROR(INDEX(TAB_IR,MATCH($C294,TAB_IR_DIAS,1),MATCH($D$8,TAB_IR_REGIMES,0)),0)*IF($D$26=2,AQ294,MAX(0,AT294))-AS294)</f>
        <v>1826.11295311275</v>
      </c>
      <c r="AV294" s="181" t="n">
        <f aca="false">MAX(0,AQ294-AU294-AQ294*$D$25)</f>
        <v>753702.060805853</v>
      </c>
      <c r="AW294" s="180" t="n">
        <f aca="false">AV294/$D294</f>
        <v>351940.325491162</v>
      </c>
      <c r="AY294" s="180" t="n">
        <f aca="false">BF293</f>
        <v>1078379.22346381</v>
      </c>
      <c r="AZ294" s="180" t="n">
        <f aca="false">IF($E$9=0,0,IF($A294&gt;IN_PRAZO,0,IF(APORTE_CORRIGIDO="Sim",IN_APORTE*$D294,IN_APORTE))+IF(AND($E$35=1,PGBL_REINVESTE="Sim",$A294&gt;=13,$A294&lt;=IN_PRAZO,MONTH($B294)=5),PGBL_BENEFICIO,0))</f>
        <v>0</v>
      </c>
      <c r="BA294" s="180" t="n">
        <f aca="false">AZ294*$E$24</f>
        <v>0</v>
      </c>
      <c r="BB294" s="180" t="n">
        <f aca="false">AY294*$E$19</f>
        <v>10555.9796094654</v>
      </c>
      <c r="BC294" s="180" t="n">
        <f aca="false">AY294*$E$22</f>
        <v>1347.97402932977</v>
      </c>
      <c r="BD294" s="180" t="n">
        <f aca="false">$E$23*MAX(0,BB294-AY294*$E$18)</f>
        <v>0</v>
      </c>
      <c r="BE294" s="180" t="n">
        <f aca="false">IF(AND($E$27=1,OR(MONTH($B294)=5,MONTH($B294)=11)),MAX(0,$E$28*MAX(0,(AY294+BB294-BC294-BD294+AZ294-BA294)+BH293-BG294)-BH293),0)</f>
        <v>0</v>
      </c>
      <c r="BF294" s="181" t="n">
        <f aca="false">AY294+BB294-BC294-BD294+AZ294-BA294-BE294</f>
        <v>1087587.22904395</v>
      </c>
      <c r="BG294" s="180" t="n">
        <f aca="false">BG293+AZ294-BA294</f>
        <v>150000</v>
      </c>
      <c r="BH294" s="180" t="n">
        <f aca="false">BH293+BE294</f>
        <v>0</v>
      </c>
      <c r="BI294" s="180" t="n">
        <f aca="false">BF294+BH294-BG294</f>
        <v>937587.229043948</v>
      </c>
      <c r="BJ294" s="180" t="n">
        <f aca="false">MAX(0,IFERROR(INDEX(TAB_IR,MATCH($C294,TAB_IR_DIAS,1),MATCH($E$8,TAB_IR_REGIMES,0)),0)*IF($E$26=2,BF294,MAX(0,BI294))-BH294)</f>
        <v>93758.7229043948</v>
      </c>
      <c r="BK294" s="181" t="n">
        <f aca="false">MAX(0,BF294-BJ294-BF294*$E$25)</f>
        <v>993828.506139553</v>
      </c>
      <c r="BL294" s="180" t="n">
        <f aca="false">BK294/$D294</f>
        <v>464067.097759</v>
      </c>
      <c r="BN294" s="180" t="n">
        <f aca="false">BU293</f>
        <v>1078379.22346381</v>
      </c>
      <c r="BO294" s="180" t="n">
        <f aca="false">IF($F$9=0,0,IF($A294&gt;IN_PRAZO,0,IF(APORTE_CORRIGIDO="Sim",IN_APORTE*$D294,IN_APORTE))+IF(AND($F$35=1,PGBL_REINVESTE="Sim",$A294&gt;=13,$A294&lt;=IN_PRAZO,MONTH($B294)=5),PGBL_BENEFICIO,0))</f>
        <v>0</v>
      </c>
      <c r="BP294" s="180" t="n">
        <f aca="false">BO294*$F$24</f>
        <v>0</v>
      </c>
      <c r="BQ294" s="180" t="n">
        <f aca="false">BN294*$F$19</f>
        <v>10555.9796094654</v>
      </c>
      <c r="BR294" s="180" t="n">
        <f aca="false">BN294*$F$22</f>
        <v>1347.97402932977</v>
      </c>
      <c r="BS294" s="180" t="n">
        <f aca="false">$F$23*MAX(0,BQ294-BN294*$F$18)</f>
        <v>0</v>
      </c>
      <c r="BT294" s="180" t="n">
        <f aca="false">IF(AND($F$27=1,OR(MONTH($B294)=5,MONTH($B294)=11)),MAX(0,$F$28*MAX(0,(BN294+BQ294-BR294-BS294+BO294-BP294)+BW293-BV294)-BW293),0)</f>
        <v>0</v>
      </c>
      <c r="BU294" s="181" t="n">
        <f aca="false">BN294+BQ294-BR294-BS294+BO294-BP294-BT294</f>
        <v>1087587.22904395</v>
      </c>
      <c r="BV294" s="180" t="n">
        <f aca="false">BV293+BO294-BP294</f>
        <v>150000</v>
      </c>
      <c r="BW294" s="180" t="n">
        <f aca="false">BW293+BT294</f>
        <v>0</v>
      </c>
      <c r="BX294" s="180" t="n">
        <f aca="false">BU294+BW294-BV294</f>
        <v>937587.229043948</v>
      </c>
      <c r="BY294" s="180" t="n">
        <f aca="false">MAX(0,IFERROR(INDEX(TAB_IR,MATCH($C294,TAB_IR_DIAS,1),MATCH($F$8,TAB_IR_REGIMES,0)),0)*IF($F$26=2,BU294,MAX(0,BX294))-BW294)</f>
        <v>108758.722904395</v>
      </c>
      <c r="BZ294" s="181" t="n">
        <f aca="false">MAX(0,BU294-BY294-BU294*$F$25)</f>
        <v>978828.506139553</v>
      </c>
      <c r="CA294" s="180" t="n">
        <f aca="false">BZ294/$D294</f>
        <v>457062.864711364</v>
      </c>
      <c r="CC294" s="180" t="n">
        <f aca="false">CJ293</f>
        <v>636106.00657807</v>
      </c>
      <c r="CD294" s="180" t="n">
        <f aca="false">IF($G$9=0,0,IF($A294&gt;IN_PRAZO,0,IF(APORTE_CORRIGIDO="Sim",IN_APORTE*$D294,IN_APORTE))+IF(AND($G$35=1,PGBL_REINVESTE="Sim",$A294&gt;=13,$A294&lt;=IN_PRAZO,MONTH($B294)=5),PGBL_BENEFICIO,0))</f>
        <v>0</v>
      </c>
      <c r="CE294" s="180" t="n">
        <f aca="false">CD294*$G$24</f>
        <v>0</v>
      </c>
      <c r="CF294" s="180" t="n">
        <f aca="false">CC294*$G$19</f>
        <v>5188.86010033017</v>
      </c>
      <c r="CG294" s="180" t="n">
        <f aca="false">CC294*$G$22</f>
        <v>530.088338815058</v>
      </c>
      <c r="CH294" s="180" t="n">
        <f aca="false">$G$23*MAX(0,CF294-CC294*$G$18)</f>
        <v>0</v>
      </c>
      <c r="CI294" s="180" t="n">
        <f aca="false">IF(AND($G$27=1,OR(MONTH($B294)=5,MONTH($B294)=11)),MAX(0,$G$28*MAX(0,(CC294+CF294-CG294-CH294+CD294-CE294)+CL293-CK294)-CL293),0)</f>
        <v>0</v>
      </c>
      <c r="CJ294" s="181" t="n">
        <f aca="false">CC294+CF294-CG294-CH294+CD294-CE294-CI294</f>
        <v>640764.778339585</v>
      </c>
      <c r="CK294" s="180" t="n">
        <f aca="false">CK293+CD294-CE294</f>
        <v>150000</v>
      </c>
      <c r="CL294" s="180" t="n">
        <f aca="false">CL293+CI294</f>
        <v>84967.2541908491</v>
      </c>
      <c r="CM294" s="180" t="n">
        <f aca="false">CJ294+CL294-CK294</f>
        <v>575732.032530434</v>
      </c>
      <c r="CN294" s="180" t="n">
        <f aca="false">MAX(0,IFERROR(INDEX(TAB_IR,MATCH($C294,TAB_IR_DIAS,1),MATCH($G$8,TAB_IR_REGIMES,0)),0)*IF($G$26=2,CJ294,MAX(0,CM294))-CL294)</f>
        <v>1392.55068871594</v>
      </c>
      <c r="CO294" s="181" t="n">
        <f aca="false">MAX(0,CJ294-CN294-CJ294*$G$25)</f>
        <v>639372.227650869</v>
      </c>
      <c r="CP294" s="180" t="n">
        <f aca="false">CO294/$D294</f>
        <v>298554.139110175</v>
      </c>
    </row>
    <row r="295" customFormat="false" ht="12" hidden="false" customHeight="true" outlineLevel="0" collapsed="false">
      <c r="A295" s="177" t="n">
        <v>234</v>
      </c>
      <c r="B295" s="178" t="n">
        <f aca="false">EDATE(DATA_INICIO,$A295)</f>
        <v>53381</v>
      </c>
      <c r="C295" s="177" t="n">
        <f aca="false">$A295*30</f>
        <v>7020</v>
      </c>
      <c r="D295" s="179" t="n">
        <f aca="false">(1+IPCA_CENARIO)^($A295/12)</f>
        <v>2.14857301211772</v>
      </c>
      <c r="F295" s="180" t="n">
        <f aca="false">M294</f>
        <v>1303266.53243317</v>
      </c>
      <c r="G295" s="180" t="n">
        <f aca="false">IF($B$9=0,0,IF($A295&gt;IN_PRAZO,0,IF(APORTE_CORRIGIDO="Sim",IN_APORTE*$D295,IN_APORTE))+IF(AND($B$35=1,PGBL_REINVESTE="Sim",$A295&gt;=13,$A295&lt;=IN_PRAZO,MONTH($B295)=5),PGBL_BENEFICIO,0))</f>
        <v>0</v>
      </c>
      <c r="H295" s="180" t="n">
        <f aca="false">G295*$B$24</f>
        <v>0</v>
      </c>
      <c r="I295" s="180" t="n">
        <f aca="false">F295*$B$19</f>
        <v>12366.4262648304</v>
      </c>
      <c r="J295" s="180" t="n">
        <f aca="false">F295*$B$22</f>
        <v>217.211088738862</v>
      </c>
      <c r="K295" s="180" t="n">
        <f aca="false">$B$23*MAX(0,I295-F295*$B$18)</f>
        <v>0</v>
      </c>
      <c r="L295" s="180" t="n">
        <f aca="false">IF(AND($B$27=1,OR(MONTH($B295)=5,MONTH($B295)=11)),MAX(0,$B$28*MAX(0,(F295+I295-J295-K295+G295-H295)+O294-N295)-O294),0)</f>
        <v>0</v>
      </c>
      <c r="M295" s="181" t="n">
        <f aca="false">F295+I295-J295-K295+G295-H295-L295</f>
        <v>1315415.74760926</v>
      </c>
      <c r="N295" s="180" t="n">
        <f aca="false">N294+G295-H295</f>
        <v>150000</v>
      </c>
      <c r="O295" s="180" t="n">
        <f aca="false">O294+L295</f>
        <v>0</v>
      </c>
      <c r="P295" s="180" t="n">
        <f aca="false">M295+O295-N295</f>
        <v>1165415.74760926</v>
      </c>
      <c r="Q295" s="180" t="n">
        <f aca="false">MAX(0,IFERROR(INDEX(TAB_IR,MATCH($C295,TAB_IR_DIAS,1),MATCH($B$8,TAB_IR_REGIMES,0)),0)*IF($B$26=2,M295,MAX(0,P295))-O295)</f>
        <v>174812.362141389</v>
      </c>
      <c r="R295" s="181" t="n">
        <f aca="false">MAX(0,M295-Q295-M295*$B$25)</f>
        <v>1140603.38546787</v>
      </c>
      <c r="S295" s="180" t="n">
        <f aca="false">R295/$D295</f>
        <v>530865.546125261</v>
      </c>
      <c r="U295" s="180" t="n">
        <f aca="false">AB294</f>
        <v>958180.779647245</v>
      </c>
      <c r="V295" s="180" t="n">
        <f aca="false">IF($C$9=0,0,IF($A295&gt;IN_PRAZO,0,IF(APORTE_CORRIGIDO="Sim",IN_APORTE*$D295,IN_APORTE))+IF(AND($C$35=1,PGBL_REINVESTE="Sim",$A295&gt;=13,$A295&lt;=IN_PRAZO,MONTH($B295)=5),PGBL_BENEFICIO,0))</f>
        <v>0</v>
      </c>
      <c r="W295" s="180" t="n">
        <f aca="false">V295*$C$24</f>
        <v>0</v>
      </c>
      <c r="X295" s="180" t="n">
        <f aca="false">U295*$C$19</f>
        <v>7816.09663326555</v>
      </c>
      <c r="Y295" s="180" t="n">
        <f aca="false">U295*$C$22</f>
        <v>159.696796607874</v>
      </c>
      <c r="Z295" s="180" t="n">
        <f aca="false">$C$23*MAX(0,X295-U295*$C$18)</f>
        <v>0</v>
      </c>
      <c r="AA295" s="180" t="n">
        <f aca="false">IF(AND($C$27=1,OR(MONTH($B295)=5,MONTH($B295)=11)),MAX(0,$C$28*MAX(0,(U295+X295-Y295-Z295+V295-W295)+AD294-AC295)-AD294),0)</f>
        <v>0</v>
      </c>
      <c r="AB295" s="181" t="n">
        <f aca="false">U295+X295-Y295-Z295+V295-W295-AA295</f>
        <v>965837.179483903</v>
      </c>
      <c r="AC295" s="180" t="n">
        <f aca="false">AC294+V295-W295</f>
        <v>150000</v>
      </c>
      <c r="AD295" s="180" t="n">
        <f aca="false">AD294+AA295</f>
        <v>0</v>
      </c>
      <c r="AE295" s="180" t="n">
        <f aca="false">AB295+AD295-AC295</f>
        <v>815837.179483903</v>
      </c>
      <c r="AF295" s="180" t="n">
        <f aca="false">MAX(0,IFERROR(INDEX(TAB_IR,MATCH($C295,TAB_IR_DIAS,1),MATCH($C$8,TAB_IR_REGIMES,0)),0)*IF($C$26=2,AB295,MAX(0,AE295))-AD295)</f>
        <v>122375.576922585</v>
      </c>
      <c r="AG295" s="181" t="n">
        <f aca="false">MAX(0,AB295-AF295-AB295*$C$25)</f>
        <v>843461.602561317</v>
      </c>
      <c r="AH295" s="180" t="n">
        <f aca="false">AG295/$D295</f>
        <v>392568.27569009</v>
      </c>
      <c r="AJ295" s="180" t="n">
        <f aca="false">AQ294</f>
        <v>755528.173758965</v>
      </c>
      <c r="AK295" s="180" t="n">
        <f aca="false">IF($D$9=0,0,IF($A295&gt;IN_PRAZO,0,IF(APORTE_CORRIGIDO="Sim",IN_APORTE*$D295,IN_APORTE))+IF(AND($D$35=1,PGBL_REINVESTE="Sim",$A295&gt;=13,$A295&lt;=IN_PRAZO,MONTH($B295)=5),PGBL_BENEFICIO,0))</f>
        <v>0</v>
      </c>
      <c r="AL295" s="180" t="n">
        <f aca="false">AK295*$D$24</f>
        <v>0</v>
      </c>
      <c r="AM295" s="180" t="n">
        <f aca="false">AJ295*$D$19</f>
        <v>6791.21386631615</v>
      </c>
      <c r="AN295" s="180" t="n">
        <f aca="false">AJ295*$D$22</f>
        <v>629.606811465805</v>
      </c>
      <c r="AO295" s="180" t="n">
        <f aca="false">$D$23*MAX(0,AM295-AJ295*$D$18)</f>
        <v>0</v>
      </c>
      <c r="AP295" s="180" t="n">
        <f aca="false">IF(AND($D$27=1,OR(MONTH($B295)=5,MONTH($B295)=11)),MAX(0,$D$28*MAX(0,(AJ295+AM295-AN295-AO295+AK295-AL295)+AS294-AR295)-AS294),0)</f>
        <v>0</v>
      </c>
      <c r="AQ295" s="181" t="n">
        <f aca="false">AJ295+AM295-AN295-AO295+AK295-AL295-AP295</f>
        <v>761689.780813816</v>
      </c>
      <c r="AR295" s="180" t="n">
        <f aca="false">AR294+AK295-AL295</f>
        <v>150000</v>
      </c>
      <c r="AS295" s="180" t="n">
        <f aca="false">AS294+AP295</f>
        <v>104709.544836155</v>
      </c>
      <c r="AT295" s="180" t="n">
        <f aca="false">AQ295+AS295-AR295</f>
        <v>716399.325649971</v>
      </c>
      <c r="AU295" s="180" t="n">
        <f aca="false">MAX(0,IFERROR(INDEX(TAB_IR,MATCH($C295,TAB_IR_DIAS,1),MATCH($D$8,TAB_IR_REGIMES,0)),0)*IF($D$26=2,AQ295,MAX(0,AT295))-AS295)</f>
        <v>2750.3540113403</v>
      </c>
      <c r="AV295" s="181" t="n">
        <f aca="false">MAX(0,AQ295-AU295-AQ295*$D$25)</f>
        <v>758939.426802475</v>
      </c>
      <c r="AW295" s="180" t="n">
        <f aca="false">AV295/$D295</f>
        <v>353229.526072485</v>
      </c>
      <c r="AY295" s="180" t="n">
        <f aca="false">BF294</f>
        <v>1087587.22904395</v>
      </c>
      <c r="AZ295" s="180" t="n">
        <f aca="false">IF($E$9=0,0,IF($A295&gt;IN_PRAZO,0,IF(APORTE_CORRIGIDO="Sim",IN_APORTE*$D295,IN_APORTE))+IF(AND($E$35=1,PGBL_REINVESTE="Sim",$A295&gt;=13,$A295&lt;=IN_PRAZO,MONTH($B295)=5),PGBL_BENEFICIO,0))</f>
        <v>0</v>
      </c>
      <c r="BA295" s="180" t="n">
        <f aca="false">AZ295*$E$24</f>
        <v>0</v>
      </c>
      <c r="BB295" s="180" t="n">
        <f aca="false">AY295*$E$19</f>
        <v>10646.1144312729</v>
      </c>
      <c r="BC295" s="180" t="n">
        <f aca="false">AY295*$E$22</f>
        <v>1359.48403630493</v>
      </c>
      <c r="BD295" s="180" t="n">
        <f aca="false">$E$23*MAX(0,BB295-AY295*$E$18)</f>
        <v>0</v>
      </c>
      <c r="BE295" s="180" t="n">
        <f aca="false">IF(AND($E$27=1,OR(MONTH($B295)=5,MONTH($B295)=11)),MAX(0,$E$28*MAX(0,(AY295+BB295-BC295-BD295+AZ295-BA295)+BH294-BG295)-BH294),0)</f>
        <v>0</v>
      </c>
      <c r="BF295" s="181" t="n">
        <f aca="false">AY295+BB295-BC295-BD295+AZ295-BA295-BE295</f>
        <v>1096873.85943892</v>
      </c>
      <c r="BG295" s="180" t="n">
        <f aca="false">BG294+AZ295-BA295</f>
        <v>150000</v>
      </c>
      <c r="BH295" s="180" t="n">
        <f aca="false">BH294+BE295</f>
        <v>0</v>
      </c>
      <c r="BI295" s="180" t="n">
        <f aca="false">BF295+BH295-BG295</f>
        <v>946873.859438916</v>
      </c>
      <c r="BJ295" s="180" t="n">
        <f aca="false">MAX(0,IFERROR(INDEX(TAB_IR,MATCH($C295,TAB_IR_DIAS,1),MATCH($E$8,TAB_IR_REGIMES,0)),0)*IF($E$26=2,BF295,MAX(0,BI295))-BH295)</f>
        <v>94687.3859438916</v>
      </c>
      <c r="BK295" s="181" t="n">
        <f aca="false">MAX(0,BF295-BJ295-BF295*$E$25)</f>
        <v>1002186.47349502</v>
      </c>
      <c r="BL295" s="180" t="n">
        <f aca="false">BK295/$D295</f>
        <v>466442.828725297</v>
      </c>
      <c r="BN295" s="180" t="n">
        <f aca="false">BU294</f>
        <v>1087587.22904395</v>
      </c>
      <c r="BO295" s="180" t="n">
        <f aca="false">IF($F$9=0,0,IF($A295&gt;IN_PRAZO,0,IF(APORTE_CORRIGIDO="Sim",IN_APORTE*$D295,IN_APORTE))+IF(AND($F$35=1,PGBL_REINVESTE="Sim",$A295&gt;=13,$A295&lt;=IN_PRAZO,MONTH($B295)=5),PGBL_BENEFICIO,0))</f>
        <v>0</v>
      </c>
      <c r="BP295" s="180" t="n">
        <f aca="false">BO295*$F$24</f>
        <v>0</v>
      </c>
      <c r="BQ295" s="180" t="n">
        <f aca="false">BN295*$F$19</f>
        <v>10646.1144312729</v>
      </c>
      <c r="BR295" s="180" t="n">
        <f aca="false">BN295*$F$22</f>
        <v>1359.48403630493</v>
      </c>
      <c r="BS295" s="180" t="n">
        <f aca="false">$F$23*MAX(0,BQ295-BN295*$F$18)</f>
        <v>0</v>
      </c>
      <c r="BT295" s="180" t="n">
        <f aca="false">IF(AND($F$27=1,OR(MONTH($B295)=5,MONTH($B295)=11)),MAX(0,$F$28*MAX(0,(BN295+BQ295-BR295-BS295+BO295-BP295)+BW294-BV295)-BW294),0)</f>
        <v>0</v>
      </c>
      <c r="BU295" s="181" t="n">
        <f aca="false">BN295+BQ295-BR295-BS295+BO295-BP295-BT295</f>
        <v>1096873.85943892</v>
      </c>
      <c r="BV295" s="180" t="n">
        <f aca="false">BV294+BO295-BP295</f>
        <v>150000</v>
      </c>
      <c r="BW295" s="180" t="n">
        <f aca="false">BW294+BT295</f>
        <v>0</v>
      </c>
      <c r="BX295" s="180" t="n">
        <f aca="false">BU295+BW295-BV295</f>
        <v>946873.859438916</v>
      </c>
      <c r="BY295" s="180" t="n">
        <f aca="false">MAX(0,IFERROR(INDEX(TAB_IR,MATCH($C295,TAB_IR_DIAS,1),MATCH($F$8,TAB_IR_REGIMES,0)),0)*IF($F$26=2,BU295,MAX(0,BX295))-BW295)</f>
        <v>109687.385943892</v>
      </c>
      <c r="BZ295" s="181" t="n">
        <f aca="false">MAX(0,BU295-BY295-BU295*$F$25)</f>
        <v>987186.473495024</v>
      </c>
      <c r="CA295" s="180" t="n">
        <f aca="false">BZ295/$D295</f>
        <v>459461.450892009</v>
      </c>
      <c r="CC295" s="180" t="n">
        <f aca="false">CJ294</f>
        <v>640764.778339585</v>
      </c>
      <c r="CD295" s="180" t="n">
        <f aca="false">IF($G$9=0,0,IF($A295&gt;IN_PRAZO,0,IF(APORTE_CORRIGIDO="Sim",IN_APORTE*$D295,IN_APORTE))+IF(AND($G$35=1,PGBL_REINVESTE="Sim",$A295&gt;=13,$A295&lt;=IN_PRAZO,MONTH($B295)=5),PGBL_BENEFICIO,0))</f>
        <v>0</v>
      </c>
      <c r="CE295" s="180" t="n">
        <f aca="false">CD295*$G$24</f>
        <v>0</v>
      </c>
      <c r="CF295" s="180" t="n">
        <f aca="false">CC295*$G$19</f>
        <v>5226.8627518692</v>
      </c>
      <c r="CG295" s="180" t="n">
        <f aca="false">CC295*$G$22</f>
        <v>533.970648616321</v>
      </c>
      <c r="CH295" s="180" t="n">
        <f aca="false">$G$23*MAX(0,CF295-CC295*$G$18)</f>
        <v>0</v>
      </c>
      <c r="CI295" s="180" t="n">
        <f aca="false">IF(AND($G$27=1,OR(MONTH($B295)=5,MONTH($B295)=11)),MAX(0,$G$28*MAX(0,(CC295+CF295-CG295-CH295+CD295-CE295)+CL294-CK295)-CL294),0)</f>
        <v>0</v>
      </c>
      <c r="CJ295" s="181" t="n">
        <f aca="false">CC295+CF295-CG295-CH295+CD295-CE295-CI295</f>
        <v>645457.670442838</v>
      </c>
      <c r="CK295" s="180" t="n">
        <f aca="false">CK294+CD295-CE295</f>
        <v>150000</v>
      </c>
      <c r="CL295" s="180" t="n">
        <f aca="false">CL294+CI295</f>
        <v>84967.2541908491</v>
      </c>
      <c r="CM295" s="180" t="n">
        <f aca="false">CJ295+CL295-CK295</f>
        <v>580424.924633687</v>
      </c>
      <c r="CN295" s="180" t="n">
        <f aca="false">MAX(0,IFERROR(INDEX(TAB_IR,MATCH($C295,TAB_IR_DIAS,1),MATCH($G$8,TAB_IR_REGIMES,0)),0)*IF($G$26=2,CJ295,MAX(0,CM295))-CL295)</f>
        <v>2096.48450420389</v>
      </c>
      <c r="CO295" s="181" t="n">
        <f aca="false">MAX(0,CJ295-CN295-CJ295*$G$25)</f>
        <v>643361.185938634</v>
      </c>
      <c r="CP295" s="180" t="n">
        <f aca="false">CO295/$D295</f>
        <v>299436.501487334</v>
      </c>
    </row>
    <row r="296" customFormat="false" ht="12" hidden="false" customHeight="true" outlineLevel="0" collapsed="false">
      <c r="A296" s="177" t="n">
        <v>235</v>
      </c>
      <c r="B296" s="178" t="n">
        <f aca="false">EDATE(DATA_INICIO,$A296)</f>
        <v>53409</v>
      </c>
      <c r="C296" s="177" t="n">
        <f aca="false">$A296*30</f>
        <v>7050</v>
      </c>
      <c r="D296" s="179" t="n">
        <f aca="false">(1+IPCA_CENARIO)^($A296/12)</f>
        <v>2.15560688106245</v>
      </c>
      <c r="F296" s="180" t="n">
        <f aca="false">M295</f>
        <v>1315415.74760926</v>
      </c>
      <c r="G296" s="180" t="n">
        <f aca="false">IF($B$9=0,0,IF($A296&gt;IN_PRAZO,0,IF(APORTE_CORRIGIDO="Sim",IN_APORTE*$D296,IN_APORTE))+IF(AND($B$35=1,PGBL_REINVESTE="Sim",$A296&gt;=13,$A296&lt;=IN_PRAZO,MONTH($B296)=5),PGBL_BENEFICIO,0))</f>
        <v>0</v>
      </c>
      <c r="H296" s="180" t="n">
        <f aca="false">G296*$B$24</f>
        <v>0</v>
      </c>
      <c r="I296" s="180" t="n">
        <f aca="false">F296*$B$19</f>
        <v>12481.707651954</v>
      </c>
      <c r="J296" s="180" t="n">
        <f aca="false">F296*$B$22</f>
        <v>219.235957934877</v>
      </c>
      <c r="K296" s="180" t="n">
        <f aca="false">$B$23*MAX(0,I296-F296*$B$18)</f>
        <v>0</v>
      </c>
      <c r="L296" s="180" t="n">
        <f aca="false">IF(AND($B$27=1,OR(MONTH($B296)=5,MONTH($B296)=11)),MAX(0,$B$28*MAX(0,(F296+I296-J296-K296+G296-H296)+O295-N296)-O295),0)</f>
        <v>0</v>
      </c>
      <c r="M296" s="181" t="n">
        <f aca="false">F296+I296-J296-K296+G296-H296-L296</f>
        <v>1327678.21930328</v>
      </c>
      <c r="N296" s="180" t="n">
        <f aca="false">N295+G296-H296</f>
        <v>150000</v>
      </c>
      <c r="O296" s="180" t="n">
        <f aca="false">O295+L296</f>
        <v>0</v>
      </c>
      <c r="P296" s="180" t="n">
        <f aca="false">M296+O296-N296</f>
        <v>1177678.21930328</v>
      </c>
      <c r="Q296" s="180" t="n">
        <f aca="false">MAX(0,IFERROR(INDEX(TAB_IR,MATCH($C296,TAB_IR_DIAS,1),MATCH($B$8,TAB_IR_REGIMES,0)),0)*IF($B$26=2,M296,MAX(0,P296))-O296)</f>
        <v>176651.732895492</v>
      </c>
      <c r="R296" s="181" t="n">
        <f aca="false">MAX(0,M296-Q296-M296*$B$25)</f>
        <v>1151026.48640779</v>
      </c>
      <c r="S296" s="180" t="n">
        <f aca="false">R296/$D296</f>
        <v>533968.645451935</v>
      </c>
      <c r="U296" s="180" t="n">
        <f aca="false">AB295</f>
        <v>965837.179483903</v>
      </c>
      <c r="V296" s="180" t="n">
        <f aca="false">IF($C$9=0,0,IF($A296&gt;IN_PRAZO,0,IF(APORTE_CORRIGIDO="Sim",IN_APORTE*$D296,IN_APORTE))+IF(AND($C$35=1,PGBL_REINVESTE="Sim",$A296&gt;=13,$A296&lt;=IN_PRAZO,MONTH($B296)=5),PGBL_BENEFICIO,0))</f>
        <v>0</v>
      </c>
      <c r="W296" s="180" t="n">
        <f aca="false">V296*$C$24</f>
        <v>0</v>
      </c>
      <c r="X296" s="180" t="n">
        <f aca="false">U296*$C$19</f>
        <v>7878.5516128032</v>
      </c>
      <c r="Y296" s="180" t="n">
        <f aca="false">U296*$C$22</f>
        <v>160.972863247317</v>
      </c>
      <c r="Z296" s="180" t="n">
        <f aca="false">$C$23*MAX(0,X296-U296*$C$18)</f>
        <v>0</v>
      </c>
      <c r="AA296" s="180" t="n">
        <f aca="false">IF(AND($C$27=1,OR(MONTH($B296)=5,MONTH($B296)=11)),MAX(0,$C$28*MAX(0,(U296+X296-Y296-Z296+V296-W296)+AD295-AC296)-AD295),0)</f>
        <v>0</v>
      </c>
      <c r="AB296" s="181" t="n">
        <f aca="false">U296+X296-Y296-Z296+V296-W296-AA296</f>
        <v>973554.758233459</v>
      </c>
      <c r="AC296" s="180" t="n">
        <f aca="false">AC295+V296-W296</f>
        <v>150000</v>
      </c>
      <c r="AD296" s="180" t="n">
        <f aca="false">AD295+AA296</f>
        <v>0</v>
      </c>
      <c r="AE296" s="180" t="n">
        <f aca="false">AB296+AD296-AC296</f>
        <v>823554.758233459</v>
      </c>
      <c r="AF296" s="180" t="n">
        <f aca="false">MAX(0,IFERROR(INDEX(TAB_IR,MATCH($C296,TAB_IR_DIAS,1),MATCH($C$8,TAB_IR_REGIMES,0)),0)*IF($C$26=2,AB296,MAX(0,AE296))-AD296)</f>
        <v>123533.213735019</v>
      </c>
      <c r="AG296" s="181" t="n">
        <f aca="false">MAX(0,AB296-AF296-AB296*$C$25)</f>
        <v>850021.54449844</v>
      </c>
      <c r="AH296" s="180" t="n">
        <f aca="false">AG296/$D296</f>
        <v>394330.502452044</v>
      </c>
      <c r="AJ296" s="180" t="n">
        <f aca="false">AQ295</f>
        <v>761689.780813816</v>
      </c>
      <c r="AK296" s="180" t="n">
        <f aca="false">IF($D$9=0,0,IF($A296&gt;IN_PRAZO,0,IF(APORTE_CORRIGIDO="Sim",IN_APORTE*$D296,IN_APORTE))+IF(AND($D$35=1,PGBL_REINVESTE="Sim",$A296&gt;=13,$A296&lt;=IN_PRAZO,MONTH($B296)=5),PGBL_BENEFICIO,0))</f>
        <v>0</v>
      </c>
      <c r="AL296" s="180" t="n">
        <f aca="false">AK296*$D$24</f>
        <v>0</v>
      </c>
      <c r="AM296" s="180" t="n">
        <f aca="false">AJ296*$D$19</f>
        <v>6846.59868547054</v>
      </c>
      <c r="AN296" s="180" t="n">
        <f aca="false">AJ296*$D$22</f>
        <v>634.741484011513</v>
      </c>
      <c r="AO296" s="180" t="n">
        <f aca="false">$D$23*MAX(0,AM296-AJ296*$D$18)</f>
        <v>0</v>
      </c>
      <c r="AP296" s="180" t="n">
        <f aca="false">IF(AND($D$27=1,OR(MONTH($B296)=5,MONTH($B296)=11)),MAX(0,$D$28*MAX(0,(AJ296+AM296-AN296-AO296+AK296-AL296)+AS295-AR296)-AS295),0)</f>
        <v>0</v>
      </c>
      <c r="AQ296" s="181" t="n">
        <f aca="false">AJ296+AM296-AN296-AO296+AK296-AL296-AP296</f>
        <v>767901.638015275</v>
      </c>
      <c r="AR296" s="180" t="n">
        <f aca="false">AR295+AK296-AL296</f>
        <v>150000</v>
      </c>
      <c r="AS296" s="180" t="n">
        <f aca="false">AS295+AP296</f>
        <v>104709.544836155</v>
      </c>
      <c r="AT296" s="180" t="n">
        <f aca="false">AQ296+AS296-AR296</f>
        <v>722611.18285143</v>
      </c>
      <c r="AU296" s="180" t="n">
        <f aca="false">MAX(0,IFERROR(INDEX(TAB_IR,MATCH($C296,TAB_IR_DIAS,1),MATCH($D$8,TAB_IR_REGIMES,0)),0)*IF($D$26=2,AQ296,MAX(0,AT296))-AS296)</f>
        <v>3682.13259155914</v>
      </c>
      <c r="AV296" s="181" t="n">
        <f aca="false">MAX(0,AQ296-AU296-AQ296*$D$25)</f>
        <v>764219.505423716</v>
      </c>
      <c r="AW296" s="180" t="n">
        <f aca="false">AV296/$D296</f>
        <v>354526.380546275</v>
      </c>
      <c r="AY296" s="180" t="n">
        <f aca="false">BF295</f>
        <v>1096873.85943892</v>
      </c>
      <c r="AZ296" s="180" t="n">
        <f aca="false">IF($E$9=0,0,IF($A296&gt;IN_PRAZO,0,IF(APORTE_CORRIGIDO="Sim",IN_APORTE*$D296,IN_APORTE))+IF(AND($E$35=1,PGBL_REINVESTE="Sim",$A296&gt;=13,$A296&lt;=IN_PRAZO,MONTH($B296)=5),PGBL_BENEFICIO,0))</f>
        <v>0</v>
      </c>
      <c r="BA296" s="180" t="n">
        <f aca="false">AZ296*$E$24</f>
        <v>0</v>
      </c>
      <c r="BB296" s="180" t="n">
        <f aca="false">AY296*$E$19</f>
        <v>10737.0188913709</v>
      </c>
      <c r="BC296" s="180" t="n">
        <f aca="false">AY296*$E$22</f>
        <v>1371.09232429864</v>
      </c>
      <c r="BD296" s="180" t="n">
        <f aca="false">$E$23*MAX(0,BB296-AY296*$E$18)</f>
        <v>0</v>
      </c>
      <c r="BE296" s="180" t="n">
        <f aca="false">IF(AND($E$27=1,OR(MONTH($B296)=5,MONTH($B296)=11)),MAX(0,$E$28*MAX(0,(AY296+BB296-BC296-BD296+AZ296-BA296)+BH295-BG296)-BH295),0)</f>
        <v>0</v>
      </c>
      <c r="BF296" s="181" t="n">
        <f aca="false">AY296+BB296-BC296-BD296+AZ296-BA296-BE296</f>
        <v>1106239.78600599</v>
      </c>
      <c r="BG296" s="180" t="n">
        <f aca="false">BG295+AZ296-BA296</f>
        <v>150000</v>
      </c>
      <c r="BH296" s="180" t="n">
        <f aca="false">BH295+BE296</f>
        <v>0</v>
      </c>
      <c r="BI296" s="180" t="n">
        <f aca="false">BF296+BH296-BG296</f>
        <v>956239.786005988</v>
      </c>
      <c r="BJ296" s="180" t="n">
        <f aca="false">MAX(0,IFERROR(INDEX(TAB_IR,MATCH($C296,TAB_IR_DIAS,1),MATCH($E$8,TAB_IR_REGIMES,0)),0)*IF($E$26=2,BF296,MAX(0,BI296))-BH296)</f>
        <v>95623.9786005988</v>
      </c>
      <c r="BK296" s="181" t="n">
        <f aca="false">MAX(0,BF296-BJ296-BF296*$E$25)</f>
        <v>1010615.80740539</v>
      </c>
      <c r="BL296" s="180" t="n">
        <f aca="false">BK296/$D296</f>
        <v>468831.22163132</v>
      </c>
      <c r="BN296" s="180" t="n">
        <f aca="false">BU295</f>
        <v>1096873.85943892</v>
      </c>
      <c r="BO296" s="180" t="n">
        <f aca="false">IF($F$9=0,0,IF($A296&gt;IN_PRAZO,0,IF(APORTE_CORRIGIDO="Sim",IN_APORTE*$D296,IN_APORTE))+IF(AND($F$35=1,PGBL_REINVESTE="Sim",$A296&gt;=13,$A296&lt;=IN_PRAZO,MONTH($B296)=5),PGBL_BENEFICIO,0))</f>
        <v>0</v>
      </c>
      <c r="BP296" s="180" t="n">
        <f aca="false">BO296*$F$24</f>
        <v>0</v>
      </c>
      <c r="BQ296" s="180" t="n">
        <f aca="false">BN296*$F$19</f>
        <v>10737.0188913709</v>
      </c>
      <c r="BR296" s="180" t="n">
        <f aca="false">BN296*$F$22</f>
        <v>1371.09232429864</v>
      </c>
      <c r="BS296" s="180" t="n">
        <f aca="false">$F$23*MAX(0,BQ296-BN296*$F$18)</f>
        <v>0</v>
      </c>
      <c r="BT296" s="180" t="n">
        <f aca="false">IF(AND($F$27=1,OR(MONTH($B296)=5,MONTH($B296)=11)),MAX(0,$F$28*MAX(0,(BN296+BQ296-BR296-BS296+BO296-BP296)+BW295-BV296)-BW295),0)</f>
        <v>0</v>
      </c>
      <c r="BU296" s="181" t="n">
        <f aca="false">BN296+BQ296-BR296-BS296+BO296-BP296-BT296</f>
        <v>1106239.78600599</v>
      </c>
      <c r="BV296" s="180" t="n">
        <f aca="false">BV295+BO296-BP296</f>
        <v>150000</v>
      </c>
      <c r="BW296" s="180" t="n">
        <f aca="false">BW295+BT296</f>
        <v>0</v>
      </c>
      <c r="BX296" s="180" t="n">
        <f aca="false">BU296+BW296-BV296</f>
        <v>956239.786005988</v>
      </c>
      <c r="BY296" s="180" t="n">
        <f aca="false">MAX(0,IFERROR(INDEX(TAB_IR,MATCH($C296,TAB_IR_DIAS,1),MATCH($F$8,TAB_IR_REGIMES,0)),0)*IF($F$26=2,BU296,MAX(0,BX296))-BW296)</f>
        <v>110623.978600599</v>
      </c>
      <c r="BZ296" s="181" t="n">
        <f aca="false">MAX(0,BU296-BY296-BU296*$F$25)</f>
        <v>995615.807405389</v>
      </c>
      <c r="CA296" s="180" t="n">
        <f aca="false">BZ296/$D296</f>
        <v>461872.624434503</v>
      </c>
      <c r="CC296" s="180" t="n">
        <f aca="false">CJ295</f>
        <v>645457.670442838</v>
      </c>
      <c r="CD296" s="180" t="n">
        <f aca="false">IF($G$9=0,0,IF($A296&gt;IN_PRAZO,0,IF(APORTE_CORRIGIDO="Sim",IN_APORTE*$D296,IN_APORTE))+IF(AND($G$35=1,PGBL_REINVESTE="Sim",$A296&gt;=13,$A296&lt;=IN_PRAZO,MONTH($B296)=5),PGBL_BENEFICIO,0))</f>
        <v>0</v>
      </c>
      <c r="CE296" s="180" t="n">
        <f aca="false">CD296*$G$24</f>
        <v>0</v>
      </c>
      <c r="CF296" s="180" t="n">
        <f aca="false">CC296*$G$19</f>
        <v>5265.14373072793</v>
      </c>
      <c r="CG296" s="180" t="n">
        <f aca="false">CC296*$G$22</f>
        <v>537.881392035698</v>
      </c>
      <c r="CH296" s="180" t="n">
        <f aca="false">$G$23*MAX(0,CF296-CC296*$G$18)</f>
        <v>0</v>
      </c>
      <c r="CI296" s="180" t="n">
        <f aca="false">IF(AND($G$27=1,OR(MONTH($B296)=5,MONTH($B296)=11)),MAX(0,$G$28*MAX(0,(CC296+CF296-CG296-CH296+CD296-CE296)+CL295-CK296)-CL295),0)</f>
        <v>0</v>
      </c>
      <c r="CJ296" s="181" t="n">
        <f aca="false">CC296+CF296-CG296-CH296+CD296-CE296-CI296</f>
        <v>650184.93278153</v>
      </c>
      <c r="CK296" s="180" t="n">
        <f aca="false">CK295+CD296-CE296</f>
        <v>150000</v>
      </c>
      <c r="CL296" s="180" t="n">
        <f aca="false">CL295+CI296</f>
        <v>84967.2541908491</v>
      </c>
      <c r="CM296" s="180" t="n">
        <f aca="false">CJ296+CL296-CK296</f>
        <v>585152.186972379</v>
      </c>
      <c r="CN296" s="180" t="n">
        <f aca="false">MAX(0,IFERROR(INDEX(TAB_IR,MATCH($C296,TAB_IR_DIAS,1),MATCH($G$8,TAB_IR_REGIMES,0)),0)*IF($G$26=2,CJ296,MAX(0,CM296))-CL296)</f>
        <v>2805.57385500772</v>
      </c>
      <c r="CO296" s="181" t="n">
        <f aca="false">MAX(0,CJ296-CN296-CJ296*$G$25)</f>
        <v>647379.358926522</v>
      </c>
      <c r="CP296" s="180" t="n">
        <f aca="false">CO296/$D296</f>
        <v>300323.479486873</v>
      </c>
    </row>
    <row r="297" customFormat="false" ht="12" hidden="false" customHeight="true" outlineLevel="0" collapsed="false">
      <c r="A297" s="177" t="n">
        <v>236</v>
      </c>
      <c r="B297" s="178" t="n">
        <f aca="false">EDATE(DATA_INICIO,$A297)</f>
        <v>53440</v>
      </c>
      <c r="C297" s="177" t="n">
        <f aca="false">$A297*30</f>
        <v>7080</v>
      </c>
      <c r="D297" s="179" t="n">
        <f aca="false">(1+IPCA_CENARIO)^($A297/12)</f>
        <v>2.16266377706377</v>
      </c>
      <c r="F297" s="180" t="n">
        <f aca="false">M296</f>
        <v>1327678.21930328</v>
      </c>
      <c r="G297" s="180" t="n">
        <f aca="false">IF($B$9=0,0,IF($A297&gt;IN_PRAZO,0,IF(APORTE_CORRIGIDO="Sim",IN_APORTE*$D297,IN_APORTE))+IF(AND($B$35=1,PGBL_REINVESTE="Sim",$A297&gt;=13,$A297&lt;=IN_PRAZO,MONTH($B297)=5),PGBL_BENEFICIO,0))</f>
        <v>0</v>
      </c>
      <c r="H297" s="180" t="n">
        <f aca="false">G297*$B$24</f>
        <v>0</v>
      </c>
      <c r="I297" s="180" t="n">
        <f aca="false">F297*$B$19</f>
        <v>12598.0637067248</v>
      </c>
      <c r="J297" s="180" t="n">
        <f aca="false">F297*$B$22</f>
        <v>221.279703217213</v>
      </c>
      <c r="K297" s="180" t="n">
        <f aca="false">$B$23*MAX(0,I297-F297*$B$18)</f>
        <v>0</v>
      </c>
      <c r="L297" s="180" t="n">
        <f aca="false">IF(AND($B$27=1,OR(MONTH($B297)=5,MONTH($B297)=11)),MAX(0,$B$28*MAX(0,(F297+I297-J297-K297+G297-H297)+O296-N297)-O296),0)</f>
        <v>0</v>
      </c>
      <c r="M297" s="181" t="n">
        <f aca="false">F297+I297-J297-K297+G297-H297-L297</f>
        <v>1340055.00330679</v>
      </c>
      <c r="N297" s="180" t="n">
        <f aca="false">N296+G297-H297</f>
        <v>150000</v>
      </c>
      <c r="O297" s="180" t="n">
        <f aca="false">O296+L297</f>
        <v>0</v>
      </c>
      <c r="P297" s="180" t="n">
        <f aca="false">M297+O297-N297</f>
        <v>1190055.00330679</v>
      </c>
      <c r="Q297" s="180" t="n">
        <f aca="false">MAX(0,IFERROR(INDEX(TAB_IR,MATCH($C297,TAB_IR_DIAS,1),MATCH($B$8,TAB_IR_REGIMES,0)),0)*IF($B$26=2,M297,MAX(0,P297))-O297)</f>
        <v>178508.250496018</v>
      </c>
      <c r="R297" s="181" t="n">
        <f aca="false">MAX(0,M297-Q297-M297*$B$25)</f>
        <v>1161546.75281077</v>
      </c>
      <c r="S297" s="180" t="n">
        <f aca="false">R297/$D297</f>
        <v>537090.769785672</v>
      </c>
      <c r="U297" s="180" t="n">
        <f aca="false">AB296</f>
        <v>973554.758233459</v>
      </c>
      <c r="V297" s="180" t="n">
        <f aca="false">IF($C$9=0,0,IF($A297&gt;IN_PRAZO,0,IF(APORTE_CORRIGIDO="Sim",IN_APORTE*$D297,IN_APORTE))+IF(AND($C$35=1,PGBL_REINVESTE="Sim",$A297&gt;=13,$A297&lt;=IN_PRAZO,MONTH($B297)=5),PGBL_BENEFICIO,0))</f>
        <v>0</v>
      </c>
      <c r="W297" s="180" t="n">
        <f aca="false">V297*$C$24</f>
        <v>0</v>
      </c>
      <c r="X297" s="180" t="n">
        <f aca="false">U297*$C$19</f>
        <v>7941.50564252562</v>
      </c>
      <c r="Y297" s="180" t="n">
        <f aca="false">U297*$C$22</f>
        <v>162.259126372243</v>
      </c>
      <c r="Z297" s="180" t="n">
        <f aca="false">$C$23*MAX(0,X297-U297*$C$18)</f>
        <v>0</v>
      </c>
      <c r="AA297" s="180" t="n">
        <f aca="false">IF(AND($C$27=1,OR(MONTH($B297)=5,MONTH($B297)=11)),MAX(0,$C$28*MAX(0,(U297+X297-Y297-Z297+V297-W297)+AD296-AC297)-AD296),0)</f>
        <v>0</v>
      </c>
      <c r="AB297" s="181" t="n">
        <f aca="false">U297+X297-Y297-Z297+V297-W297-AA297</f>
        <v>981334.004749612</v>
      </c>
      <c r="AC297" s="180" t="n">
        <f aca="false">AC296+V297-W297</f>
        <v>150000</v>
      </c>
      <c r="AD297" s="180" t="n">
        <f aca="false">AD296+AA297</f>
        <v>0</v>
      </c>
      <c r="AE297" s="180" t="n">
        <f aca="false">AB297+AD297-AC297</f>
        <v>831334.004749612</v>
      </c>
      <c r="AF297" s="180" t="n">
        <f aca="false">MAX(0,IFERROR(INDEX(TAB_IR,MATCH($C297,TAB_IR_DIAS,1),MATCH($C$8,TAB_IR_REGIMES,0)),0)*IF($C$26=2,AB297,MAX(0,AE297))-AD297)</f>
        <v>124700.100712442</v>
      </c>
      <c r="AG297" s="181" t="n">
        <f aca="false">MAX(0,AB297-AF297-AB297*$C$25)</f>
        <v>856633.90403717</v>
      </c>
      <c r="AH297" s="180" t="n">
        <f aca="false">AG297/$D297</f>
        <v>396101.286349844</v>
      </c>
      <c r="AJ297" s="180" t="n">
        <f aca="false">AQ296</f>
        <v>767901.638015275</v>
      </c>
      <c r="AK297" s="180" t="n">
        <f aca="false">IF($D$9=0,0,IF($A297&gt;IN_PRAZO,0,IF(APORTE_CORRIGIDO="Sim",IN_APORTE*$D297,IN_APORTE))+IF(AND($D$35=1,PGBL_REINVESTE="Sim",$A297&gt;=13,$A297&lt;=IN_PRAZO,MONTH($B297)=5),PGBL_BENEFICIO,0))</f>
        <v>0</v>
      </c>
      <c r="AL297" s="180" t="n">
        <f aca="false">AK297*$D$24</f>
        <v>0</v>
      </c>
      <c r="AM297" s="180" t="n">
        <f aca="false">AJ297*$D$19</f>
        <v>6902.4351879695</v>
      </c>
      <c r="AN297" s="180" t="n">
        <f aca="false">AJ297*$D$22</f>
        <v>639.918031679396</v>
      </c>
      <c r="AO297" s="180" t="n">
        <f aca="false">$D$23*MAX(0,AM297-AJ297*$D$18)</f>
        <v>0</v>
      </c>
      <c r="AP297" s="180" t="n">
        <f aca="false">IF(AND($D$27=1,OR(MONTH($B297)=5,MONTH($B297)=11)),MAX(0,$D$28*MAX(0,(AJ297+AM297-AN297-AO297+AK297-AL297)+AS296-AR297)-AS296),0)</f>
        <v>0</v>
      </c>
      <c r="AQ297" s="181" t="n">
        <f aca="false">AJ297+AM297-AN297-AO297+AK297-AL297-AP297</f>
        <v>774164.155171565</v>
      </c>
      <c r="AR297" s="180" t="n">
        <f aca="false">AR296+AK297-AL297</f>
        <v>150000</v>
      </c>
      <c r="AS297" s="180" t="n">
        <f aca="false">AS296+AP297</f>
        <v>104709.544836155</v>
      </c>
      <c r="AT297" s="180" t="n">
        <f aca="false">AQ297+AS297-AR297</f>
        <v>728873.70000772</v>
      </c>
      <c r="AU297" s="180" t="n">
        <f aca="false">MAX(0,IFERROR(INDEX(TAB_IR,MATCH($C297,TAB_IR_DIAS,1),MATCH($D$8,TAB_IR_REGIMES,0)),0)*IF($D$26=2,AQ297,MAX(0,AT297))-AS297)</f>
        <v>4621.51016500266</v>
      </c>
      <c r="AV297" s="181" t="n">
        <f aca="false">MAX(0,AQ297-AU297-AQ297*$D$25)</f>
        <v>769542.645006562</v>
      </c>
      <c r="AW297" s="180" t="n">
        <f aca="false">AV297/$D297</f>
        <v>355830.921647638</v>
      </c>
      <c r="AY297" s="180" t="n">
        <f aca="false">BF296</f>
        <v>1106239.78600599</v>
      </c>
      <c r="AZ297" s="180" t="n">
        <f aca="false">IF($E$9=0,0,IF($A297&gt;IN_PRAZO,0,IF(APORTE_CORRIGIDO="Sim",IN_APORTE*$D297,IN_APORTE))+IF(AND($E$35=1,PGBL_REINVESTE="Sim",$A297&gt;=13,$A297&lt;=IN_PRAZO,MONTH($B297)=5),PGBL_BENEFICIO,0))</f>
        <v>0</v>
      </c>
      <c r="BA297" s="180" t="n">
        <f aca="false">AZ297*$E$24</f>
        <v>0</v>
      </c>
      <c r="BB297" s="180" t="n">
        <f aca="false">AY297*$E$19</f>
        <v>10828.6995615049</v>
      </c>
      <c r="BC297" s="180" t="n">
        <f aca="false">AY297*$E$22</f>
        <v>1382.79973250749</v>
      </c>
      <c r="BD297" s="180" t="n">
        <f aca="false">$E$23*MAX(0,BB297-AY297*$E$18)</f>
        <v>0</v>
      </c>
      <c r="BE297" s="180" t="n">
        <f aca="false">IF(AND($E$27=1,OR(MONTH($B297)=5,MONTH($B297)=11)),MAX(0,$E$28*MAX(0,(AY297+BB297-BC297-BD297+AZ297-BA297)+BH296-BG297)-BH296),0)</f>
        <v>0</v>
      </c>
      <c r="BF297" s="181" t="n">
        <f aca="false">AY297+BB297-BC297-BD297+AZ297-BA297-BE297</f>
        <v>1115685.68583499</v>
      </c>
      <c r="BG297" s="180" t="n">
        <f aca="false">BG296+AZ297-BA297</f>
        <v>150000</v>
      </c>
      <c r="BH297" s="180" t="n">
        <f aca="false">BH296+BE297</f>
        <v>0</v>
      </c>
      <c r="BI297" s="180" t="n">
        <f aca="false">BF297+BH297-BG297</f>
        <v>965685.685834986</v>
      </c>
      <c r="BJ297" s="180" t="n">
        <f aca="false">MAX(0,IFERROR(INDEX(TAB_IR,MATCH($C297,TAB_IR_DIAS,1),MATCH($E$8,TAB_IR_REGIMES,0)),0)*IF($E$26=2,BF297,MAX(0,BI297))-BH297)</f>
        <v>96568.5685834986</v>
      </c>
      <c r="BK297" s="181" t="n">
        <f aca="false">MAX(0,BF297-BJ297-BF297*$E$25)</f>
        <v>1019117.11725149</v>
      </c>
      <c r="BL297" s="180" t="n">
        <f aca="false">BK297/$D297</f>
        <v>471232.342289995</v>
      </c>
      <c r="BN297" s="180" t="n">
        <f aca="false">BU296</f>
        <v>1106239.78600599</v>
      </c>
      <c r="BO297" s="180" t="n">
        <f aca="false">IF($F$9=0,0,IF($A297&gt;IN_PRAZO,0,IF(APORTE_CORRIGIDO="Sim",IN_APORTE*$D297,IN_APORTE))+IF(AND($F$35=1,PGBL_REINVESTE="Sim",$A297&gt;=13,$A297&lt;=IN_PRAZO,MONTH($B297)=5),PGBL_BENEFICIO,0))</f>
        <v>0</v>
      </c>
      <c r="BP297" s="180" t="n">
        <f aca="false">BO297*$F$24</f>
        <v>0</v>
      </c>
      <c r="BQ297" s="180" t="n">
        <f aca="false">BN297*$F$19</f>
        <v>10828.6995615049</v>
      </c>
      <c r="BR297" s="180" t="n">
        <f aca="false">BN297*$F$22</f>
        <v>1382.79973250749</v>
      </c>
      <c r="BS297" s="180" t="n">
        <f aca="false">$F$23*MAX(0,BQ297-BN297*$F$18)</f>
        <v>0</v>
      </c>
      <c r="BT297" s="180" t="n">
        <f aca="false">IF(AND($F$27=1,OR(MONTH($B297)=5,MONTH($B297)=11)),MAX(0,$F$28*MAX(0,(BN297+BQ297-BR297-BS297+BO297-BP297)+BW296-BV297)-BW296),0)</f>
        <v>0</v>
      </c>
      <c r="BU297" s="181" t="n">
        <f aca="false">BN297+BQ297-BR297-BS297+BO297-BP297-BT297</f>
        <v>1115685.68583499</v>
      </c>
      <c r="BV297" s="180" t="n">
        <f aca="false">BV296+BO297-BP297</f>
        <v>150000</v>
      </c>
      <c r="BW297" s="180" t="n">
        <f aca="false">BW296+BT297</f>
        <v>0</v>
      </c>
      <c r="BX297" s="180" t="n">
        <f aca="false">BU297+BW297-BV297</f>
        <v>965685.685834986</v>
      </c>
      <c r="BY297" s="180" t="n">
        <f aca="false">MAX(0,IFERROR(INDEX(TAB_IR,MATCH($C297,TAB_IR_DIAS,1),MATCH($F$8,TAB_IR_REGIMES,0)),0)*IF($F$26=2,BU297,MAX(0,BX297))-BW297)</f>
        <v>111568.568583499</v>
      </c>
      <c r="BZ297" s="181" t="n">
        <f aca="false">MAX(0,BU297-BY297-BU297*$F$25)</f>
        <v>1004117.11725149</v>
      </c>
      <c r="CA297" s="180" t="n">
        <f aca="false">BZ297/$D297</f>
        <v>464296.451395126</v>
      </c>
      <c r="CC297" s="180" t="n">
        <f aca="false">CJ296</f>
        <v>650184.93278153</v>
      </c>
      <c r="CD297" s="180" t="n">
        <f aca="false">IF($G$9=0,0,IF($A297&gt;IN_PRAZO,0,IF(APORTE_CORRIGIDO="Sim",IN_APORTE*$D297,IN_APORTE))+IF(AND($G$35=1,PGBL_REINVESTE="Sim",$A297&gt;=13,$A297&lt;=IN_PRAZO,MONTH($B297)=5),PGBL_BENEFICIO,0))</f>
        <v>0</v>
      </c>
      <c r="CE297" s="180" t="n">
        <f aca="false">CD297*$G$24</f>
        <v>0</v>
      </c>
      <c r="CF297" s="180" t="n">
        <f aca="false">CC297*$G$19</f>
        <v>5303.70507534561</v>
      </c>
      <c r="CG297" s="180" t="n">
        <f aca="false">CC297*$G$22</f>
        <v>541.820777317942</v>
      </c>
      <c r="CH297" s="180" t="n">
        <f aca="false">$G$23*MAX(0,CF297-CC297*$G$18)</f>
        <v>0</v>
      </c>
      <c r="CI297" s="180" t="n">
        <f aca="false">IF(AND($G$27=1,OR(MONTH($B297)=5,MONTH($B297)=11)),MAX(0,$G$28*MAX(0,(CC297+CF297-CG297-CH297+CD297-CE297)+CL296-CK297)-CL296),0)</f>
        <v>0</v>
      </c>
      <c r="CJ297" s="181" t="n">
        <f aca="false">CC297+CF297-CG297-CH297+CD297-CE297-CI297</f>
        <v>654946.817079558</v>
      </c>
      <c r="CK297" s="180" t="n">
        <f aca="false">CK296+CD297-CE297</f>
        <v>150000</v>
      </c>
      <c r="CL297" s="180" t="n">
        <f aca="false">CL296+CI297</f>
        <v>84967.2541908491</v>
      </c>
      <c r="CM297" s="180" t="n">
        <f aca="false">CJ297+CL297-CK297</f>
        <v>589914.071270407</v>
      </c>
      <c r="CN297" s="180" t="n">
        <f aca="false">MAX(0,IFERROR(INDEX(TAB_IR,MATCH($C297,TAB_IR_DIAS,1),MATCH($G$8,TAB_IR_REGIMES,0)),0)*IF($G$26=2,CJ297,MAX(0,CM297))-CL297)</f>
        <v>3519.85649971187</v>
      </c>
      <c r="CO297" s="181" t="n">
        <f aca="false">MAX(0,CJ297-CN297-CJ297*$G$25)</f>
        <v>651426.960579846</v>
      </c>
      <c r="CP297" s="180" t="n">
        <f aca="false">CO297/$D297</f>
        <v>301215.088303871</v>
      </c>
    </row>
    <row r="298" customFormat="false" ht="12" hidden="false" customHeight="true" outlineLevel="0" collapsed="false">
      <c r="A298" s="177" t="n">
        <v>237</v>
      </c>
      <c r="B298" s="178" t="n">
        <f aca="false">EDATE(DATA_INICIO,$A298)</f>
        <v>53470</v>
      </c>
      <c r="C298" s="177" t="n">
        <f aca="false">$A298*30</f>
        <v>7110</v>
      </c>
      <c r="D298" s="179" t="n">
        <f aca="false">(1+IPCA_CENARIO)^($A298/12)</f>
        <v>2.16974377550626</v>
      </c>
      <c r="F298" s="180" t="n">
        <f aca="false">M297</f>
        <v>1340055.00330679</v>
      </c>
      <c r="G298" s="180" t="n">
        <f aca="false">IF($B$9=0,0,IF($A298&gt;IN_PRAZO,0,IF(APORTE_CORRIGIDO="Sim",IN_APORTE*$D298,IN_APORTE))+IF(AND($B$35=1,PGBL_REINVESTE="Sim",$A298&gt;=13,$A298&lt;=IN_PRAZO,MONTH($B298)=5),PGBL_BENEFICIO,0))</f>
        <v>0</v>
      </c>
      <c r="H298" s="180" t="n">
        <f aca="false">G298*$B$24</f>
        <v>0</v>
      </c>
      <c r="I298" s="180" t="n">
        <f aca="false">F298*$B$19</f>
        <v>12715.5044473301</v>
      </c>
      <c r="J298" s="180" t="n">
        <f aca="false">F298*$B$22</f>
        <v>223.342500551131</v>
      </c>
      <c r="K298" s="180" t="n">
        <f aca="false">$B$23*MAX(0,I298-F298*$B$18)</f>
        <v>0</v>
      </c>
      <c r="L298" s="180" t="n">
        <f aca="false">IF(AND($B$27=1,OR(MONTH($B298)=5,MONTH($B298)=11)),MAX(0,$B$28*MAX(0,(F298+I298-J298-K298+G298-H298)+O297-N298)-O297),0)</f>
        <v>0</v>
      </c>
      <c r="M298" s="181" t="n">
        <f aca="false">F298+I298-J298-K298+G298-H298-L298</f>
        <v>1352547.16525357</v>
      </c>
      <c r="N298" s="180" t="n">
        <f aca="false">N297+G298-H298</f>
        <v>150000</v>
      </c>
      <c r="O298" s="180" t="n">
        <f aca="false">O297+L298</f>
        <v>0</v>
      </c>
      <c r="P298" s="180" t="n">
        <f aca="false">M298+O298-N298</f>
        <v>1202547.16525357</v>
      </c>
      <c r="Q298" s="180" t="n">
        <f aca="false">MAX(0,IFERROR(INDEX(TAB_IR,MATCH($C298,TAB_IR_DIAS,1),MATCH($B$8,TAB_IR_REGIMES,0)),0)*IF($B$26=2,M298,MAX(0,P298))-O298)</f>
        <v>180382.074788035</v>
      </c>
      <c r="R298" s="181" t="n">
        <f aca="false">MAX(0,M298-Q298-M298*$B$25)</f>
        <v>1172165.09046553</v>
      </c>
      <c r="S298" s="180" t="n">
        <f aca="false">R298/$D298</f>
        <v>540232.032785545</v>
      </c>
      <c r="U298" s="180" t="n">
        <f aca="false">AB297</f>
        <v>981334.004749612</v>
      </c>
      <c r="V298" s="180" t="n">
        <f aca="false">IF($C$9=0,0,IF($A298&gt;IN_PRAZO,0,IF(APORTE_CORRIGIDO="Sim",IN_APORTE*$D298,IN_APORTE))+IF(AND($C$35=1,PGBL_REINVESTE="Sim",$A298&gt;=13,$A298&lt;=IN_PRAZO,MONTH($B298)=5),PGBL_BENEFICIO,0))</f>
        <v>0</v>
      </c>
      <c r="W298" s="180" t="n">
        <f aca="false">V298*$C$24</f>
        <v>0</v>
      </c>
      <c r="X298" s="180" t="n">
        <f aca="false">U298*$C$19</f>
        <v>8004.96271012265</v>
      </c>
      <c r="Y298" s="180" t="n">
        <f aca="false">U298*$C$22</f>
        <v>163.555667458269</v>
      </c>
      <c r="Z298" s="180" t="n">
        <f aca="false">$C$23*MAX(0,X298-U298*$C$18)</f>
        <v>0</v>
      </c>
      <c r="AA298" s="180" t="n">
        <f aca="false">IF(AND($C$27=1,OR(MONTH($B298)=5,MONTH($B298)=11)),MAX(0,$C$28*MAX(0,(U298+X298-Y298-Z298+V298-W298)+AD297-AC298)-AD297),0)</f>
        <v>0</v>
      </c>
      <c r="AB298" s="181" t="n">
        <f aca="false">U298+X298-Y298-Z298+V298-W298-AA298</f>
        <v>989175.411792277</v>
      </c>
      <c r="AC298" s="180" t="n">
        <f aca="false">AC297+V298-W298</f>
        <v>150000</v>
      </c>
      <c r="AD298" s="180" t="n">
        <f aca="false">AD297+AA298</f>
        <v>0</v>
      </c>
      <c r="AE298" s="180" t="n">
        <f aca="false">AB298+AD298-AC298</f>
        <v>839175.411792277</v>
      </c>
      <c r="AF298" s="180" t="n">
        <f aca="false">MAX(0,IFERROR(INDEX(TAB_IR,MATCH($C298,TAB_IR_DIAS,1),MATCH($C$8,TAB_IR_REGIMES,0)),0)*IF($C$26=2,AB298,MAX(0,AE298))-AD298)</f>
        <v>125876.311768841</v>
      </c>
      <c r="AG298" s="181" t="n">
        <f aca="false">MAX(0,AB298-AF298-AB298*$C$25)</f>
        <v>863299.100023435</v>
      </c>
      <c r="AH298" s="180" t="n">
        <f aca="false">AG298/$D298</f>
        <v>397880.666726191</v>
      </c>
      <c r="AJ298" s="180" t="n">
        <f aca="false">AQ297</f>
        <v>774164.155171565</v>
      </c>
      <c r="AK298" s="180" t="n">
        <f aca="false">IF($D$9=0,0,IF($A298&gt;IN_PRAZO,0,IF(APORTE_CORRIGIDO="Sim",IN_APORTE*$D298,IN_APORTE))+IF(AND($D$35=1,PGBL_REINVESTE="Sim",$A298&gt;=13,$A298&lt;=IN_PRAZO,MONTH($B298)=5),PGBL_BENEFICIO,0))</f>
        <v>0</v>
      </c>
      <c r="AL298" s="180" t="n">
        <f aca="false">AK298*$D$24</f>
        <v>0</v>
      </c>
      <c r="AM298" s="180" t="n">
        <f aca="false">AJ298*$D$19</f>
        <v>6958.72705745498</v>
      </c>
      <c r="AN298" s="180" t="n">
        <f aca="false">AJ298*$D$22</f>
        <v>645.136795976304</v>
      </c>
      <c r="AO298" s="180" t="n">
        <f aca="false">$D$23*MAX(0,AM298-AJ298*$D$18)</f>
        <v>0</v>
      </c>
      <c r="AP298" s="180" t="n">
        <f aca="false">IF(AND($D$27=1,OR(MONTH($B298)=5,MONTH($B298)=11)),MAX(0,$D$28*MAX(0,(AJ298+AM298-AN298-AO298+AK298-AL298)+AS297-AR298)-AS297),0)</f>
        <v>5568.54870422446</v>
      </c>
      <c r="AQ298" s="181" t="n">
        <f aca="false">AJ298+AM298-AN298-AO298+AK298-AL298-AP298</f>
        <v>774909.196728819</v>
      </c>
      <c r="AR298" s="180" t="n">
        <f aca="false">AR297+AK298-AL298</f>
        <v>150000</v>
      </c>
      <c r="AS298" s="180" t="n">
        <f aca="false">AS297+AP298</f>
        <v>110278.09354038</v>
      </c>
      <c r="AT298" s="180" t="n">
        <f aca="false">AQ298+AS298-AR298</f>
        <v>735187.290269199</v>
      </c>
      <c r="AU298" s="180" t="n">
        <f aca="false">MAX(0,IFERROR(INDEX(TAB_IR,MATCH($C298,TAB_IR_DIAS,1),MATCH($D$8,TAB_IR_REGIMES,0)),0)*IF($D$26=2,AQ298,MAX(0,AT298))-AS298)</f>
        <v>0</v>
      </c>
      <c r="AV298" s="181" t="n">
        <f aca="false">MAX(0,AQ298-AU298-AQ298*$D$25)</f>
        <v>774909.196728819</v>
      </c>
      <c r="AW298" s="180" t="n">
        <f aca="false">AV298/$D298</f>
        <v>357143.182285664</v>
      </c>
      <c r="AY298" s="180" t="n">
        <f aca="false">BF297</f>
        <v>1115685.68583499</v>
      </c>
      <c r="AZ298" s="180" t="n">
        <f aca="false">IF($E$9=0,0,IF($A298&gt;IN_PRAZO,0,IF(APORTE_CORRIGIDO="Sim",IN_APORTE*$D298,IN_APORTE))+IF(AND($E$35=1,PGBL_REINVESTE="Sim",$A298&gt;=13,$A298&lt;=IN_PRAZO,MONTH($B298)=5),PGBL_BENEFICIO,0))</f>
        <v>0</v>
      </c>
      <c r="BA298" s="180" t="n">
        <f aca="false">AZ298*$E$24</f>
        <v>0</v>
      </c>
      <c r="BB298" s="180" t="n">
        <f aca="false">AY298*$E$19</f>
        <v>10921.1630695348</v>
      </c>
      <c r="BC298" s="180" t="n">
        <f aca="false">AY298*$E$22</f>
        <v>1394.60710729373</v>
      </c>
      <c r="BD298" s="180" t="n">
        <f aca="false">$E$23*MAX(0,BB298-AY298*$E$18)</f>
        <v>0</v>
      </c>
      <c r="BE298" s="180" t="n">
        <f aca="false">IF(AND($E$27=1,OR(MONTH($B298)=5,MONTH($B298)=11)),MAX(0,$E$28*MAX(0,(AY298+BB298-BC298-BD298+AZ298-BA298)+BH297-BG298)-BH297),0)</f>
        <v>0</v>
      </c>
      <c r="BF298" s="181" t="n">
        <f aca="false">AY298+BB298-BC298-BD298+AZ298-BA298-BE298</f>
        <v>1125212.24179723</v>
      </c>
      <c r="BG298" s="180" t="n">
        <f aca="false">BG297+AZ298-BA298</f>
        <v>150000</v>
      </c>
      <c r="BH298" s="180" t="n">
        <f aca="false">BH297+BE298</f>
        <v>0</v>
      </c>
      <c r="BI298" s="180" t="n">
        <f aca="false">BF298+BH298-BG298</f>
        <v>975212.241797227</v>
      </c>
      <c r="BJ298" s="180" t="n">
        <f aca="false">MAX(0,IFERROR(INDEX(TAB_IR,MATCH($C298,TAB_IR_DIAS,1),MATCH($E$8,TAB_IR_REGIMES,0)),0)*IF($E$26=2,BF298,MAX(0,BI298))-BH298)</f>
        <v>97521.2241797227</v>
      </c>
      <c r="BK298" s="181" t="n">
        <f aca="false">MAX(0,BF298-BJ298-BF298*$E$25)</f>
        <v>1027691.0176175</v>
      </c>
      <c r="BL298" s="180" t="n">
        <f aca="false">BK298/$D298</f>
        <v>473646.256861695</v>
      </c>
      <c r="BN298" s="180" t="n">
        <f aca="false">BU297</f>
        <v>1115685.68583499</v>
      </c>
      <c r="BO298" s="180" t="n">
        <f aca="false">IF($F$9=0,0,IF($A298&gt;IN_PRAZO,0,IF(APORTE_CORRIGIDO="Sim",IN_APORTE*$D298,IN_APORTE))+IF(AND($F$35=1,PGBL_REINVESTE="Sim",$A298&gt;=13,$A298&lt;=IN_PRAZO,MONTH($B298)=5),PGBL_BENEFICIO,0))</f>
        <v>0</v>
      </c>
      <c r="BP298" s="180" t="n">
        <f aca="false">BO298*$F$24</f>
        <v>0</v>
      </c>
      <c r="BQ298" s="180" t="n">
        <f aca="false">BN298*$F$19</f>
        <v>10921.1630695348</v>
      </c>
      <c r="BR298" s="180" t="n">
        <f aca="false">BN298*$F$22</f>
        <v>1394.60710729373</v>
      </c>
      <c r="BS298" s="180" t="n">
        <f aca="false">$F$23*MAX(0,BQ298-BN298*$F$18)</f>
        <v>0</v>
      </c>
      <c r="BT298" s="180" t="n">
        <f aca="false">IF(AND($F$27=1,OR(MONTH($B298)=5,MONTH($B298)=11)),MAX(0,$F$28*MAX(0,(BN298+BQ298-BR298-BS298+BO298-BP298)+BW297-BV298)-BW297),0)</f>
        <v>0</v>
      </c>
      <c r="BU298" s="181" t="n">
        <f aca="false">BN298+BQ298-BR298-BS298+BO298-BP298-BT298</f>
        <v>1125212.24179723</v>
      </c>
      <c r="BV298" s="180" t="n">
        <f aca="false">BV297+BO298-BP298</f>
        <v>150000</v>
      </c>
      <c r="BW298" s="180" t="n">
        <f aca="false">BW297+BT298</f>
        <v>0</v>
      </c>
      <c r="BX298" s="180" t="n">
        <f aca="false">BU298+BW298-BV298</f>
        <v>975212.241797227</v>
      </c>
      <c r="BY298" s="180" t="n">
        <f aca="false">MAX(0,IFERROR(INDEX(TAB_IR,MATCH($C298,TAB_IR_DIAS,1),MATCH($F$8,TAB_IR_REGIMES,0)),0)*IF($F$26=2,BU298,MAX(0,BX298))-BW298)</f>
        <v>112521.224179723</v>
      </c>
      <c r="BZ298" s="181" t="n">
        <f aca="false">MAX(0,BU298-BY298-BU298*$F$25)</f>
        <v>1012691.0176175</v>
      </c>
      <c r="CA298" s="180" t="n">
        <f aca="false">BZ298/$D298</f>
        <v>466732.998176807</v>
      </c>
      <c r="CC298" s="180" t="n">
        <f aca="false">CJ297</f>
        <v>654946.817079558</v>
      </c>
      <c r="CD298" s="180" t="n">
        <f aca="false">IF($G$9=0,0,IF($A298&gt;IN_PRAZO,0,IF(APORTE_CORRIGIDO="Sim",IN_APORTE*$D298,IN_APORTE))+IF(AND($G$35=1,PGBL_REINVESTE="Sim",$A298&gt;=13,$A298&lt;=IN_PRAZO,MONTH($B298)=5),PGBL_BENEFICIO,0))</f>
        <v>0</v>
      </c>
      <c r="CE298" s="180" t="n">
        <f aca="false">CD298*$G$24</f>
        <v>0</v>
      </c>
      <c r="CF298" s="180" t="n">
        <f aca="false">CC298*$G$19</f>
        <v>5342.54883909081</v>
      </c>
      <c r="CG298" s="180" t="n">
        <f aca="false">CC298*$G$22</f>
        <v>545.789014232965</v>
      </c>
      <c r="CH298" s="180" t="n">
        <f aca="false">$G$23*MAX(0,CF298-CC298*$G$18)</f>
        <v>0</v>
      </c>
      <c r="CI298" s="180" t="n">
        <f aca="false">IF(AND($G$27=1,OR(MONTH($B298)=5,MONTH($B298)=11)),MAX(0,$G$28*MAX(0,(CC298+CF298-CG298-CH298+CD298-CE298)+CL297-CK298)-CL297),0)</f>
        <v>4239.37047344055</v>
      </c>
      <c r="CJ298" s="181" t="n">
        <f aca="false">CC298+CF298-CG298-CH298+CD298-CE298-CI298</f>
        <v>655504.206430975</v>
      </c>
      <c r="CK298" s="180" t="n">
        <f aca="false">CK297+CD298-CE298</f>
        <v>150000</v>
      </c>
      <c r="CL298" s="180" t="n">
        <f aca="false">CL297+CI298</f>
        <v>89206.6246642897</v>
      </c>
      <c r="CM298" s="180" t="n">
        <f aca="false">CJ298+CL298-CK298</f>
        <v>594710.831095265</v>
      </c>
      <c r="CN298" s="180" t="n">
        <f aca="false">MAX(0,IFERROR(INDEX(TAB_IR,MATCH($C298,TAB_IR_DIAS,1),MATCH($G$8,TAB_IR_REGIMES,0)),0)*IF($G$26=2,CJ298,MAX(0,CM298))-CL298)</f>
        <v>0</v>
      </c>
      <c r="CO298" s="181" t="n">
        <f aca="false">MAX(0,CJ298-CN298-CJ298*$G$25)</f>
        <v>655504.206430975</v>
      </c>
      <c r="CP298" s="180" t="n">
        <f aca="false">CO298/$D298</f>
        <v>302111.343205963</v>
      </c>
    </row>
    <row r="299" customFormat="false" ht="12" hidden="false" customHeight="true" outlineLevel="0" collapsed="false">
      <c r="A299" s="177" t="n">
        <v>238</v>
      </c>
      <c r="B299" s="178" t="n">
        <f aca="false">EDATE(DATA_INICIO,$A299)</f>
        <v>53501</v>
      </c>
      <c r="C299" s="177" t="n">
        <f aca="false">$A299*30</f>
        <v>7140</v>
      </c>
      <c r="D299" s="179" t="n">
        <f aca="false">(1+IPCA_CENARIO)^($A299/12)</f>
        <v>2.17684695202132</v>
      </c>
      <c r="F299" s="180" t="n">
        <f aca="false">M298</f>
        <v>1352547.16525357</v>
      </c>
      <c r="G299" s="180" t="n">
        <f aca="false">IF($B$9=0,0,IF($A299&gt;IN_PRAZO,0,IF(APORTE_CORRIGIDO="Sim",IN_APORTE*$D299,IN_APORTE))+IF(AND($B$35=1,PGBL_REINVESTE="Sim",$A299&gt;=13,$A299&lt;=IN_PRAZO,MONTH($B299)=5),PGBL_BENEFICIO,0))</f>
        <v>0</v>
      </c>
      <c r="H299" s="180" t="n">
        <f aca="false">G299*$B$24</f>
        <v>0</v>
      </c>
      <c r="I299" s="180" t="n">
        <f aca="false">F299*$B$19</f>
        <v>12834.0399853484</v>
      </c>
      <c r="J299" s="180" t="n">
        <f aca="false">F299*$B$22</f>
        <v>225.424527542261</v>
      </c>
      <c r="K299" s="180" t="n">
        <f aca="false">$B$23*MAX(0,I299-F299*$B$18)</f>
        <v>0</v>
      </c>
      <c r="L299" s="180" t="n">
        <f aca="false">IF(AND($B$27=1,OR(MONTH($B299)=5,MONTH($B299)=11)),MAX(0,$B$28*MAX(0,(F299+I299-J299-K299+G299-H299)+O298-N299)-O298),0)</f>
        <v>0</v>
      </c>
      <c r="M299" s="181" t="n">
        <f aca="false">F299+I299-J299-K299+G299-H299-L299</f>
        <v>1365155.78071137</v>
      </c>
      <c r="N299" s="180" t="n">
        <f aca="false">N298+G299-H299</f>
        <v>150000</v>
      </c>
      <c r="O299" s="180" t="n">
        <f aca="false">O298+L299</f>
        <v>0</v>
      </c>
      <c r="P299" s="180" t="n">
        <f aca="false">M299+O299-N299</f>
        <v>1215155.78071137</v>
      </c>
      <c r="Q299" s="180" t="n">
        <f aca="false">MAX(0,IFERROR(INDEX(TAB_IR,MATCH($C299,TAB_IR_DIAS,1),MATCH($B$8,TAB_IR_REGIMES,0)),0)*IF($B$26=2,M299,MAX(0,P299))-O299)</f>
        <v>182273.367106706</v>
      </c>
      <c r="R299" s="181" t="n">
        <f aca="false">MAX(0,M299-Q299-M299*$B$25)</f>
        <v>1182882.41360467</v>
      </c>
      <c r="S299" s="180" t="n">
        <f aca="false">R299/$D299</f>
        <v>543392.548799216</v>
      </c>
      <c r="U299" s="180" t="n">
        <f aca="false">AB298</f>
        <v>989175.411792277</v>
      </c>
      <c r="V299" s="180" t="n">
        <f aca="false">IF($C$9=0,0,IF($A299&gt;IN_PRAZO,0,IF(APORTE_CORRIGIDO="Sim",IN_APORTE*$D299,IN_APORTE))+IF(AND($C$35=1,PGBL_REINVESTE="Sim",$A299&gt;=13,$A299&lt;=IN_PRAZO,MONTH($B299)=5),PGBL_BENEFICIO,0))</f>
        <v>0</v>
      </c>
      <c r="W299" s="180" t="n">
        <f aca="false">V299*$C$24</f>
        <v>0</v>
      </c>
      <c r="X299" s="180" t="n">
        <f aca="false">U299*$C$19</f>
        <v>8068.92683514799</v>
      </c>
      <c r="Y299" s="180" t="n">
        <f aca="false">U299*$C$22</f>
        <v>164.862568632046</v>
      </c>
      <c r="Z299" s="180" t="n">
        <f aca="false">$C$23*MAX(0,X299-U299*$C$18)</f>
        <v>0</v>
      </c>
      <c r="AA299" s="180" t="n">
        <f aca="false">IF(AND($C$27=1,OR(MONTH($B299)=5,MONTH($B299)=11)),MAX(0,$C$28*MAX(0,(U299+X299-Y299-Z299+V299-W299)+AD298-AC299)-AD298),0)</f>
        <v>0</v>
      </c>
      <c r="AB299" s="181" t="n">
        <f aca="false">U299+X299-Y299-Z299+V299-W299-AA299</f>
        <v>997079.476058793</v>
      </c>
      <c r="AC299" s="180" t="n">
        <f aca="false">AC298+V299-W299</f>
        <v>150000</v>
      </c>
      <c r="AD299" s="180" t="n">
        <f aca="false">AD298+AA299</f>
        <v>0</v>
      </c>
      <c r="AE299" s="180" t="n">
        <f aca="false">AB299+AD299-AC299</f>
        <v>847079.476058793</v>
      </c>
      <c r="AF299" s="180" t="n">
        <f aca="false">MAX(0,IFERROR(INDEX(TAB_IR,MATCH($C299,TAB_IR_DIAS,1),MATCH($C$8,TAB_IR_REGIMES,0)),0)*IF($C$26=2,AB299,MAX(0,AE299))-AD299)</f>
        <v>127061.921408819</v>
      </c>
      <c r="AG299" s="181" t="n">
        <f aca="false">MAX(0,AB299-AF299-AB299*$C$25)</f>
        <v>870017.554649974</v>
      </c>
      <c r="AH299" s="180" t="n">
        <f aca="false">AG299/$D299</f>
        <v>399668.683111652</v>
      </c>
      <c r="AJ299" s="180" t="n">
        <f aca="false">AQ298</f>
        <v>774909.196728819</v>
      </c>
      <c r="AK299" s="180" t="n">
        <f aca="false">IF($D$9=0,0,IF($A299&gt;IN_PRAZO,0,IF(APORTE_CORRIGIDO="Sim",IN_APORTE*$D299,IN_APORTE))+IF(AND($D$35=1,PGBL_REINVESTE="Sim",$A299&gt;=13,$A299&lt;=IN_PRAZO,MONTH($B299)=5),PGBL_BENEFICIO,0))</f>
        <v>0</v>
      </c>
      <c r="AL299" s="180" t="n">
        <f aca="false">AK299*$D$24</f>
        <v>0</v>
      </c>
      <c r="AM299" s="180" t="n">
        <f aca="false">AJ299*$D$19</f>
        <v>6965.42401030246</v>
      </c>
      <c r="AN299" s="180" t="n">
        <f aca="false">AJ299*$D$22</f>
        <v>645.757663940683</v>
      </c>
      <c r="AO299" s="180" t="n">
        <f aca="false">$D$23*MAX(0,AM299-AJ299*$D$18)</f>
        <v>0</v>
      </c>
      <c r="AP299" s="180" t="n">
        <f aca="false">IF(AND($D$27=1,OR(MONTH($B299)=5,MONTH($B299)=11)),MAX(0,$D$28*MAX(0,(AJ299+AM299-AN299-AO299+AK299-AL299)+AS298-AR299)-AS298),0)</f>
        <v>0</v>
      </c>
      <c r="AQ299" s="181" t="n">
        <f aca="false">AJ299+AM299-AN299-AO299+AK299-AL299-AP299</f>
        <v>781228.863075181</v>
      </c>
      <c r="AR299" s="180" t="n">
        <f aca="false">AR298+AK299-AL299</f>
        <v>150000</v>
      </c>
      <c r="AS299" s="180" t="n">
        <f aca="false">AS298+AP299</f>
        <v>110278.09354038</v>
      </c>
      <c r="AT299" s="180" t="n">
        <f aca="false">AQ299+AS299-AR299</f>
        <v>741506.956615561</v>
      </c>
      <c r="AU299" s="180" t="n">
        <f aca="false">MAX(0,IFERROR(INDEX(TAB_IR,MATCH($C299,TAB_IR_DIAS,1),MATCH($D$8,TAB_IR_REGIMES,0)),0)*IF($D$26=2,AQ299,MAX(0,AT299))-AS299)</f>
        <v>947.949951954259</v>
      </c>
      <c r="AV299" s="181" t="n">
        <f aca="false">MAX(0,AQ299-AU299-AQ299*$D$25)</f>
        <v>780280.913123227</v>
      </c>
      <c r="AW299" s="180" t="n">
        <f aca="false">AV299/$D299</f>
        <v>358445.462782165</v>
      </c>
      <c r="AY299" s="180" t="n">
        <f aca="false">BF298</f>
        <v>1125212.24179723</v>
      </c>
      <c r="AZ299" s="180" t="n">
        <f aca="false">IF($E$9=0,0,IF($A299&gt;IN_PRAZO,0,IF(APORTE_CORRIGIDO="Sim",IN_APORTE*$D299,IN_APORTE))+IF(AND($E$35=1,PGBL_REINVESTE="Sim",$A299&gt;=13,$A299&lt;=IN_PRAZO,MONTH($B299)=5),PGBL_BENEFICIO,0))</f>
        <v>0</v>
      </c>
      <c r="BA299" s="180" t="n">
        <f aca="false">AZ299*$E$24</f>
        <v>0</v>
      </c>
      <c r="BB299" s="180" t="n">
        <f aca="false">AY299*$E$19</f>
        <v>11014.4160999139</v>
      </c>
      <c r="BC299" s="180" t="n">
        <f aca="false">AY299*$E$22</f>
        <v>1406.51530224653</v>
      </c>
      <c r="BD299" s="180" t="n">
        <f aca="false">$E$23*MAX(0,BB299-AY299*$E$18)</f>
        <v>0</v>
      </c>
      <c r="BE299" s="180" t="n">
        <f aca="false">IF(AND($E$27=1,OR(MONTH($B299)=5,MONTH($B299)=11)),MAX(0,$E$28*MAX(0,(AY299+BB299-BC299-BD299+AZ299-BA299)+BH298-BG299)-BH298),0)</f>
        <v>0</v>
      </c>
      <c r="BF299" s="181" t="n">
        <f aca="false">AY299+BB299-BC299-BD299+AZ299-BA299-BE299</f>
        <v>1134820.14259489</v>
      </c>
      <c r="BG299" s="180" t="n">
        <f aca="false">BG298+AZ299-BA299</f>
        <v>150000</v>
      </c>
      <c r="BH299" s="180" t="n">
        <f aca="false">BH298+BE299</f>
        <v>0</v>
      </c>
      <c r="BI299" s="180" t="n">
        <f aca="false">BF299+BH299-BG299</f>
        <v>984820.142594894</v>
      </c>
      <c r="BJ299" s="180" t="n">
        <f aca="false">MAX(0,IFERROR(INDEX(TAB_IR,MATCH($C299,TAB_IR_DIAS,1),MATCH($E$8,TAB_IR_REGIMES,0)),0)*IF($E$26=2,BF299,MAX(0,BI299))-BH299)</f>
        <v>98482.0142594894</v>
      </c>
      <c r="BK299" s="181" t="n">
        <f aca="false">MAX(0,BF299-BJ299-BF299*$E$25)</f>
        <v>1036338.1283354</v>
      </c>
      <c r="BL299" s="180" t="n">
        <f aca="false">BK299/$D299</f>
        <v>476073.031856057</v>
      </c>
      <c r="BN299" s="180" t="n">
        <f aca="false">BU298</f>
        <v>1125212.24179723</v>
      </c>
      <c r="BO299" s="180" t="n">
        <f aca="false">IF($F$9=0,0,IF($A299&gt;IN_PRAZO,0,IF(APORTE_CORRIGIDO="Sim",IN_APORTE*$D299,IN_APORTE))+IF(AND($F$35=1,PGBL_REINVESTE="Sim",$A299&gt;=13,$A299&lt;=IN_PRAZO,MONTH($B299)=5),PGBL_BENEFICIO,0))</f>
        <v>0</v>
      </c>
      <c r="BP299" s="180" t="n">
        <f aca="false">BO299*$F$24</f>
        <v>0</v>
      </c>
      <c r="BQ299" s="180" t="n">
        <f aca="false">BN299*$F$19</f>
        <v>11014.4160999139</v>
      </c>
      <c r="BR299" s="180" t="n">
        <f aca="false">BN299*$F$22</f>
        <v>1406.51530224653</v>
      </c>
      <c r="BS299" s="180" t="n">
        <f aca="false">$F$23*MAX(0,BQ299-BN299*$F$18)</f>
        <v>0</v>
      </c>
      <c r="BT299" s="180" t="n">
        <f aca="false">IF(AND($F$27=1,OR(MONTH($B299)=5,MONTH($B299)=11)),MAX(0,$F$28*MAX(0,(BN299+BQ299-BR299-BS299+BO299-BP299)+BW298-BV299)-BW298),0)</f>
        <v>0</v>
      </c>
      <c r="BU299" s="181" t="n">
        <f aca="false">BN299+BQ299-BR299-BS299+BO299-BP299-BT299</f>
        <v>1134820.14259489</v>
      </c>
      <c r="BV299" s="180" t="n">
        <f aca="false">BV298+BO299-BP299</f>
        <v>150000</v>
      </c>
      <c r="BW299" s="180" t="n">
        <f aca="false">BW298+BT299</f>
        <v>0</v>
      </c>
      <c r="BX299" s="180" t="n">
        <f aca="false">BU299+BW299-BV299</f>
        <v>984820.142594894</v>
      </c>
      <c r="BY299" s="180" t="n">
        <f aca="false">MAX(0,IFERROR(INDEX(TAB_IR,MATCH($C299,TAB_IR_DIAS,1),MATCH($F$8,TAB_IR_REGIMES,0)),0)*IF($F$26=2,BU299,MAX(0,BX299))-BW299)</f>
        <v>113482.014259489</v>
      </c>
      <c r="BZ299" s="181" t="n">
        <f aca="false">MAX(0,BU299-BY299-BU299*$F$25)</f>
        <v>1021338.1283354</v>
      </c>
      <c r="CA299" s="180" t="n">
        <f aca="false">BZ299/$D299</f>
        <v>469182.331530951</v>
      </c>
      <c r="CC299" s="180" t="n">
        <f aca="false">CJ298</f>
        <v>655504.206430975</v>
      </c>
      <c r="CD299" s="180" t="n">
        <f aca="false">IF($G$9=0,0,IF($A299&gt;IN_PRAZO,0,IF(APORTE_CORRIGIDO="Sim",IN_APORTE*$D299,IN_APORTE))+IF(AND($G$35=1,PGBL_REINVESTE="Sim",$A299&gt;=13,$A299&lt;=IN_PRAZO,MONTH($B299)=5),PGBL_BENEFICIO,0))</f>
        <v>0</v>
      </c>
      <c r="CE299" s="180" t="n">
        <f aca="false">CD299*$G$24</f>
        <v>0</v>
      </c>
      <c r="CF299" s="180" t="n">
        <f aca="false">CC299*$G$19</f>
        <v>5347.095589689</v>
      </c>
      <c r="CG299" s="180" t="n">
        <f aca="false">CC299*$G$22</f>
        <v>546.253505359146</v>
      </c>
      <c r="CH299" s="180" t="n">
        <f aca="false">$G$23*MAX(0,CF299-CC299*$G$18)</f>
        <v>0</v>
      </c>
      <c r="CI299" s="180" t="n">
        <f aca="false">IF(AND($G$27=1,OR(MONTH($B299)=5,MONTH($B299)=11)),MAX(0,$G$28*MAX(0,(CC299+CF299-CG299-CH299+CD299-CE299)+CL298-CK299)-CL298),0)</f>
        <v>0</v>
      </c>
      <c r="CJ299" s="181" t="n">
        <f aca="false">CC299+CF299-CG299-CH299+CD299-CE299-CI299</f>
        <v>660305.048515305</v>
      </c>
      <c r="CK299" s="180" t="n">
        <f aca="false">CK298+CD299-CE299</f>
        <v>150000</v>
      </c>
      <c r="CL299" s="180" t="n">
        <f aca="false">CL298+CI299</f>
        <v>89206.6246642897</v>
      </c>
      <c r="CM299" s="180" t="n">
        <f aca="false">CJ299+CL299-CK299</f>
        <v>599511.673179594</v>
      </c>
      <c r="CN299" s="180" t="n">
        <f aca="false">MAX(0,IFERROR(INDEX(TAB_IR,MATCH($C299,TAB_IR_DIAS,1),MATCH($G$8,TAB_IR_REGIMES,0)),0)*IF($G$26=2,CJ299,MAX(0,CM299))-CL299)</f>
        <v>720.126312649474</v>
      </c>
      <c r="CO299" s="181" t="n">
        <f aca="false">MAX(0,CJ299-CN299-CJ299*$G$25)</f>
        <v>659584.922202655</v>
      </c>
      <c r="CP299" s="180" t="n">
        <f aca="false">CO299/$D299</f>
        <v>303000.135857138</v>
      </c>
    </row>
    <row r="300" customFormat="false" ht="12" hidden="false" customHeight="true" outlineLevel="0" collapsed="false">
      <c r="A300" s="177" t="n">
        <v>239</v>
      </c>
      <c r="B300" s="178" t="n">
        <f aca="false">EDATE(DATA_INICIO,$A300)</f>
        <v>53531</v>
      </c>
      <c r="C300" s="177" t="n">
        <f aca="false">$A300*30</f>
        <v>7170</v>
      </c>
      <c r="D300" s="179" t="n">
        <f aca="false">(1+IPCA_CENARIO)^($A300/12)</f>
        <v>2.18397338248791</v>
      </c>
      <c r="F300" s="180" t="n">
        <f aca="false">M299</f>
        <v>1365155.78071137</v>
      </c>
      <c r="G300" s="180" t="n">
        <f aca="false">IF($B$9=0,0,IF($A300&gt;IN_PRAZO,0,IF(APORTE_CORRIGIDO="Sim",IN_APORTE*$D300,IN_APORTE))+IF(AND($B$35=1,PGBL_REINVESTE="Sim",$A300&gt;=13,$A300&lt;=IN_PRAZO,MONTH($B300)=5),PGBL_BENEFICIO,0))</f>
        <v>0</v>
      </c>
      <c r="H300" s="180" t="n">
        <f aca="false">G300*$B$24</f>
        <v>0</v>
      </c>
      <c r="I300" s="180" t="n">
        <f aca="false">F300*$B$19</f>
        <v>12953.6805266193</v>
      </c>
      <c r="J300" s="180" t="n">
        <f aca="false">F300*$B$22</f>
        <v>227.525963451895</v>
      </c>
      <c r="K300" s="180" t="n">
        <f aca="false">$B$23*MAX(0,I300-F300*$B$18)</f>
        <v>0</v>
      </c>
      <c r="L300" s="180" t="n">
        <f aca="false">IF(AND($B$27=1,OR(MONTH($B300)=5,MONTH($B300)=11)),MAX(0,$B$28*MAX(0,(F300+I300-J300-K300+G300-H300)+O299-N300)-O299),0)</f>
        <v>0</v>
      </c>
      <c r="M300" s="181" t="n">
        <f aca="false">F300+I300-J300-K300+G300-H300-L300</f>
        <v>1377881.93527454</v>
      </c>
      <c r="N300" s="180" t="n">
        <f aca="false">N299+G300-H300</f>
        <v>150000</v>
      </c>
      <c r="O300" s="180" t="n">
        <f aca="false">O299+L300</f>
        <v>0</v>
      </c>
      <c r="P300" s="180" t="n">
        <f aca="false">M300+O300-N300</f>
        <v>1227881.93527454</v>
      </c>
      <c r="Q300" s="180" t="n">
        <f aca="false">MAX(0,IFERROR(INDEX(TAB_IR,MATCH($C300,TAB_IR_DIAS,1),MATCH($B$8,TAB_IR_REGIMES,0)),0)*IF($B$26=2,M300,MAX(0,P300))-O300)</f>
        <v>184182.290291181</v>
      </c>
      <c r="R300" s="181" t="n">
        <f aca="false">MAX(0,M300-Q300-M300*$B$25)</f>
        <v>1193699.64498336</v>
      </c>
      <c r="S300" s="180" t="n">
        <f aca="false">R300/$D300</f>
        <v>546572.432867079</v>
      </c>
      <c r="U300" s="180" t="n">
        <f aca="false">AB299</f>
        <v>997079.476058793</v>
      </c>
      <c r="V300" s="180" t="n">
        <f aca="false">IF($C$9=0,0,IF($A300&gt;IN_PRAZO,0,IF(APORTE_CORRIGIDO="Sim",IN_APORTE*$D300,IN_APORTE))+IF(AND($C$35=1,PGBL_REINVESTE="Sim",$A300&gt;=13,$A300&lt;=IN_PRAZO,MONTH($B300)=5),PGBL_BENEFICIO,0))</f>
        <v>0</v>
      </c>
      <c r="W300" s="180" t="n">
        <f aca="false">V300*$C$24</f>
        <v>0</v>
      </c>
      <c r="X300" s="180" t="n">
        <f aca="false">U300*$C$19</f>
        <v>8133.40206927382</v>
      </c>
      <c r="Y300" s="180" t="n">
        <f aca="false">U300*$C$22</f>
        <v>166.179912676465</v>
      </c>
      <c r="Z300" s="180" t="n">
        <f aca="false">$C$23*MAX(0,X300-U300*$C$18)</f>
        <v>0</v>
      </c>
      <c r="AA300" s="180" t="n">
        <f aca="false">IF(AND($C$27=1,OR(MONTH($B300)=5,MONTH($B300)=11)),MAX(0,$C$28*MAX(0,(U300+X300-Y300-Z300+V300-W300)+AD299-AC300)-AD299),0)</f>
        <v>0</v>
      </c>
      <c r="AB300" s="181" t="n">
        <f aca="false">U300+X300-Y300-Z300+V300-W300-AA300</f>
        <v>1005046.69821539</v>
      </c>
      <c r="AC300" s="180" t="n">
        <f aca="false">AC299+V300-W300</f>
        <v>150000</v>
      </c>
      <c r="AD300" s="180" t="n">
        <f aca="false">AD299+AA300</f>
        <v>0</v>
      </c>
      <c r="AE300" s="180" t="n">
        <f aca="false">AB300+AD300-AC300</f>
        <v>855046.69821539</v>
      </c>
      <c r="AF300" s="180" t="n">
        <f aca="false">MAX(0,IFERROR(INDEX(TAB_IR,MATCH($C300,TAB_IR_DIAS,1),MATCH($C$8,TAB_IR_REGIMES,0)),0)*IF($C$26=2,AB300,MAX(0,AE300))-AD300)</f>
        <v>128257.004732308</v>
      </c>
      <c r="AG300" s="181" t="n">
        <f aca="false">MAX(0,AB300-AF300-AB300*$C$25)</f>
        <v>876789.693483082</v>
      </c>
      <c r="AH300" s="180" t="n">
        <f aca="false">AG300/$D300</f>
        <v>401465.375225532</v>
      </c>
      <c r="AJ300" s="180" t="n">
        <f aca="false">AQ299</f>
        <v>781228.863075181</v>
      </c>
      <c r="AK300" s="180" t="n">
        <f aca="false">IF($D$9=0,0,IF($A300&gt;IN_PRAZO,0,IF(APORTE_CORRIGIDO="Sim",IN_APORTE*$D300,IN_APORTE))+IF(AND($D$35=1,PGBL_REINVESTE="Sim",$A300&gt;=13,$A300&lt;=IN_PRAZO,MONTH($B300)=5),PGBL_BENEFICIO,0))</f>
        <v>0</v>
      </c>
      <c r="AL300" s="180" t="n">
        <f aca="false">AK300*$D$24</f>
        <v>0</v>
      </c>
      <c r="AM300" s="180" t="n">
        <f aca="false">AJ300*$D$19</f>
        <v>7022.22957654412</v>
      </c>
      <c r="AN300" s="180" t="n">
        <f aca="false">AJ300*$D$22</f>
        <v>651.024052562651</v>
      </c>
      <c r="AO300" s="180" t="n">
        <f aca="false">$D$23*MAX(0,AM300-AJ300*$D$18)</f>
        <v>0</v>
      </c>
      <c r="AP300" s="180" t="n">
        <f aca="false">IF(AND($D$27=1,OR(MONTH($B300)=5,MONTH($B300)=11)),MAX(0,$D$28*MAX(0,(AJ300+AM300-AN300-AO300+AK300-AL300)+AS299-AR300)-AS299),0)</f>
        <v>0</v>
      </c>
      <c r="AQ300" s="181" t="n">
        <f aca="false">AJ300+AM300-AN300-AO300+AK300-AL300-AP300</f>
        <v>787600.068599162</v>
      </c>
      <c r="AR300" s="180" t="n">
        <f aca="false">AR299+AK300-AL300</f>
        <v>150000</v>
      </c>
      <c r="AS300" s="180" t="n">
        <f aca="false">AS299+AP300</f>
        <v>110278.09354038</v>
      </c>
      <c r="AT300" s="180" t="n">
        <f aca="false">AQ300+AS300-AR300</f>
        <v>747878.162139542</v>
      </c>
      <c r="AU300" s="180" t="n">
        <f aca="false">MAX(0,IFERROR(INDEX(TAB_IR,MATCH($C300,TAB_IR_DIAS,1),MATCH($D$8,TAB_IR_REGIMES,0)),0)*IF($D$26=2,AQ300,MAX(0,AT300))-AS300)</f>
        <v>1903.63078055148</v>
      </c>
      <c r="AV300" s="181" t="n">
        <f aca="false">MAX(0,AQ300-AU300-AQ300*$D$25)</f>
        <v>785696.437818611</v>
      </c>
      <c r="AW300" s="180" t="n">
        <f aca="false">AV300/$D300</f>
        <v>359755.50073947</v>
      </c>
      <c r="AY300" s="180" t="n">
        <f aca="false">BF299</f>
        <v>1134820.14259489</v>
      </c>
      <c r="AZ300" s="180" t="n">
        <f aca="false">IF($E$9=0,0,IF($A300&gt;IN_PRAZO,0,IF(APORTE_CORRIGIDO="Sim",IN_APORTE*$D300,IN_APORTE))+IF(AND($E$35=1,PGBL_REINVESTE="Sim",$A300&gt;=13,$A300&lt;=IN_PRAZO,MONTH($B300)=5),PGBL_BENEFICIO,0))</f>
        <v>0</v>
      </c>
      <c r="BA300" s="180" t="n">
        <f aca="false">AZ300*$E$24</f>
        <v>0</v>
      </c>
      <c r="BB300" s="180" t="n">
        <f aca="false">AY300*$E$19</f>
        <v>11108.4653941725</v>
      </c>
      <c r="BC300" s="180" t="n">
        <f aca="false">AY300*$E$22</f>
        <v>1418.52517824362</v>
      </c>
      <c r="BD300" s="180" t="n">
        <f aca="false">$E$23*MAX(0,BB300-AY300*$E$18)</f>
        <v>0</v>
      </c>
      <c r="BE300" s="180" t="n">
        <f aca="false">IF(AND($E$27=1,OR(MONTH($B300)=5,MONTH($B300)=11)),MAX(0,$E$28*MAX(0,(AY300+BB300-BC300-BD300+AZ300-BA300)+BH299-BG300)-BH299),0)</f>
        <v>0</v>
      </c>
      <c r="BF300" s="181" t="n">
        <f aca="false">AY300+BB300-BC300-BD300+AZ300-BA300-BE300</f>
        <v>1144510.08281082</v>
      </c>
      <c r="BG300" s="180" t="n">
        <f aca="false">BG299+AZ300-BA300</f>
        <v>150000</v>
      </c>
      <c r="BH300" s="180" t="n">
        <f aca="false">BH299+BE300</f>
        <v>0</v>
      </c>
      <c r="BI300" s="180" t="n">
        <f aca="false">BF300+BH300-BG300</f>
        <v>994510.082810823</v>
      </c>
      <c r="BJ300" s="180" t="n">
        <f aca="false">MAX(0,IFERROR(INDEX(TAB_IR,MATCH($C300,TAB_IR_DIAS,1),MATCH($E$8,TAB_IR_REGIMES,0)),0)*IF($E$26=2,BF300,MAX(0,BI300))-BH300)</f>
        <v>99451.0082810823</v>
      </c>
      <c r="BK300" s="181" t="n">
        <f aca="false">MAX(0,BF300-BJ300-BF300*$E$25)</f>
        <v>1045059.07452974</v>
      </c>
      <c r="BL300" s="180" t="n">
        <f aca="false">BK300/$D300</f>
        <v>478512.734133804</v>
      </c>
      <c r="BN300" s="180" t="n">
        <f aca="false">BU299</f>
        <v>1134820.14259489</v>
      </c>
      <c r="BO300" s="180" t="n">
        <f aca="false">IF($F$9=0,0,IF($A300&gt;IN_PRAZO,0,IF(APORTE_CORRIGIDO="Sim",IN_APORTE*$D300,IN_APORTE))+IF(AND($F$35=1,PGBL_REINVESTE="Sim",$A300&gt;=13,$A300&lt;=IN_PRAZO,MONTH($B300)=5),PGBL_BENEFICIO,0))</f>
        <v>0</v>
      </c>
      <c r="BP300" s="180" t="n">
        <f aca="false">BO300*$F$24</f>
        <v>0</v>
      </c>
      <c r="BQ300" s="180" t="n">
        <f aca="false">BN300*$F$19</f>
        <v>11108.4653941725</v>
      </c>
      <c r="BR300" s="180" t="n">
        <f aca="false">BN300*$F$22</f>
        <v>1418.52517824362</v>
      </c>
      <c r="BS300" s="180" t="n">
        <f aca="false">$F$23*MAX(0,BQ300-BN300*$F$18)</f>
        <v>0</v>
      </c>
      <c r="BT300" s="180" t="n">
        <f aca="false">IF(AND($F$27=1,OR(MONTH($B300)=5,MONTH($B300)=11)),MAX(0,$F$28*MAX(0,(BN300+BQ300-BR300-BS300+BO300-BP300)+BW299-BV300)-BW299),0)</f>
        <v>0</v>
      </c>
      <c r="BU300" s="181" t="n">
        <f aca="false">BN300+BQ300-BR300-BS300+BO300-BP300-BT300</f>
        <v>1144510.08281082</v>
      </c>
      <c r="BV300" s="180" t="n">
        <f aca="false">BV299+BO300-BP300</f>
        <v>150000</v>
      </c>
      <c r="BW300" s="180" t="n">
        <f aca="false">BW299+BT300</f>
        <v>0</v>
      </c>
      <c r="BX300" s="180" t="n">
        <f aca="false">BU300+BW300-BV300</f>
        <v>994510.082810823</v>
      </c>
      <c r="BY300" s="180" t="n">
        <f aca="false">MAX(0,IFERROR(INDEX(TAB_IR,MATCH($C300,TAB_IR_DIAS,1),MATCH($F$8,TAB_IR_REGIMES,0)),0)*IF($F$26=2,BU300,MAX(0,BX300))-BW300)</f>
        <v>114451.008281082</v>
      </c>
      <c r="BZ300" s="181" t="n">
        <f aca="false">MAX(0,BU300-BY300-BU300*$F$25)</f>
        <v>1030059.07452974</v>
      </c>
      <c r="CA300" s="180" t="n">
        <f aca="false">BZ300/$D300</f>
        <v>471644.518559257</v>
      </c>
      <c r="CC300" s="180" t="n">
        <f aca="false">CJ299</f>
        <v>660305.048515305</v>
      </c>
      <c r="CD300" s="180" t="n">
        <f aca="false">IF($G$9=0,0,IF($A300&gt;IN_PRAZO,0,IF(APORTE_CORRIGIDO="Sim",IN_APORTE*$D300,IN_APORTE))+IF(AND($G$35=1,PGBL_REINVESTE="Sim",$A300&gt;=13,$A300&lt;=IN_PRAZO,MONTH($B300)=5),PGBL_BENEFICIO,0))</f>
        <v>0</v>
      </c>
      <c r="CE300" s="180" t="n">
        <f aca="false">CD300*$G$24</f>
        <v>0</v>
      </c>
      <c r="CF300" s="180" t="n">
        <f aca="false">CC300*$G$19</f>
        <v>5386.25714087977</v>
      </c>
      <c r="CG300" s="180" t="n">
        <f aca="false">CC300*$G$22</f>
        <v>550.254207096087</v>
      </c>
      <c r="CH300" s="180" t="n">
        <f aca="false">$G$23*MAX(0,CF300-CC300*$G$18)</f>
        <v>0</v>
      </c>
      <c r="CI300" s="180" t="n">
        <f aca="false">IF(AND($G$27=1,OR(MONTH($B300)=5,MONTH($B300)=11)),MAX(0,$G$28*MAX(0,(CC300+CF300-CG300-CH300+CD300-CE300)+CL299-CK300)-CL299),0)</f>
        <v>0</v>
      </c>
      <c r="CJ300" s="181" t="n">
        <f aca="false">CC300+CF300-CG300-CH300+CD300-CE300-CI300</f>
        <v>665141.051449088</v>
      </c>
      <c r="CK300" s="180" t="n">
        <f aca="false">CK299+CD300-CE300</f>
        <v>150000</v>
      </c>
      <c r="CL300" s="180" t="n">
        <f aca="false">CL299+CI300</f>
        <v>89206.6246642897</v>
      </c>
      <c r="CM300" s="180" t="n">
        <f aca="false">CJ300+CL300-CK300</f>
        <v>604347.676113378</v>
      </c>
      <c r="CN300" s="180" t="n">
        <f aca="false">MAX(0,IFERROR(INDEX(TAB_IR,MATCH($C300,TAB_IR_DIAS,1),MATCH($G$8,TAB_IR_REGIMES,0)),0)*IF($G$26=2,CJ300,MAX(0,CM300))-CL300)</f>
        <v>1445.52675271702</v>
      </c>
      <c r="CO300" s="181" t="n">
        <f aca="false">MAX(0,CJ300-CN300-CJ300*$G$25)</f>
        <v>663695.524696371</v>
      </c>
      <c r="CP300" s="180" t="n">
        <f aca="false">CO300/$D300</f>
        <v>303893.595965127</v>
      </c>
    </row>
    <row r="301" customFormat="false" ht="12" hidden="false" customHeight="true" outlineLevel="0" collapsed="false">
      <c r="A301" s="177" t="n">
        <v>240</v>
      </c>
      <c r="B301" s="178" t="n">
        <f aca="false">EDATE(DATA_INICIO,$A301)</f>
        <v>53562</v>
      </c>
      <c r="C301" s="177" t="n">
        <f aca="false">$A301*30</f>
        <v>7200</v>
      </c>
      <c r="D301" s="179" t="n">
        <f aca="false">(1+IPCA_CENARIO)^($A301/12)</f>
        <v>2.19112314303342</v>
      </c>
      <c r="F301" s="180" t="n">
        <f aca="false">M300</f>
        <v>1377881.93527454</v>
      </c>
      <c r="G301" s="180" t="n">
        <f aca="false">IF($B$9=0,0,IF($A301&gt;IN_PRAZO,0,IF(APORTE_CORRIGIDO="Sim",IN_APORTE*$D301,IN_APORTE))+IF(AND($B$35=1,PGBL_REINVESTE="Sim",$A301&gt;=13,$A301&lt;=IN_PRAZO,MONTH($B301)=5),PGBL_BENEFICIO,0))</f>
        <v>0</v>
      </c>
      <c r="H301" s="180" t="n">
        <f aca="false">G301*$B$24</f>
        <v>0</v>
      </c>
      <c r="I301" s="180" t="n">
        <f aca="false">F301*$B$19</f>
        <v>13074.4363721227</v>
      </c>
      <c r="J301" s="180" t="n">
        <f aca="false">F301*$B$22</f>
        <v>229.646989212423</v>
      </c>
      <c r="K301" s="180" t="n">
        <f aca="false">$B$23*MAX(0,I301-F301*$B$18)</f>
        <v>0</v>
      </c>
      <c r="L301" s="180" t="n">
        <f aca="false">IF(AND($B$27=1,OR(MONTH($B301)=5,MONTH($B301)=11)),MAX(0,$B$28*MAX(0,(F301+I301-J301-K301+G301-H301)+O300-N301)-O300),0)</f>
        <v>0</v>
      </c>
      <c r="M301" s="181" t="n">
        <f aca="false">F301+I301-J301-K301+G301-H301-L301</f>
        <v>1390726.72465745</v>
      </c>
      <c r="N301" s="180" t="n">
        <f aca="false">N300+G301-H301</f>
        <v>150000</v>
      </c>
      <c r="O301" s="180" t="n">
        <f aca="false">O300+L301</f>
        <v>0</v>
      </c>
      <c r="P301" s="180" t="n">
        <f aca="false">M301+O301-N301</f>
        <v>1240726.72465745</v>
      </c>
      <c r="Q301" s="180" t="n">
        <f aca="false">MAX(0,IFERROR(INDEX(TAB_IR,MATCH($C301,TAB_IR_DIAS,1),MATCH($B$8,TAB_IR_REGIMES,0)),0)*IF($B$26=2,M301,MAX(0,P301))-O301)</f>
        <v>186109.008698618</v>
      </c>
      <c r="R301" s="181" t="n">
        <f aca="false">MAX(0,M301-Q301-M301*$B$25)</f>
        <v>1204617.71595883</v>
      </c>
      <c r="S301" s="180" t="n">
        <f aca="false">R301/$D301</f>
        <v>549771.800726427</v>
      </c>
      <c r="U301" s="180" t="n">
        <f aca="false">AB300</f>
        <v>1005046.69821539</v>
      </c>
      <c r="V301" s="180" t="n">
        <f aca="false">IF($C$9=0,0,IF($A301&gt;IN_PRAZO,0,IF(APORTE_CORRIGIDO="Sim",IN_APORTE*$D301,IN_APORTE))+IF(AND($C$35=1,PGBL_REINVESTE="Sim",$A301&gt;=13,$A301&lt;=IN_PRAZO,MONTH($B301)=5),PGBL_BENEFICIO,0))</f>
        <v>0</v>
      </c>
      <c r="W301" s="180" t="n">
        <f aca="false">V301*$C$24</f>
        <v>0</v>
      </c>
      <c r="X301" s="180" t="n">
        <f aca="false">U301*$C$19</f>
        <v>8198.39249654746</v>
      </c>
      <c r="Y301" s="180" t="n">
        <f aca="false">U301*$C$22</f>
        <v>167.507783035898</v>
      </c>
      <c r="Z301" s="180" t="n">
        <f aca="false">$C$23*MAX(0,X301-U301*$C$18)</f>
        <v>0</v>
      </c>
      <c r="AA301" s="180" t="n">
        <f aca="false">IF(AND($C$27=1,OR(MONTH($B301)=5,MONTH($B301)=11)),MAX(0,$C$28*MAX(0,(U301+X301-Y301-Z301+V301-W301)+AD300-AC301)-AD300),0)</f>
        <v>0</v>
      </c>
      <c r="AB301" s="181" t="n">
        <f aca="false">U301+X301-Y301-Z301+V301-W301-AA301</f>
        <v>1013077.5829289</v>
      </c>
      <c r="AC301" s="180" t="n">
        <f aca="false">AC300+V301-W301</f>
        <v>150000</v>
      </c>
      <c r="AD301" s="180" t="n">
        <f aca="false">AD300+AA301</f>
        <v>0</v>
      </c>
      <c r="AE301" s="180" t="n">
        <f aca="false">AB301+AD301-AC301</f>
        <v>863077.582928902</v>
      </c>
      <c r="AF301" s="180" t="n">
        <f aca="false">MAX(0,IFERROR(INDEX(TAB_IR,MATCH($C301,TAB_IR_DIAS,1),MATCH($C$8,TAB_IR_REGIMES,0)),0)*IF($C$26=2,AB301,MAX(0,AE301))-AD301)</f>
        <v>129461.637439335</v>
      </c>
      <c r="AG301" s="181" t="n">
        <f aca="false">MAX(0,AB301-AF301-AB301*$C$25)</f>
        <v>883615.945489566</v>
      </c>
      <c r="AH301" s="180" t="n">
        <f aca="false">AG301/$D301</f>
        <v>403270.782976751</v>
      </c>
      <c r="AJ301" s="180" t="n">
        <f aca="false">AQ300</f>
        <v>787600.068599162</v>
      </c>
      <c r="AK301" s="180" t="n">
        <f aca="false">IF($D$9=0,0,IF($A301&gt;IN_PRAZO,0,IF(APORTE_CORRIGIDO="Sim",IN_APORTE*$D301,IN_APORTE))+IF(AND($D$35=1,PGBL_REINVESTE="Sim",$A301&gt;=13,$A301&lt;=IN_PRAZO,MONTH($B301)=5),PGBL_BENEFICIO,0))</f>
        <v>0</v>
      </c>
      <c r="AL301" s="180" t="n">
        <f aca="false">AK301*$D$24</f>
        <v>0</v>
      </c>
      <c r="AM301" s="180" t="n">
        <f aca="false">AJ301*$D$19</f>
        <v>7079.49841283958</v>
      </c>
      <c r="AN301" s="180" t="n">
        <f aca="false">AJ301*$D$22</f>
        <v>656.333390499302</v>
      </c>
      <c r="AO301" s="180" t="n">
        <f aca="false">$D$23*MAX(0,AM301-AJ301*$D$18)</f>
        <v>0</v>
      </c>
      <c r="AP301" s="180" t="n">
        <f aca="false">IF(AND($D$27=1,OR(MONTH($B301)=5,MONTH($B301)=11)),MAX(0,$D$28*MAX(0,(AJ301+AM301-AN301-AO301+AK301-AL301)+AS300-AR301)-AS300),0)</f>
        <v>0</v>
      </c>
      <c r="AQ301" s="181" t="n">
        <f aca="false">AJ301+AM301-AN301-AO301+AK301-AL301-AP301</f>
        <v>794023.233621503</v>
      </c>
      <c r="AR301" s="180" t="n">
        <f aca="false">AR300+AK301-AL301</f>
        <v>150000</v>
      </c>
      <c r="AS301" s="180" t="n">
        <f aca="false">AS300+AP301</f>
        <v>110278.09354038</v>
      </c>
      <c r="AT301" s="180" t="n">
        <f aca="false">AQ301+AS301-AR301</f>
        <v>754301.327161882</v>
      </c>
      <c r="AU301" s="180" t="n">
        <f aca="false">MAX(0,IFERROR(INDEX(TAB_IR,MATCH($C301,TAB_IR_DIAS,1),MATCH($D$8,TAB_IR_REGIMES,0)),0)*IF($D$26=2,AQ301,MAX(0,AT301))-AS301)</f>
        <v>2867.10553390252</v>
      </c>
      <c r="AV301" s="181" t="n">
        <f aca="false">MAX(0,AQ301-AU301-AQ301*$D$25)</f>
        <v>791156.1280876</v>
      </c>
      <c r="AW301" s="180" t="n">
        <f aca="false">AV301/$D301</f>
        <v>361073.329266338</v>
      </c>
      <c r="AY301" s="180" t="n">
        <f aca="false">BF300</f>
        <v>1144510.08281082</v>
      </c>
      <c r="AZ301" s="180" t="n">
        <f aca="false">IF($E$9=0,0,IF($A301&gt;IN_PRAZO,0,IF(APORTE_CORRIGIDO="Sim",IN_APORTE*$D301,IN_APORTE))+IF(AND($E$35=1,PGBL_REINVESTE="Sim",$A301&gt;=13,$A301&lt;=IN_PRAZO,MONTH($B301)=5),PGBL_BENEFICIO,0))</f>
        <v>0</v>
      </c>
      <c r="BA301" s="180" t="n">
        <f aca="false">AZ301*$E$24</f>
        <v>0</v>
      </c>
      <c r="BB301" s="180" t="n">
        <f aca="false">AY301*$E$19</f>
        <v>11203.3177514052</v>
      </c>
      <c r="BC301" s="180" t="n">
        <f aca="false">AY301*$E$22</f>
        <v>1430.63760351353</v>
      </c>
      <c r="BD301" s="180" t="n">
        <f aca="false">$E$23*MAX(0,BB301-AY301*$E$18)</f>
        <v>0</v>
      </c>
      <c r="BE301" s="180" t="n">
        <f aca="false">IF(AND($E$27=1,OR(MONTH($B301)=5,MONTH($B301)=11)),MAX(0,$E$28*MAX(0,(AY301+BB301-BC301-BD301+AZ301-BA301)+BH300-BG301)-BH300),0)</f>
        <v>0</v>
      </c>
      <c r="BF301" s="181" t="n">
        <f aca="false">AY301+BB301-BC301-BD301+AZ301-BA301-BE301</f>
        <v>1154282.76295871</v>
      </c>
      <c r="BG301" s="180" t="n">
        <f aca="false">BG300+AZ301-BA301</f>
        <v>150000</v>
      </c>
      <c r="BH301" s="180" t="n">
        <f aca="false">BH300+BE301</f>
        <v>0</v>
      </c>
      <c r="BI301" s="180" t="n">
        <f aca="false">BF301+BH301-BG301</f>
        <v>1004282.76295871</v>
      </c>
      <c r="BJ301" s="180" t="n">
        <f aca="false">MAX(0,IFERROR(INDEX(TAB_IR,MATCH($C301,TAB_IR_DIAS,1),MATCH($E$8,TAB_IR_REGIMES,0)),0)*IF($E$26=2,BF301,MAX(0,BI301))-BH301)</f>
        <v>100428.276295871</v>
      </c>
      <c r="BK301" s="181" t="n">
        <f aca="false">MAX(0,BF301-BJ301-BF301*$E$25)</f>
        <v>1053854.48666284</v>
      </c>
      <c r="BL301" s="180" t="n">
        <f aca="false">BK301/$D301</f>
        <v>480965.430908585</v>
      </c>
      <c r="BN301" s="180" t="n">
        <f aca="false">BU300</f>
        <v>1144510.08281082</v>
      </c>
      <c r="BO301" s="180" t="n">
        <f aca="false">IF($F$9=0,0,IF($A301&gt;IN_PRAZO,0,IF(APORTE_CORRIGIDO="Sim",IN_APORTE*$D301,IN_APORTE))+IF(AND($F$35=1,PGBL_REINVESTE="Sim",$A301&gt;=13,$A301&lt;=IN_PRAZO,MONTH($B301)=5),PGBL_BENEFICIO,0))</f>
        <v>0</v>
      </c>
      <c r="BP301" s="180" t="n">
        <f aca="false">BO301*$F$24</f>
        <v>0</v>
      </c>
      <c r="BQ301" s="180" t="n">
        <f aca="false">BN301*$F$19</f>
        <v>11203.3177514052</v>
      </c>
      <c r="BR301" s="180" t="n">
        <f aca="false">BN301*$F$22</f>
        <v>1430.63760351353</v>
      </c>
      <c r="BS301" s="180" t="n">
        <f aca="false">$F$23*MAX(0,BQ301-BN301*$F$18)</f>
        <v>0</v>
      </c>
      <c r="BT301" s="180" t="n">
        <f aca="false">IF(AND($F$27=1,OR(MONTH($B301)=5,MONTH($B301)=11)),MAX(0,$F$28*MAX(0,(BN301+BQ301-BR301-BS301+BO301-BP301)+BW300-BV301)-BW300),0)</f>
        <v>0</v>
      </c>
      <c r="BU301" s="181" t="n">
        <f aca="false">BN301+BQ301-BR301-BS301+BO301-BP301-BT301</f>
        <v>1154282.76295871</v>
      </c>
      <c r="BV301" s="180" t="n">
        <f aca="false">BV300+BO301-BP301</f>
        <v>150000</v>
      </c>
      <c r="BW301" s="180" t="n">
        <f aca="false">BW300+BT301</f>
        <v>0</v>
      </c>
      <c r="BX301" s="180" t="n">
        <f aca="false">BU301+BW301-BV301</f>
        <v>1004282.76295871</v>
      </c>
      <c r="BY301" s="180" t="n">
        <f aca="false">MAX(0,IFERROR(INDEX(TAB_IR,MATCH($C301,TAB_IR_DIAS,1),MATCH($F$8,TAB_IR_REGIMES,0)),0)*IF($F$26=2,BU301,MAX(0,BX301))-BW301)</f>
        <v>115428.276295871</v>
      </c>
      <c r="BZ301" s="181" t="n">
        <f aca="false">MAX(0,BU301-BY301-BU301*$F$25)</f>
        <v>1038854.48666284</v>
      </c>
      <c r="CA301" s="180" t="n">
        <f aca="false">BZ301/$D301</f>
        <v>474119.626715566</v>
      </c>
      <c r="CC301" s="180" t="n">
        <f aca="false">CJ300</f>
        <v>665141.051449088</v>
      </c>
      <c r="CD301" s="180" t="n">
        <f aca="false">IF($G$9=0,0,IF($A301&gt;IN_PRAZO,0,IF(APORTE_CORRIGIDO="Sim",IN_APORTE*$D301,IN_APORTE))+IF(AND($G$35=1,PGBL_REINVESTE="Sim",$A301&gt;=13,$A301&lt;=IN_PRAZO,MONTH($B301)=5),PGBL_BENEFICIO,0))</f>
        <v>0</v>
      </c>
      <c r="CE301" s="180" t="n">
        <f aca="false">CD301*$G$24</f>
        <v>0</v>
      </c>
      <c r="CF301" s="180" t="n">
        <f aca="false">CC301*$G$19</f>
        <v>5425.70550704625</v>
      </c>
      <c r="CG301" s="180" t="n">
        <f aca="false">CC301*$G$22</f>
        <v>554.284209540907</v>
      </c>
      <c r="CH301" s="180" t="n">
        <f aca="false">$G$23*MAX(0,CF301-CC301*$G$18)</f>
        <v>0</v>
      </c>
      <c r="CI301" s="180" t="n">
        <f aca="false">IF(AND($G$27=1,OR(MONTH($B301)=5,MONTH($B301)=11)),MAX(0,$G$28*MAX(0,(CC301+CF301-CG301-CH301+CD301-CE301)+CL300-CK301)-CL300),0)</f>
        <v>0</v>
      </c>
      <c r="CJ301" s="181" t="n">
        <f aca="false">CC301+CF301-CG301-CH301+CD301-CE301-CI301</f>
        <v>670012.472746594</v>
      </c>
      <c r="CK301" s="180" t="n">
        <f aca="false">CK300+CD301-CE301</f>
        <v>150000</v>
      </c>
      <c r="CL301" s="180" t="n">
        <f aca="false">CL300+CI301</f>
        <v>89206.6246642897</v>
      </c>
      <c r="CM301" s="180" t="n">
        <f aca="false">CJ301+CL301-CK301</f>
        <v>609219.097410883</v>
      </c>
      <c r="CN301" s="180" t="n">
        <f aca="false">MAX(0,IFERROR(INDEX(TAB_IR,MATCH($C301,TAB_IR_DIAS,1),MATCH($G$8,TAB_IR_REGIMES,0)),0)*IF($G$26=2,CJ301,MAX(0,CM301))-CL301)</f>
        <v>2176.23994734284</v>
      </c>
      <c r="CO301" s="181" t="n">
        <f aca="false">MAX(0,CJ301-CN301-CJ301*$G$25)</f>
        <v>667836.232799251</v>
      </c>
      <c r="CP301" s="180" t="n">
        <f aca="false">CO301/$D301</f>
        <v>304791.738849825</v>
      </c>
    </row>
  </sheetData>
  <mergeCells count="11">
    <mergeCell ref="A1:J1"/>
    <mergeCell ref="A2:J2"/>
    <mergeCell ref="A4:J4"/>
    <mergeCell ref="A37:J37"/>
    <mergeCell ref="A58:J58"/>
    <mergeCell ref="F59:S59"/>
    <mergeCell ref="U59:AH59"/>
    <mergeCell ref="AJ59:AW59"/>
    <mergeCell ref="AY59:BL59"/>
    <mergeCell ref="BN59:CA59"/>
    <mergeCell ref="CC59:CP59"/>
  </mergeCells>
  <hyperlinks>
    <hyperlink ref="L4" location="Inicio!A1" display="◀ INÍCIO"/>
    <hyperlink ref="L5" location="Consultor!A1" display="◀ CONSULT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Z2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4" topLeftCell="E55" activePane="bottomRight" state="frozen"/>
      <selection pane="topLeft" activeCell="A1" activeCellId="0" sqref="A1"/>
      <selection pane="topRight" activeCell="E1" activeCellId="0" sqref="E1"/>
      <selection pane="bottomLeft" activeCell="A55" activeCellId="0" sqref="A5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7" min="12" style="0" width="1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3"/>
    <col collapsed="false" customWidth="true" hidden="false" outlineLevel="0" max="23" min="23" style="0" width="17"/>
    <col collapsed="false" customWidth="true" hidden="false" outlineLevel="0" max="24" min="24" style="0" width="16"/>
    <col collapsed="false" customWidth="true" hidden="false" outlineLevel="0" max="25" min="25" style="0" width="14"/>
    <col collapsed="false" customWidth="true" hidden="false" outlineLevel="0" max="26" min="26" style="0" width="15"/>
  </cols>
  <sheetData>
    <row r="1" customFormat="false" ht="33.75" hidden="false" customHeight="true" outlineLevel="0" collapsed="false">
      <c r="A1" s="13" t="s">
        <v>408</v>
      </c>
      <c r="B1" s="13"/>
      <c r="C1" s="13"/>
      <c r="D1" s="13"/>
      <c r="E1" s="13"/>
      <c r="F1" s="13"/>
      <c r="G1" s="13"/>
      <c r="H1" s="13"/>
    </row>
    <row r="2" customFormat="false" ht="18" hidden="false" customHeight="true" outlineLevel="0" collapsed="false">
      <c r="A2" s="14" t="s">
        <v>409</v>
      </c>
      <c r="B2" s="14"/>
      <c r="C2" s="14"/>
      <c r="D2" s="14"/>
      <c r="E2" s="14"/>
      <c r="F2" s="14"/>
      <c r="G2" s="14"/>
      <c r="H2" s="14"/>
    </row>
    <row r="4" customFormat="false" ht="21.75" hidden="false" customHeight="true" outlineLevel="0" collapsed="false">
      <c r="A4" s="3" t="s">
        <v>410</v>
      </c>
      <c r="B4" s="3"/>
      <c r="C4" s="3"/>
      <c r="D4" s="3"/>
      <c r="E4" s="3"/>
      <c r="F4" s="3"/>
      <c r="G4" s="3"/>
      <c r="H4" s="3"/>
      <c r="J4" s="94" t="s">
        <v>411</v>
      </c>
    </row>
    <row r="5" customFormat="false" ht="12.75" hidden="false" customHeight="true" outlineLevel="0" collapsed="false">
      <c r="A5" s="118" t="s">
        <v>412</v>
      </c>
      <c r="B5" s="141" t="n">
        <f aca="false">IF(IMOV_INCLUIR="Sim",1,0)</f>
        <v>1</v>
      </c>
    </row>
    <row r="6" customFormat="false" ht="12.75" hidden="false" customHeight="true" outlineLevel="0" collapsed="false">
      <c r="A6" s="118" t="s">
        <v>209</v>
      </c>
      <c r="B6" s="182" t="n">
        <f aca="false">IMOV_VALOR</f>
        <v>150000</v>
      </c>
    </row>
    <row r="7" customFormat="false" ht="12.75" hidden="false" customHeight="true" outlineLevel="0" collapsed="false">
      <c r="A7" s="118" t="s">
        <v>413</v>
      </c>
      <c r="B7" s="183" t="n">
        <f aca="false">IMOV_ITBI</f>
        <v>0.02</v>
      </c>
    </row>
    <row r="8" customFormat="false" ht="12.75" hidden="false" customHeight="true" outlineLevel="0" collapsed="false">
      <c r="A8" s="118" t="s">
        <v>414</v>
      </c>
      <c r="B8" s="183" t="n">
        <f aca="false">IMOV_CARTORIO</f>
        <v>0.015</v>
      </c>
    </row>
    <row r="9" customFormat="false" ht="12.75" hidden="false" customHeight="true" outlineLevel="0" collapsed="false">
      <c r="A9" s="118" t="s">
        <v>415</v>
      </c>
      <c r="B9" s="182" t="n">
        <f aca="false">$B$6*($B$7+$B$8)</f>
        <v>5250</v>
      </c>
    </row>
    <row r="10" customFormat="false" ht="12.75" hidden="false" customHeight="true" outlineLevel="0" collapsed="false">
      <c r="A10" s="118" t="s">
        <v>416</v>
      </c>
      <c r="B10" s="182" t="n">
        <f aca="false">$B$6+$B$9</f>
        <v>155250</v>
      </c>
    </row>
    <row r="11" customFormat="false" ht="12.75" hidden="false" customHeight="true" outlineLevel="0" collapsed="false">
      <c r="A11" s="118" t="s">
        <v>417</v>
      </c>
      <c r="B11" s="182" t="n">
        <f aca="false">IN_CAPITAL</f>
        <v>150000</v>
      </c>
    </row>
    <row r="12" customFormat="false" ht="12.75" hidden="false" customHeight="true" outlineLevel="0" collapsed="false">
      <c r="A12" s="118" t="s">
        <v>418</v>
      </c>
      <c r="B12" s="182" t="n">
        <f aca="false">$B$11-$B$10</f>
        <v>-5250</v>
      </c>
      <c r="D12" s="184" t="s">
        <v>419</v>
      </c>
    </row>
    <row r="13" customFormat="false" ht="12.75" hidden="false" customHeight="true" outlineLevel="0" collapsed="false">
      <c r="A13" s="118" t="s">
        <v>420</v>
      </c>
      <c r="B13" s="183" t="n">
        <f aca="false">IF(IMOV_MODO_ALUGUEL="Informar o valor do aluguel",IMOV_ALUGUEL,$B$6*IFERROR(INDEX(TAB_MACRO_VAL,MATCH("IMOB_YLD",TAB_MACRO_COD,0)),0)/12)</f>
        <v>900</v>
      </c>
      <c r="D13" s="185" t="s">
        <v>421</v>
      </c>
    </row>
    <row r="14" customFormat="false" ht="12.75" hidden="false" customHeight="true" outlineLevel="0" collapsed="false">
      <c r="A14" s="118" t="s">
        <v>422</v>
      </c>
      <c r="B14" s="183" t="n">
        <f aca="false">IMOV_VACANCIA</f>
        <v>0.08</v>
      </c>
    </row>
    <row r="15" customFormat="false" ht="12.75" hidden="false" customHeight="true" outlineLevel="0" collapsed="false">
      <c r="A15" s="118" t="s">
        <v>220</v>
      </c>
      <c r="B15" s="183" t="n">
        <f aca="false">IMOV_REAJUSTE</f>
        <v>0.04</v>
      </c>
    </row>
    <row r="16" customFormat="false" ht="12.75" hidden="false" customHeight="true" outlineLevel="0" collapsed="false">
      <c r="A16" s="118" t="s">
        <v>423</v>
      </c>
      <c r="B16" s="183" t="n">
        <f aca="false">(1+$B$15)^(1/12)-1</f>
        <v>0.00327373978219891</v>
      </c>
    </row>
    <row r="17" customFormat="false" ht="12.75" hidden="false" customHeight="true" outlineLevel="0" collapsed="false">
      <c r="A17" s="118" t="s">
        <v>424</v>
      </c>
      <c r="B17" s="183" t="n">
        <f aca="false">IMOV_IPTU</f>
        <v>0.006</v>
      </c>
    </row>
    <row r="18" customFormat="false" ht="12.75" hidden="false" customHeight="true" outlineLevel="0" collapsed="false">
      <c r="A18" s="118" t="s">
        <v>425</v>
      </c>
      <c r="B18" s="183" t="n">
        <f aca="false">IMOV_MANUT</f>
        <v>0.01</v>
      </c>
    </row>
    <row r="19" customFormat="false" ht="12.75" hidden="false" customHeight="true" outlineLevel="0" collapsed="false">
      <c r="A19" s="118" t="s">
        <v>225</v>
      </c>
      <c r="B19" s="183" t="n">
        <f aca="false">IMOV_ADM</f>
        <v>0.08</v>
      </c>
    </row>
    <row r="20" customFormat="false" ht="12.75" hidden="false" customHeight="true" outlineLevel="0" collapsed="false">
      <c r="A20" s="118" t="s">
        <v>227</v>
      </c>
      <c r="B20" s="183" t="n">
        <f aca="false">IMOV_VALORIZACAO</f>
        <v>0.04</v>
      </c>
    </row>
    <row r="21" customFormat="false" ht="12.75" hidden="false" customHeight="true" outlineLevel="0" collapsed="false">
      <c r="A21" s="118" t="s">
        <v>426</v>
      </c>
      <c r="B21" s="183" t="n">
        <f aca="false">(1+$B$20)^(1/12)-1</f>
        <v>0.00327373978219891</v>
      </c>
    </row>
    <row r="22" customFormat="false" ht="12.75" hidden="false" customHeight="true" outlineLevel="0" collapsed="false">
      <c r="A22" s="118" t="s">
        <v>229</v>
      </c>
      <c r="B22" s="183" t="n">
        <f aca="false">IMOV_CORRETAGEM</f>
        <v>0.06</v>
      </c>
    </row>
    <row r="23" customFormat="false" ht="12.75" hidden="false" customHeight="true" outlineLevel="0" collapsed="false">
      <c r="A23" s="118" t="s">
        <v>427</v>
      </c>
      <c r="B23" s="141" t="n">
        <f aca="false">IF(IMOV_ISENCAO_GC="Sim",1,0)</f>
        <v>0</v>
      </c>
    </row>
    <row r="24" customFormat="false" ht="12.75" hidden="false" customHeight="true" outlineLevel="0" collapsed="false">
      <c r="A24" s="118" t="s">
        <v>428</v>
      </c>
      <c r="B24" s="186" t="str">
        <f aca="false">IMOV_DESTINO</f>
        <v>Reinvestir</v>
      </c>
    </row>
    <row r="25" customFormat="false" ht="12.75" hidden="false" customHeight="true" outlineLevel="0" collapsed="false">
      <c r="A25" s="118" t="s">
        <v>429</v>
      </c>
      <c r="B25" s="141" t="n">
        <f aca="false">IF(IMOV_DESTINO="Reinvestir",1,0)</f>
        <v>1</v>
      </c>
    </row>
    <row r="26" customFormat="false" ht="12.75" hidden="false" customHeight="true" outlineLevel="0" collapsed="false">
      <c r="A26" s="118" t="s">
        <v>430</v>
      </c>
      <c r="B26" s="183" t="n">
        <f aca="false">IMOV_TAXA_REINV</f>
        <v>0.10682</v>
      </c>
    </row>
    <row r="27" customFormat="false" ht="12.75" hidden="false" customHeight="true" outlineLevel="0" collapsed="false">
      <c r="A27" s="118" t="s">
        <v>431</v>
      </c>
      <c r="B27" s="183" t="n">
        <f aca="false">(1+$B$26)^(1/12)-1</f>
        <v>0.00849345300177529</v>
      </c>
    </row>
    <row r="28" customFormat="false" ht="12.75" hidden="false" customHeight="true" outlineLevel="0" collapsed="false">
      <c r="A28" s="118" t="s">
        <v>432</v>
      </c>
      <c r="B28" s="183" t="n">
        <f aca="false">IPCA_CENARIO</f>
        <v>0.04</v>
      </c>
    </row>
    <row r="29" customFormat="false" ht="12.75" hidden="false" customHeight="true" outlineLevel="0" collapsed="false">
      <c r="A29" s="118" t="s">
        <v>433</v>
      </c>
      <c r="B29" s="183" t="n">
        <f aca="false">(1+$B$28)^(1/12)-1</f>
        <v>0.00327373978219891</v>
      </c>
    </row>
    <row r="30" customFormat="false" ht="12.75" hidden="false" customHeight="true" outlineLevel="0" collapsed="false">
      <c r="A30" s="118" t="s">
        <v>434</v>
      </c>
      <c r="B30" s="182" t="n">
        <f aca="false">$B$10</f>
        <v>155250</v>
      </c>
    </row>
    <row r="31" customFormat="false" ht="21.75" hidden="false" customHeight="true" outlineLevel="0" collapsed="false">
      <c r="A31" s="3" t="s">
        <v>435</v>
      </c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169" t="s">
        <v>383</v>
      </c>
      <c r="B32" s="170" t="s">
        <v>436</v>
      </c>
    </row>
    <row r="33" customFormat="false" ht="12.75" hidden="false" customHeight="true" outlineLevel="0" collapsed="false">
      <c r="A33" s="158" t="s">
        <v>384</v>
      </c>
      <c r="B33" s="128" t="n">
        <f aca="false">IF($B$5=0,0,INDEX($E$55:$E$295,IN_PRAZO+1)+INDEX($R$55:$R$295,IN_PRAZO+1))</f>
        <v>359511.956723441</v>
      </c>
    </row>
    <row r="34" customFormat="false" ht="12.75" hidden="false" customHeight="true" outlineLevel="0" collapsed="false">
      <c r="A34" s="156" t="s">
        <v>169</v>
      </c>
      <c r="B34" s="171" t="n">
        <f aca="false">IF($B$5=0,0,INDEX($W$55:$W$295,IN_PRAZO+1))</f>
        <v>329895.572514463</v>
      </c>
    </row>
    <row r="35" customFormat="false" ht="12.75" hidden="false" customHeight="true" outlineLevel="0" collapsed="false">
      <c r="A35" s="158" t="s">
        <v>385</v>
      </c>
      <c r="B35" s="128" t="n">
        <f aca="false">IF($B$5=0,0,INDEX($W$55:$W$295,INT(IN_PRAZO/2)+1))</f>
        <v>215279.936139212</v>
      </c>
    </row>
    <row r="36" customFormat="false" ht="12.75" hidden="false" customHeight="true" outlineLevel="0" collapsed="false">
      <c r="A36" s="158" t="s">
        <v>386</v>
      </c>
      <c r="B36" s="128" t="n">
        <f aca="false">IF($B$5=0,0,INDEX($X$55:$X$295,IN_PRAZO+1))</f>
        <v>222865.628245043</v>
      </c>
    </row>
    <row r="37" customFormat="false" ht="12.75" hidden="false" customHeight="true" outlineLevel="0" collapsed="false">
      <c r="A37" s="158" t="s">
        <v>387</v>
      </c>
      <c r="B37" s="128" t="n">
        <f aca="false">IF($B$5=0,0,INDEX($Z$55:$Z$295,IN_PRAZO+1))</f>
        <v>155250</v>
      </c>
    </row>
    <row r="38" customFormat="false" ht="12.75" hidden="false" customHeight="true" outlineLevel="0" collapsed="false">
      <c r="A38" s="158" t="s">
        <v>95</v>
      </c>
      <c r="B38" s="128" t="n">
        <f aca="false">$B$34-$B$37</f>
        <v>174645.572514463</v>
      </c>
    </row>
    <row r="39" customFormat="false" ht="12.75" hidden="false" customHeight="true" outlineLevel="0" collapsed="false">
      <c r="A39" s="158" t="s">
        <v>388</v>
      </c>
      <c r="B39" s="128" t="n">
        <f aca="false">IF($B$5=0,0,SUMIF($A$55:$A$295,"&lt;="&amp;IN_PRAZO,$M$55:$M$295)+INDEX($T$55:$T$295,IN_PRAZO+1)+INDEX($V$55:$V$295,IN_PRAZO+1))</f>
        <v>16294.185644713</v>
      </c>
    </row>
    <row r="40" customFormat="false" ht="12.75" hidden="false" customHeight="true" outlineLevel="0" collapsed="false">
      <c r="A40" s="158" t="s">
        <v>389</v>
      </c>
      <c r="B40" s="128" t="n">
        <f aca="false">IF($B$5=0,0,$B$9+SUMIF($A$55:$A$295,"&lt;="&amp;IN_PRAZO,$I$55:$I$295)+SUMIF($A$55:$A$295,"&lt;="&amp;IN_PRAZO,$J$55:$J$295)+SUMIF($A$55:$A$295,"&lt;="&amp;IN_PRAZO,$K$55:$K$295)+SUMIF($A$55:$A$295,"&lt;="&amp;IN_PRAZO,$G$55:$G$295)+INDEX($U$55:$U$295,IN_PRAZO+1))</f>
        <v>68286.677027061</v>
      </c>
    </row>
    <row r="41" customFormat="false" ht="12.75" hidden="false" customHeight="true" outlineLevel="0" collapsed="false">
      <c r="A41" s="158" t="s">
        <v>241</v>
      </c>
      <c r="B41" s="172" t="n">
        <f aca="false">IF($B$37=0,0,$B$34/$B$37-1)</f>
        <v>1.12493122392569</v>
      </c>
    </row>
    <row r="42" customFormat="false" ht="12.75" hidden="false" customHeight="true" outlineLevel="0" collapsed="false">
      <c r="A42" s="158" t="s">
        <v>242</v>
      </c>
      <c r="B42" s="172" t="n">
        <f aca="false">IF(OR($B$5=0,IN_PRAZO=0),0,IFERROR((1+RATE(IN_PRAZO,-($B$37-$B$10)/IN_PRAZO,-$B$10,$B$34))^12-1,(1+$B$41)^(12/IN_PRAZO)-1))</f>
        <v>0.0782872942052704</v>
      </c>
    </row>
    <row r="43" customFormat="false" ht="12.75" hidden="false" customHeight="true" outlineLevel="0" collapsed="false">
      <c r="A43" s="158" t="s">
        <v>243</v>
      </c>
      <c r="B43" s="172" t="n">
        <f aca="false">IF($B$5=0,0,(1+$B$42)/(1+IPCA_CENARIO)-1)</f>
        <v>0.0368147059666062</v>
      </c>
    </row>
    <row r="44" customFormat="false" ht="12.75" hidden="false" customHeight="true" outlineLevel="0" collapsed="false">
      <c r="A44" s="158" t="s">
        <v>166</v>
      </c>
      <c r="B44" s="172" t="n">
        <f aca="false">IF($B$5=0,0,IF($B$23=1,0,ALIQ_GANHO_CAP))</f>
        <v>0.15</v>
      </c>
    </row>
    <row r="45" customFormat="false" ht="12.75" hidden="false" customHeight="true" outlineLevel="0" collapsed="false">
      <c r="A45" s="158" t="s">
        <v>390</v>
      </c>
      <c r="B45" s="128" t="n">
        <f aca="false">IF($B$5=0,0,INDEX($N$55:$N$295,IN_PRAZO+1))</f>
        <v>827.862635730365</v>
      </c>
    </row>
    <row r="46" customFormat="false" ht="12.75" hidden="false" customHeight="true" outlineLevel="0" collapsed="false">
      <c r="A46" s="158" t="s">
        <v>391</v>
      </c>
      <c r="B46" s="128" t="n">
        <f aca="false">IF($B$5=0,0,INDEX($N$55:$N$295,IN_PRAZO+1)/INDEX($D$55:$D$295,IN_PRAZO+1))</f>
        <v>559.274333409116</v>
      </c>
    </row>
    <row r="47" customFormat="false" ht="12.75" hidden="false" customHeight="true" outlineLevel="0" collapsed="false">
      <c r="A47" s="158" t="s">
        <v>392</v>
      </c>
      <c r="B47" s="187" t="str">
        <f aca="false">IF($B$5=0,"","Depende de vender o imóvel")</f>
        <v>Depende de vender o imóvel</v>
      </c>
    </row>
    <row r="48" customFormat="false" ht="12.75" hidden="false" customHeight="true" outlineLevel="0" collapsed="false">
      <c r="A48" s="158" t="s">
        <v>393</v>
      </c>
      <c r="B48" s="174" t="n">
        <f aca="false">IF($B$5=0,0,IF(IN_CAPITAL&gt;=$B$10,1,0))</f>
        <v>0</v>
      </c>
    </row>
    <row r="49" customFormat="false" ht="12.75" hidden="false" customHeight="true" outlineLevel="0" collapsed="false">
      <c r="A49" s="158" t="s">
        <v>394</v>
      </c>
      <c r="B49" s="174" t="n">
        <f aca="false">IF($B$5=0,0,IF(3&lt;=IFERROR(INDEX(Premissas!$B$102:$B$104,MATCH(IN_PERFIL,Premissas!$A$102:$A$104,0)),5),1,0))</f>
        <v>1</v>
      </c>
    </row>
    <row r="50" customFormat="false" ht="12.75" hidden="false" customHeight="true" outlineLevel="0" collapsed="false">
      <c r="A50" s="158" t="s">
        <v>395</v>
      </c>
      <c r="B50" s="125" t="str">
        <f aca="false">IF($B$5=0,"","Depende de encontrar comprador — normalmente meses")</f>
        <v>Depende de encontrar comprador — normalmente meses</v>
      </c>
    </row>
    <row r="51" customFormat="false" ht="12.75" hidden="false" customHeight="true" outlineLevel="0" collapsed="false">
      <c r="A51" s="158" t="s">
        <v>396</v>
      </c>
      <c r="B51" s="125" t="str">
        <f aca="false">IF($B$5=0,"",IFERROR(INDEX(Premissas!$B$94:$B$98,3),""))</f>
        <v>Média</v>
      </c>
    </row>
    <row r="52" customFormat="false" ht="21.75" hidden="false" customHeight="true" outlineLevel="0" collapsed="false">
      <c r="A52" s="3" t="s">
        <v>437</v>
      </c>
      <c r="B52" s="3"/>
      <c r="C52" s="3"/>
      <c r="D52" s="3"/>
      <c r="E52" s="3"/>
      <c r="F52" s="3"/>
      <c r="G52" s="3"/>
      <c r="H52" s="3"/>
    </row>
    <row r="54" customFormat="false" ht="42" hidden="false" customHeight="true" outlineLevel="0" collapsed="false">
      <c r="A54" s="176" t="s">
        <v>191</v>
      </c>
      <c r="B54" s="176" t="s">
        <v>192</v>
      </c>
      <c r="C54" s="176" t="s">
        <v>398</v>
      </c>
      <c r="D54" s="176" t="s">
        <v>399</v>
      </c>
      <c r="E54" s="176" t="s">
        <v>438</v>
      </c>
      <c r="F54" s="176" t="s">
        <v>439</v>
      </c>
      <c r="G54" s="176" t="s">
        <v>440</v>
      </c>
      <c r="H54" s="176" t="s">
        <v>441</v>
      </c>
      <c r="I54" s="176" t="s">
        <v>442</v>
      </c>
      <c r="J54" s="176" t="s">
        <v>443</v>
      </c>
      <c r="K54" s="176" t="s">
        <v>444</v>
      </c>
      <c r="L54" s="176" t="s">
        <v>445</v>
      </c>
      <c r="M54" s="176" t="s">
        <v>446</v>
      </c>
      <c r="N54" s="176" t="s">
        <v>447</v>
      </c>
      <c r="O54" s="176" t="s">
        <v>448</v>
      </c>
      <c r="P54" s="176" t="s">
        <v>449</v>
      </c>
      <c r="Q54" s="176" t="s">
        <v>450</v>
      </c>
      <c r="R54" s="176" t="s">
        <v>451</v>
      </c>
      <c r="S54" s="176" t="s">
        <v>452</v>
      </c>
      <c r="T54" s="176" t="s">
        <v>453</v>
      </c>
      <c r="U54" s="176" t="s">
        <v>454</v>
      </c>
      <c r="V54" s="176" t="s">
        <v>455</v>
      </c>
      <c r="W54" s="176" t="s">
        <v>456</v>
      </c>
      <c r="X54" s="176" t="s">
        <v>457</v>
      </c>
      <c r="Y54" s="176" t="s">
        <v>458</v>
      </c>
      <c r="Z54" s="176" t="s">
        <v>238</v>
      </c>
    </row>
    <row r="55" customFormat="false" ht="12" hidden="false" customHeight="true" outlineLevel="0" collapsed="false">
      <c r="A55" s="177" t="n">
        <v>0</v>
      </c>
      <c r="B55" s="178" t="n">
        <f aca="false">EDATE(DATA_INICIO,$A55)</f>
        <v>46257</v>
      </c>
      <c r="C55" s="177" t="n">
        <f aca="false">$A55*30</f>
        <v>0</v>
      </c>
      <c r="D55" s="179" t="n">
        <f aca="false">(1+$B$29)^$A55</f>
        <v>1</v>
      </c>
      <c r="E55" s="180" t="n">
        <f aca="false">$B$6*(1+$B$21)^$A55</f>
        <v>150000</v>
      </c>
      <c r="F55" s="180" t="n">
        <f aca="false">IF($A55=0,0,$B$13*(1+$B$16)^($A55-1))</f>
        <v>0</v>
      </c>
      <c r="G55" s="180" t="n">
        <f aca="false">F55*$B$14</f>
        <v>0</v>
      </c>
      <c r="H55" s="180" t="n">
        <f aca="false">F55-G55</f>
        <v>0</v>
      </c>
      <c r="I55" s="180" t="n">
        <f aca="false">IF($A55=0,0,E55*$B$17/12)</f>
        <v>0</v>
      </c>
      <c r="J55" s="180" t="n">
        <f aca="false">H55*$B$19</f>
        <v>0</v>
      </c>
      <c r="K55" s="180" t="n">
        <f aca="false">IF($A55=0,0,E55*$B$18/12)</f>
        <v>0</v>
      </c>
      <c r="L55" s="180" t="n">
        <f aca="false">MAX(0,H55-I55-J55)</f>
        <v>0</v>
      </c>
      <c r="M55" s="180" t="n">
        <f aca="false">MAX(0,L55*IFERROR(INDEX(TAB_IRPF_ALIQ,MATCH(L55,TAB_IRPF_BASE,1)),0)-IFERROR(INDEX(TAB_IRPF_DED,MATCH(L55,TAB_IRPF_BASE,1)),0))</f>
        <v>0</v>
      </c>
      <c r="N55" s="180" t="n">
        <f aca="false">H55-I55-J55-K55-M55</f>
        <v>0</v>
      </c>
      <c r="O55" s="180" t="n">
        <f aca="false">IF(OR($A55=0,$A55&gt;IN_PRAZO,$B$5=0),0,IF(APORTE_CORRIGIDO="Sim",IN_APORTE*$D55,IN_APORTE))</f>
        <v>0</v>
      </c>
      <c r="P55" s="180" t="n">
        <f aca="false">IF($B$25=1,MAX(0,N55),0)</f>
        <v>0</v>
      </c>
      <c r="Q55" s="180" t="n">
        <f aca="false">0</f>
        <v>0</v>
      </c>
      <c r="R55" s="180" t="n">
        <f aca="false">MAX(0,$B$12)</f>
        <v>0</v>
      </c>
      <c r="S55" s="180" t="n">
        <f aca="false">MAX(0,$B$12)</f>
        <v>0</v>
      </c>
      <c r="T55" s="180" t="n">
        <f aca="false">MAX(0,IFERROR(INDEX(TAB_IR,MATCH($C55,TAB_IR_DIAS,1),MATCH("RF_REGR",TAB_IR_REGIMES,0)),0)*MAX(0,R55-S55))</f>
        <v>0</v>
      </c>
      <c r="U55" s="180" t="n">
        <f aca="false">E55*$B$22</f>
        <v>9000</v>
      </c>
      <c r="V55" s="180" t="n">
        <f aca="false">IF($B$23=1,0,MAX(0,ALIQ_GANHO_CAP*MAX(0,E55-U55-$B$30)))</f>
        <v>0</v>
      </c>
      <c r="W55" s="181" t="n">
        <f aca="false">IF($B$5=0,0,E55-U55-V55+R55-T55)</f>
        <v>141000</v>
      </c>
      <c r="X55" s="180" t="n">
        <f aca="false">W55/$D55</f>
        <v>141000</v>
      </c>
      <c r="Y55" s="180" t="n">
        <f aca="false">IF($B$25=1,0,MAX(0,N55))</f>
        <v>0</v>
      </c>
      <c r="Z55" s="180" t="n">
        <f aca="false">$B$10+MAX(0,$B$12)</f>
        <v>155250</v>
      </c>
    </row>
    <row r="56" customFormat="false" ht="12" hidden="false" customHeight="true" outlineLevel="0" collapsed="false">
      <c r="A56" s="177" t="n">
        <v>1</v>
      </c>
      <c r="B56" s="178" t="n">
        <f aca="false">EDATE(DATA_INICIO,$A56)</f>
        <v>46288</v>
      </c>
      <c r="C56" s="177" t="n">
        <f aca="false">$A56*30</f>
        <v>30</v>
      </c>
      <c r="D56" s="179" t="n">
        <f aca="false">(1+$B$29)^$A56</f>
        <v>1.0032737397822</v>
      </c>
      <c r="E56" s="180" t="n">
        <f aca="false">$B$6*(1+$B$21)^$A56</f>
        <v>150491.06096733</v>
      </c>
      <c r="F56" s="180" t="n">
        <f aca="false">IF($A56=0,0,$B$13*(1+$B$16)^($A56-1))</f>
        <v>900</v>
      </c>
      <c r="G56" s="180" t="n">
        <f aca="false">F56*$B$14</f>
        <v>72</v>
      </c>
      <c r="H56" s="180" t="n">
        <f aca="false">F56-G56</f>
        <v>828</v>
      </c>
      <c r="I56" s="180" t="n">
        <f aca="false">IF($A56=0,0,E56*$B$17/12)</f>
        <v>75.2455304836649</v>
      </c>
      <c r="J56" s="180" t="n">
        <f aca="false">H56*$B$19</f>
        <v>66.24</v>
      </c>
      <c r="K56" s="180" t="n">
        <f aca="false">IF($A56=0,0,E56*$B$18/12)</f>
        <v>125.409217472775</v>
      </c>
      <c r="L56" s="180" t="n">
        <f aca="false">MAX(0,H56-I56-J56)</f>
        <v>686.514469516335</v>
      </c>
      <c r="M56" s="180" t="n">
        <f aca="false">MAX(0,L56*IFERROR(INDEX(TAB_IRPF_ALIQ,MATCH(L56,TAB_IRPF_BASE,1)),0)-IFERROR(INDEX(TAB_IRPF_DED,MATCH(L56,TAB_IRPF_BASE,1)),0))</f>
        <v>0</v>
      </c>
      <c r="N56" s="180" t="n">
        <f aca="false">H56-I56-J56-K56-M56</f>
        <v>561.10525204356</v>
      </c>
      <c r="O56" s="180" t="n">
        <f aca="false">IF(OR($A56=0,$A56&gt;IN_PRAZO,$B$5=0),0,IF(APORTE_CORRIGIDO="Sim",IN_APORTE*$D56,IN_APORTE))</f>
        <v>0</v>
      </c>
      <c r="P56" s="180" t="n">
        <f aca="false">IF($B$25=1,MAX(0,N56),0)</f>
        <v>561.10525204356</v>
      </c>
      <c r="Q56" s="180" t="n">
        <f aca="false">R55*$B$27</f>
        <v>0</v>
      </c>
      <c r="R56" s="180" t="n">
        <f aca="false">R55+Q56+O56+P56</f>
        <v>561.10525204356</v>
      </c>
      <c r="S56" s="180" t="n">
        <f aca="false">S55+O56+P56</f>
        <v>561.10525204356</v>
      </c>
      <c r="T56" s="180" t="n">
        <f aca="false">MAX(0,IFERROR(INDEX(TAB_IR,MATCH($C56,TAB_IR_DIAS,1),MATCH("RF_REGR",TAB_IR_REGIMES,0)),0)*MAX(0,R56-S56))</f>
        <v>0</v>
      </c>
      <c r="U56" s="180" t="n">
        <f aca="false">E56*$B$22</f>
        <v>9029.46365803979</v>
      </c>
      <c r="V56" s="180" t="n">
        <f aca="false">IF($B$23=1,0,MAX(0,ALIQ_GANHO_CAP*MAX(0,E56-U56-$B$30)))</f>
        <v>0</v>
      </c>
      <c r="W56" s="181" t="n">
        <f aca="false">IF($B$5=0,0,E56-U56-V56+R56-T56)</f>
        <v>142022.702561334</v>
      </c>
      <c r="X56" s="180" t="n">
        <f aca="false">W56/$D56</f>
        <v>141559.274333409</v>
      </c>
      <c r="Y56" s="180" t="n">
        <f aca="false">IF($B$25=1,0,MAX(0,N56))</f>
        <v>0</v>
      </c>
      <c r="Z56" s="180" t="n">
        <f aca="false">Z55+O56</f>
        <v>155250</v>
      </c>
    </row>
    <row r="57" customFormat="false" ht="12" hidden="false" customHeight="true" outlineLevel="0" collapsed="false">
      <c r="A57" s="177" t="n">
        <v>2</v>
      </c>
      <c r="B57" s="178" t="n">
        <f aca="false">EDATE(DATA_INICIO,$A57)</f>
        <v>46318</v>
      </c>
      <c r="C57" s="177" t="n">
        <f aca="false">$A57*30</f>
        <v>60</v>
      </c>
      <c r="D57" s="179" t="n">
        <f aca="false">(1+$B$29)^$A57</f>
        <v>1.00655819693656</v>
      </c>
      <c r="E57" s="180" t="n">
        <f aca="false">$B$6*(1+$B$21)^$A57</f>
        <v>150983.729540484</v>
      </c>
      <c r="F57" s="180" t="n">
        <f aca="false">IF($A57=0,0,$B$13*(1+$B$16)^($A57-1))</f>
        <v>902.946365803979</v>
      </c>
      <c r="G57" s="180" t="n">
        <f aca="false">F57*$B$14</f>
        <v>72.2357092643183</v>
      </c>
      <c r="H57" s="180" t="n">
        <f aca="false">F57-G57</f>
        <v>830.710656539661</v>
      </c>
      <c r="I57" s="180" t="n">
        <f aca="false">IF($A57=0,0,E57*$B$17/12)</f>
        <v>75.491864770242</v>
      </c>
      <c r="J57" s="180" t="n">
        <f aca="false">H57*$B$19</f>
        <v>66.4568525231729</v>
      </c>
      <c r="K57" s="180" t="n">
        <f aca="false">IF($A57=0,0,E57*$B$18/12)</f>
        <v>125.81977461707</v>
      </c>
      <c r="L57" s="180" t="n">
        <f aca="false">MAX(0,H57-I57-J57)</f>
        <v>688.761939246246</v>
      </c>
      <c r="M57" s="180" t="n">
        <f aca="false">MAX(0,L57*IFERROR(INDEX(TAB_IRPF_ALIQ,MATCH(L57,TAB_IRPF_BASE,1)),0)-IFERROR(INDEX(TAB_IRPF_DED,MATCH(L57,TAB_IRPF_BASE,1)),0))</f>
        <v>0</v>
      </c>
      <c r="N57" s="180" t="n">
        <f aca="false">H57-I57-J57-K57-M57</f>
        <v>562.942164629176</v>
      </c>
      <c r="O57" s="180" t="n">
        <f aca="false">IF(OR($A57=0,$A57&gt;IN_PRAZO,$B$5=0),0,IF(APORTE_CORRIGIDO="Sim",IN_APORTE*$D57,IN_APORTE))</f>
        <v>0</v>
      </c>
      <c r="P57" s="180" t="n">
        <f aca="false">IF($B$25=1,MAX(0,N57),0)</f>
        <v>562.942164629176</v>
      </c>
      <c r="Q57" s="180" t="n">
        <f aca="false">R56*$B$27</f>
        <v>4.76572108728126</v>
      </c>
      <c r="R57" s="180" t="n">
        <f aca="false">R56+Q57+O57+P57</f>
        <v>1128.81313776002</v>
      </c>
      <c r="S57" s="180" t="n">
        <f aca="false">S56+O57+P57</f>
        <v>1124.04741667274</v>
      </c>
      <c r="T57" s="180" t="n">
        <f aca="false">MAX(0,IFERROR(INDEX(TAB_IR,MATCH($C57,TAB_IR_DIAS,1),MATCH("RF_REGR",TAB_IR_REGIMES,0)),0)*MAX(0,R57-S57))</f>
        <v>1.07228724463828</v>
      </c>
      <c r="U57" s="180" t="n">
        <f aca="false">E57*$B$22</f>
        <v>9059.02377242904</v>
      </c>
      <c r="V57" s="180" t="n">
        <f aca="false">IF($B$23=1,0,MAX(0,ALIQ_GANHO_CAP*MAX(0,E57-U57-$B$30)))</f>
        <v>0</v>
      </c>
      <c r="W57" s="181" t="n">
        <f aca="false">IF($B$5=0,0,E57-U57-V57+R57-T57)</f>
        <v>143052.44661857</v>
      </c>
      <c r="X57" s="180" t="n">
        <f aca="false">W57/$D57</f>
        <v>142120.393091972</v>
      </c>
      <c r="Y57" s="180" t="n">
        <f aca="false">IF($B$25=1,0,MAX(0,N57))</f>
        <v>0</v>
      </c>
      <c r="Z57" s="180" t="n">
        <f aca="false">Z56+O57</f>
        <v>155250</v>
      </c>
    </row>
    <row r="58" customFormat="false" ht="12" hidden="false" customHeight="true" outlineLevel="0" collapsed="false">
      <c r="A58" s="177" t="n">
        <v>3</v>
      </c>
      <c r="B58" s="178" t="n">
        <f aca="false">EDATE(DATA_INICIO,$A58)</f>
        <v>46349</v>
      </c>
      <c r="C58" s="177" t="n">
        <f aca="false">$A58*30</f>
        <v>90</v>
      </c>
      <c r="D58" s="179" t="n">
        <f aca="false">(1+$B$29)^$A58</f>
        <v>1.00985340654897</v>
      </c>
      <c r="E58" s="180" t="n">
        <f aca="false">$B$6*(1+$B$21)^$A58</f>
        <v>151478.010982345</v>
      </c>
      <c r="F58" s="180" t="n">
        <f aca="false">IF($A58=0,0,$B$13*(1+$B$16)^($A58-1))</f>
        <v>905.902377242903</v>
      </c>
      <c r="G58" s="180" t="n">
        <f aca="false">F58*$B$14</f>
        <v>72.4721901794323</v>
      </c>
      <c r="H58" s="180" t="n">
        <f aca="false">F58-G58</f>
        <v>833.430187063471</v>
      </c>
      <c r="I58" s="180" t="n">
        <f aca="false">IF($A58=0,0,E58*$B$17/12)</f>
        <v>75.7390054911727</v>
      </c>
      <c r="J58" s="180" t="n">
        <f aca="false">H58*$B$19</f>
        <v>66.6744149650777</v>
      </c>
      <c r="K58" s="180" t="n">
        <f aca="false">IF($A58=0,0,E58*$B$18/12)</f>
        <v>126.231675818621</v>
      </c>
      <c r="L58" s="180" t="n">
        <f aca="false">MAX(0,H58-I58-J58)</f>
        <v>691.016766607221</v>
      </c>
      <c r="M58" s="180" t="n">
        <f aca="false">MAX(0,L58*IFERROR(INDEX(TAB_IRPF_ALIQ,MATCH(L58,TAB_IRPF_BASE,1)),0)-IFERROR(INDEX(TAB_IRPF_DED,MATCH(L58,TAB_IRPF_BASE,1)),0))</f>
        <v>0</v>
      </c>
      <c r="N58" s="180" t="n">
        <f aca="false">H58-I58-J58-K58-M58</f>
        <v>564.7850907886</v>
      </c>
      <c r="O58" s="180" t="n">
        <f aca="false">IF(OR($A58=0,$A58&gt;IN_PRAZO,$B$5=0),0,IF(APORTE_CORRIGIDO="Sim",IN_APORTE*$D58,IN_APORTE))</f>
        <v>0</v>
      </c>
      <c r="P58" s="180" t="n">
        <f aca="false">IF($B$25=1,MAX(0,N58),0)</f>
        <v>564.7850907886</v>
      </c>
      <c r="Q58" s="180" t="n">
        <f aca="false">R57*$B$27</f>
        <v>9.5875213333512</v>
      </c>
      <c r="R58" s="180" t="n">
        <f aca="false">R57+Q58+O58+P58</f>
        <v>1703.18574988197</v>
      </c>
      <c r="S58" s="180" t="n">
        <f aca="false">S57+O58+P58</f>
        <v>1688.83250746134</v>
      </c>
      <c r="T58" s="180" t="n">
        <f aca="false">MAX(0,IFERROR(INDEX(TAB_IR,MATCH($C58,TAB_IR_DIAS,1),MATCH("RF_REGR",TAB_IR_REGIMES,0)),0)*MAX(0,R58-S58))</f>
        <v>3.22947954464228</v>
      </c>
      <c r="U58" s="180" t="n">
        <f aca="false">E58*$B$22</f>
        <v>9088.68065894072</v>
      </c>
      <c r="V58" s="180" t="n">
        <f aca="false">IF($B$23=1,0,MAX(0,ALIQ_GANHO_CAP*MAX(0,E58-U58-$B$30)))</f>
        <v>0</v>
      </c>
      <c r="W58" s="181" t="n">
        <f aca="false">IF($B$5=0,0,E58-U58-V58+R58-T58)</f>
        <v>144089.286593742</v>
      </c>
      <c r="X58" s="180" t="n">
        <f aca="false">W58/$D58</f>
        <v>142683.369347782</v>
      </c>
      <c r="Y58" s="180" t="n">
        <f aca="false">IF($B$25=1,0,MAX(0,N58))</f>
        <v>0</v>
      </c>
      <c r="Z58" s="180" t="n">
        <f aca="false">Z57+O58</f>
        <v>155250</v>
      </c>
    </row>
    <row r="59" customFormat="false" ht="12" hidden="false" customHeight="true" outlineLevel="0" collapsed="false">
      <c r="A59" s="177" t="n">
        <v>4</v>
      </c>
      <c r="B59" s="178" t="n">
        <f aca="false">EDATE(DATA_INICIO,$A59)</f>
        <v>46379</v>
      </c>
      <c r="C59" s="177" t="n">
        <f aca="false">$A59*30</f>
        <v>120</v>
      </c>
      <c r="D59" s="179" t="n">
        <f aca="false">(1+$B$29)^$A59</f>
        <v>1.01315940382018</v>
      </c>
      <c r="E59" s="180" t="n">
        <f aca="false">$B$6*(1+$B$21)^$A59</f>
        <v>151973.910573027</v>
      </c>
      <c r="F59" s="180" t="n">
        <f aca="false">IF($A59=0,0,$B$13*(1+$B$16)^($A59-1))</f>
        <v>908.868065894072</v>
      </c>
      <c r="G59" s="180" t="n">
        <f aca="false">F59*$B$14</f>
        <v>72.7094452715258</v>
      </c>
      <c r="H59" s="180" t="n">
        <f aca="false">F59-G59</f>
        <v>836.158620622546</v>
      </c>
      <c r="I59" s="180" t="n">
        <f aca="false">IF($A59=0,0,E59*$B$17/12)</f>
        <v>75.9869552865133</v>
      </c>
      <c r="J59" s="180" t="n">
        <f aca="false">H59*$B$19</f>
        <v>66.8926896498037</v>
      </c>
      <c r="K59" s="180" t="n">
        <f aca="false">IF($A59=0,0,E59*$B$18/12)</f>
        <v>126.644925477522</v>
      </c>
      <c r="L59" s="180" t="n">
        <f aca="false">MAX(0,H59-I59-J59)</f>
        <v>693.278975686229</v>
      </c>
      <c r="M59" s="180" t="n">
        <f aca="false">MAX(0,L59*IFERROR(INDEX(TAB_IRPF_ALIQ,MATCH(L59,TAB_IRPF_BASE,1)),0)-IFERROR(INDEX(TAB_IRPF_DED,MATCH(L59,TAB_IRPF_BASE,1)),0))</f>
        <v>0</v>
      </c>
      <c r="N59" s="180" t="n">
        <f aca="false">H59-I59-J59-K59-M59</f>
        <v>566.634050208707</v>
      </c>
      <c r="O59" s="180" t="n">
        <f aca="false">IF(OR($A59=0,$A59&gt;IN_PRAZO,$B$5=0),0,IF(APORTE_CORRIGIDO="Sim",IN_APORTE*$D59,IN_APORTE))</f>
        <v>0</v>
      </c>
      <c r="P59" s="180" t="n">
        <f aca="false">IF($B$25=1,MAX(0,N59),0)</f>
        <v>566.634050208707</v>
      </c>
      <c r="Q59" s="180" t="n">
        <f aca="false">R58*$B$27</f>
        <v>14.4659281199159</v>
      </c>
      <c r="R59" s="180" t="n">
        <f aca="false">R58+Q59+O59+P59</f>
        <v>2284.28572821059</v>
      </c>
      <c r="S59" s="180" t="n">
        <f aca="false">S58+O59+P59</f>
        <v>2255.46655767004</v>
      </c>
      <c r="T59" s="180" t="n">
        <f aca="false">MAX(0,IFERROR(INDEX(TAB_IR,MATCH($C59,TAB_IR_DIAS,1),MATCH("RF_REGR",TAB_IR_REGIMES,0)),0)*MAX(0,R59-S59))</f>
        <v>6.48431337162328</v>
      </c>
      <c r="U59" s="180" t="n">
        <f aca="false">E59*$B$22</f>
        <v>9118.4346343816</v>
      </c>
      <c r="V59" s="180" t="n">
        <f aca="false">IF($B$23=1,0,MAX(0,ALIQ_GANHO_CAP*MAX(0,E59-U59-$B$30)))</f>
        <v>0</v>
      </c>
      <c r="W59" s="181" t="n">
        <f aca="false">IF($B$5=0,0,E59-U59-V59+R59-T59)</f>
        <v>145133.277353484</v>
      </c>
      <c r="X59" s="180" t="n">
        <f aca="false">W59/$D59</f>
        <v>143248.216229599</v>
      </c>
      <c r="Y59" s="180" t="n">
        <f aca="false">IF($B$25=1,0,MAX(0,N59))</f>
        <v>0</v>
      </c>
      <c r="Z59" s="180" t="n">
        <f aca="false">Z58+O59</f>
        <v>155250</v>
      </c>
    </row>
    <row r="60" customFormat="false" ht="12" hidden="false" customHeight="true" outlineLevel="0" collapsed="false">
      <c r="A60" s="177" t="n">
        <v>5</v>
      </c>
      <c r="B60" s="178" t="n">
        <f aca="false">EDATE(DATA_INICIO,$A60)</f>
        <v>46410</v>
      </c>
      <c r="C60" s="177" t="n">
        <f aca="false">$A60*30</f>
        <v>150</v>
      </c>
      <c r="D60" s="179" t="n">
        <f aca="false">(1+$B$29)^$A60</f>
        <v>1.01647622406617</v>
      </c>
      <c r="E60" s="180" t="n">
        <f aca="false">$B$6*(1+$B$21)^$A60</f>
        <v>152471.433609926</v>
      </c>
      <c r="F60" s="180" t="n">
        <f aca="false">IF($A60=0,0,$B$13*(1+$B$16)^($A60-1))</f>
        <v>911.84346343816</v>
      </c>
      <c r="G60" s="180" t="n">
        <f aca="false">F60*$B$14</f>
        <v>72.9474770750528</v>
      </c>
      <c r="H60" s="180" t="n">
        <f aca="false">F60-G60</f>
        <v>838.895986363107</v>
      </c>
      <c r="I60" s="180" t="n">
        <f aca="false">IF($A60=0,0,E60*$B$17/12)</f>
        <v>76.2357168049629</v>
      </c>
      <c r="J60" s="180" t="n">
        <f aca="false">H60*$B$19</f>
        <v>67.1116789090486</v>
      </c>
      <c r="K60" s="180" t="n">
        <f aca="false">IF($A60=0,0,E60*$B$18/12)</f>
        <v>127.059528008272</v>
      </c>
      <c r="L60" s="180" t="n">
        <f aca="false">MAX(0,H60-I60-J60)</f>
        <v>695.548590649095</v>
      </c>
      <c r="M60" s="180" t="n">
        <f aca="false">MAX(0,L60*IFERROR(INDEX(TAB_IRPF_ALIQ,MATCH(L60,TAB_IRPF_BASE,1)),0)-IFERROR(INDEX(TAB_IRPF_DED,MATCH(L60,TAB_IRPF_BASE,1)),0))</f>
        <v>0</v>
      </c>
      <c r="N60" s="180" t="n">
        <f aca="false">H60-I60-J60-K60-M60</f>
        <v>568.489062640824</v>
      </c>
      <c r="O60" s="180" t="n">
        <f aca="false">IF(OR($A60=0,$A60&gt;IN_PRAZO,$B$5=0),0,IF(APORTE_CORRIGIDO="Sim",IN_APORTE*$D60,IN_APORTE))</f>
        <v>0</v>
      </c>
      <c r="P60" s="180" t="n">
        <f aca="false">IF($B$25=1,MAX(0,N60),0)</f>
        <v>568.489062640824</v>
      </c>
      <c r="Q60" s="180" t="n">
        <f aca="false">R59*$B$27</f>
        <v>19.4014734751827</v>
      </c>
      <c r="R60" s="180" t="n">
        <f aca="false">R59+Q60+O60+P60</f>
        <v>2872.1762643266</v>
      </c>
      <c r="S60" s="180" t="n">
        <f aca="false">S59+O60+P60</f>
        <v>2823.95562031087</v>
      </c>
      <c r="T60" s="180" t="n">
        <f aca="false">MAX(0,IFERROR(INDEX(TAB_IR,MATCH($C60,TAB_IR_DIAS,1),MATCH("RF_REGR",TAB_IR_REGIMES,0)),0)*MAX(0,R60-S60))</f>
        <v>10.8496449035394</v>
      </c>
      <c r="U60" s="180" t="n">
        <f aca="false">E60*$B$22</f>
        <v>9148.28601659555</v>
      </c>
      <c r="V60" s="180" t="n">
        <f aca="false">IF($B$23=1,0,MAX(0,ALIQ_GANHO_CAP*MAX(0,E60-U60-$B$30)))</f>
        <v>0</v>
      </c>
      <c r="W60" s="181" t="n">
        <f aca="false">IF($B$5=0,0,E60-U60-V60+R60-T60)</f>
        <v>146184.474212753</v>
      </c>
      <c r="X60" s="180" t="n">
        <f aca="false">W60/$D60</f>
        <v>143814.946923182</v>
      </c>
      <c r="Y60" s="180" t="n">
        <f aca="false">IF($B$25=1,0,MAX(0,N60))</f>
        <v>0</v>
      </c>
      <c r="Z60" s="180" t="n">
        <f aca="false">Z59+O60</f>
        <v>155250</v>
      </c>
    </row>
    <row r="61" customFormat="false" ht="12" hidden="false" customHeight="true" outlineLevel="0" collapsed="false">
      <c r="A61" s="177" t="n">
        <v>6</v>
      </c>
      <c r="B61" s="178" t="n">
        <f aca="false">EDATE(DATA_INICIO,$A61)</f>
        <v>46441</v>
      </c>
      <c r="C61" s="177" t="n">
        <f aca="false">$A61*30</f>
        <v>180</v>
      </c>
      <c r="D61" s="179" t="n">
        <f aca="false">(1+$B$29)^$A61</f>
        <v>1.01980390271856</v>
      </c>
      <c r="E61" s="180" t="n">
        <f aca="false">$B$6*(1+$B$21)^$A61</f>
        <v>152970.585407784</v>
      </c>
      <c r="F61" s="180" t="n">
        <f aca="false">IF($A61=0,0,$B$13*(1+$B$16)^($A61-1))</f>
        <v>914.828601659555</v>
      </c>
      <c r="G61" s="180" t="n">
        <f aca="false">F61*$B$14</f>
        <v>73.1862881327644</v>
      </c>
      <c r="H61" s="180" t="n">
        <f aca="false">F61-G61</f>
        <v>841.642313526791</v>
      </c>
      <c r="I61" s="180" t="n">
        <f aca="false">IF($A61=0,0,E61*$B$17/12)</f>
        <v>76.4852927038918</v>
      </c>
      <c r="J61" s="180" t="n">
        <f aca="false">H61*$B$19</f>
        <v>67.3313850821433</v>
      </c>
      <c r="K61" s="180" t="n">
        <f aca="false">IF($A61=0,0,E61*$B$18/12)</f>
        <v>127.47548783982</v>
      </c>
      <c r="L61" s="180" t="n">
        <f aca="false">MAX(0,H61-I61-J61)</f>
        <v>697.825635740756</v>
      </c>
      <c r="M61" s="180" t="n">
        <f aca="false">MAX(0,L61*IFERROR(INDEX(TAB_IRPF_ALIQ,MATCH(L61,TAB_IRPF_BASE,1)),0)-IFERROR(INDEX(TAB_IRPF_DED,MATCH(L61,TAB_IRPF_BASE,1)),0))</f>
        <v>0</v>
      </c>
      <c r="N61" s="180" t="n">
        <f aca="false">H61-I61-J61-K61-M61</f>
        <v>570.350147900936</v>
      </c>
      <c r="O61" s="180" t="n">
        <f aca="false">IF(OR($A61=0,$A61&gt;IN_PRAZO,$B$5=0),0,IF(APORTE_CORRIGIDO="Sim",IN_APORTE*$D61,IN_APORTE))</f>
        <v>0</v>
      </c>
      <c r="P61" s="180" t="n">
        <f aca="false">IF($B$25=1,MAX(0,N61),0)</f>
        <v>570.350147900936</v>
      </c>
      <c r="Q61" s="180" t="n">
        <f aca="false">R60*$B$27</f>
        <v>24.3946941138725</v>
      </c>
      <c r="R61" s="180" t="n">
        <f aca="false">R60+Q61+O61+P61</f>
        <v>3466.92110634141</v>
      </c>
      <c r="S61" s="180" t="n">
        <f aca="false">S60+O61+P61</f>
        <v>3394.3057682118</v>
      </c>
      <c r="T61" s="180" t="n">
        <f aca="false">MAX(0,IFERROR(INDEX(TAB_IR,MATCH($C61,TAB_IR_DIAS,1),MATCH("RF_REGR",TAB_IR_REGIMES,0)),0)*MAX(0,R61-S61))</f>
        <v>16.3384510791607</v>
      </c>
      <c r="U61" s="180" t="n">
        <f aca="false">E61*$B$22</f>
        <v>9178.23512446702</v>
      </c>
      <c r="V61" s="180" t="n">
        <f aca="false">IF($B$23=1,0,MAX(0,ALIQ_GANHO_CAP*MAX(0,E61-U61-$B$30)))</f>
        <v>0</v>
      </c>
      <c r="W61" s="181" t="n">
        <f aca="false">IF($B$5=0,0,E61-U61-V61+R61-T61)</f>
        <v>147242.932938579</v>
      </c>
      <c r="X61" s="180" t="n">
        <f aca="false">W61/$D61</f>
        <v>144383.574671624</v>
      </c>
      <c r="Y61" s="180" t="n">
        <f aca="false">IF($B$25=1,0,MAX(0,N61))</f>
        <v>0</v>
      </c>
      <c r="Z61" s="180" t="n">
        <f aca="false">Z60+O61</f>
        <v>155250</v>
      </c>
    </row>
    <row r="62" customFormat="false" ht="12" hidden="false" customHeight="true" outlineLevel="0" collapsed="false">
      <c r="A62" s="177" t="n">
        <v>7</v>
      </c>
      <c r="B62" s="178" t="n">
        <f aca="false">EDATE(DATA_INICIO,$A62)</f>
        <v>46469</v>
      </c>
      <c r="C62" s="177" t="n">
        <f aca="false">$A62*30</f>
        <v>210</v>
      </c>
      <c r="D62" s="179" t="n">
        <f aca="false">(1+$B$29)^$A62</f>
        <v>1.02314247532493</v>
      </c>
      <c r="E62" s="180" t="n">
        <f aca="false">$B$6*(1+$B$21)^$A62</f>
        <v>153471.371298739</v>
      </c>
      <c r="F62" s="180" t="n">
        <f aca="false">IF($A62=0,0,$B$13*(1+$B$16)^($A62-1))</f>
        <v>917.823512446702</v>
      </c>
      <c r="G62" s="180" t="n">
        <f aca="false">F62*$B$14</f>
        <v>73.4258809957361</v>
      </c>
      <c r="H62" s="180" t="n">
        <f aca="false">F62-G62</f>
        <v>844.397631450966</v>
      </c>
      <c r="I62" s="180" t="n">
        <f aca="false">IF($A62=0,0,E62*$B$17/12)</f>
        <v>76.7356856493697</v>
      </c>
      <c r="J62" s="180" t="n">
        <f aca="false">H62*$B$19</f>
        <v>67.5518105160772</v>
      </c>
      <c r="K62" s="180" t="n">
        <f aca="false">IF($A62=0,0,E62*$B$18/12)</f>
        <v>127.892809415616</v>
      </c>
      <c r="L62" s="180" t="n">
        <f aca="false">MAX(0,H62-I62-J62)</f>
        <v>700.110135285519</v>
      </c>
      <c r="M62" s="180" t="n">
        <f aca="false">MAX(0,L62*IFERROR(INDEX(TAB_IRPF_ALIQ,MATCH(L62,TAB_IRPF_BASE,1)),0)-IFERROR(INDEX(TAB_IRPF_DED,MATCH(L62,TAB_IRPF_BASE,1)),0))</f>
        <v>0</v>
      </c>
      <c r="N62" s="180" t="n">
        <f aca="false">H62-I62-J62-K62-M62</f>
        <v>572.217325869903</v>
      </c>
      <c r="O62" s="180" t="n">
        <f aca="false">IF(OR($A62=0,$A62&gt;IN_PRAZO,$B$5=0),0,IF(APORTE_CORRIGIDO="Sim",IN_APORTE*$D62,IN_APORTE))</f>
        <v>0</v>
      </c>
      <c r="P62" s="180" t="n">
        <f aca="false">IF($B$25=1,MAX(0,N62),0)</f>
        <v>572.217325869903</v>
      </c>
      <c r="Q62" s="180" t="n">
        <f aca="false">R61*$B$27</f>
        <v>29.4461314775735</v>
      </c>
      <c r="R62" s="180" t="n">
        <f aca="false">R61+Q62+O62+P62</f>
        <v>4068.58456368888</v>
      </c>
      <c r="S62" s="180" t="n">
        <f aca="false">S61+O62+P62</f>
        <v>3966.52309408171</v>
      </c>
      <c r="T62" s="180" t="n">
        <f aca="false">MAX(0,IFERROR(INDEX(TAB_IR,MATCH($C62,TAB_IR_DIAS,1),MATCH("RF_REGR",TAB_IR_REGIMES,0)),0)*MAX(0,R62-S62))</f>
        <v>20.4122939214353</v>
      </c>
      <c r="U62" s="180" t="n">
        <f aca="false">E62*$B$22</f>
        <v>9208.28227792436</v>
      </c>
      <c r="V62" s="180" t="n">
        <f aca="false">IF($B$23=1,0,MAX(0,ALIQ_GANHO_CAP*MAX(0,E62-U62-$B$30)))</f>
        <v>0</v>
      </c>
      <c r="W62" s="181" t="n">
        <f aca="false">IF($B$5=0,0,E62-U62-V62+R62-T62)</f>
        <v>148311.261290582</v>
      </c>
      <c r="X62" s="180" t="n">
        <f aca="false">W62/$D62</f>
        <v>144956.606599176</v>
      </c>
      <c r="Y62" s="180" t="n">
        <f aca="false">IF($B$25=1,0,MAX(0,N62))</f>
        <v>0</v>
      </c>
      <c r="Z62" s="180" t="n">
        <f aca="false">Z61+O62</f>
        <v>155250</v>
      </c>
    </row>
    <row r="63" customFormat="false" ht="12" hidden="false" customHeight="true" outlineLevel="0" collapsed="false">
      <c r="A63" s="177" t="n">
        <v>8</v>
      </c>
      <c r="B63" s="178" t="n">
        <f aca="false">EDATE(DATA_INICIO,$A63)</f>
        <v>46500</v>
      </c>
      <c r="C63" s="177" t="n">
        <f aca="false">$A63*30</f>
        <v>240</v>
      </c>
      <c r="D63" s="179" t="n">
        <f aca="false">(1+$B$29)^$A63</f>
        <v>1.02649197754926</v>
      </c>
      <c r="E63" s="180" t="n">
        <f aca="false">$B$6*(1+$B$21)^$A63</f>
        <v>153973.796632389</v>
      </c>
      <c r="F63" s="180" t="n">
        <f aca="false">IF($A63=0,0,$B$13*(1+$B$16)^($A63-1))</f>
        <v>920.828227792436</v>
      </c>
      <c r="G63" s="180" t="n">
        <f aca="false">F63*$B$14</f>
        <v>73.6662582233949</v>
      </c>
      <c r="H63" s="180" t="n">
        <f aca="false">F63-G63</f>
        <v>847.161969569041</v>
      </c>
      <c r="I63" s="180" t="n">
        <f aca="false">IF($A63=0,0,E63*$B$17/12)</f>
        <v>76.9868983161943</v>
      </c>
      <c r="J63" s="180" t="n">
        <f aca="false">H63*$B$19</f>
        <v>67.7729575655233</v>
      </c>
      <c r="K63" s="180" t="n">
        <f aca="false">IF($A63=0,0,E63*$B$18/12)</f>
        <v>128.311497193657</v>
      </c>
      <c r="L63" s="180" t="n">
        <f aca="false">MAX(0,H63-I63-J63)</f>
        <v>702.402113687323</v>
      </c>
      <c r="M63" s="180" t="n">
        <f aca="false">MAX(0,L63*IFERROR(INDEX(TAB_IRPF_ALIQ,MATCH(L63,TAB_IRPF_BASE,1)),0)-IFERROR(INDEX(TAB_IRPF_DED,MATCH(L63,TAB_IRPF_BASE,1)),0))</f>
        <v>0</v>
      </c>
      <c r="N63" s="180" t="n">
        <f aca="false">H63-I63-J63-K63-M63</f>
        <v>574.090616493666</v>
      </c>
      <c r="O63" s="180" t="n">
        <f aca="false">IF(OR($A63=0,$A63&gt;IN_PRAZO,$B$5=0),0,IF(APORTE_CORRIGIDO="Sim",IN_APORTE*$D63,IN_APORTE))</f>
        <v>0</v>
      </c>
      <c r="P63" s="180" t="n">
        <f aca="false">IF($B$25=1,MAX(0,N63),0)</f>
        <v>574.090616493666</v>
      </c>
      <c r="Q63" s="180" t="n">
        <f aca="false">R62*$B$27</f>
        <v>34.5563317754399</v>
      </c>
      <c r="R63" s="180" t="n">
        <f aca="false">R62+Q63+O63+P63</f>
        <v>4677.23151195799</v>
      </c>
      <c r="S63" s="180" t="n">
        <f aca="false">S62+O63+P63</f>
        <v>4540.61371057537</v>
      </c>
      <c r="T63" s="180" t="n">
        <f aca="false">MAX(0,IFERROR(INDEX(TAB_IR,MATCH($C63,TAB_IR_DIAS,1),MATCH("RF_REGR",TAB_IR_REGIMES,0)),0)*MAX(0,R63-S63))</f>
        <v>27.3235602765233</v>
      </c>
      <c r="U63" s="180" t="n">
        <f aca="false">E63*$B$22</f>
        <v>9238.42779794332</v>
      </c>
      <c r="V63" s="180" t="n">
        <f aca="false">IF($B$23=1,0,MAX(0,ALIQ_GANHO_CAP*MAX(0,E63-U63-$B$30)))</f>
        <v>0</v>
      </c>
      <c r="W63" s="181" t="n">
        <f aca="false">IF($B$5=0,0,E63-U63-V63+R63-T63)</f>
        <v>149385.276786127</v>
      </c>
      <c r="X63" s="180" t="n">
        <f aca="false">W63/$D63</f>
        <v>145529.901892446</v>
      </c>
      <c r="Y63" s="180" t="n">
        <f aca="false">IF($B$25=1,0,MAX(0,N63))</f>
        <v>0</v>
      </c>
      <c r="Z63" s="180" t="n">
        <f aca="false">Z62+O63</f>
        <v>155250</v>
      </c>
    </row>
    <row r="64" customFormat="false" ht="12" hidden="false" customHeight="true" outlineLevel="0" collapsed="false">
      <c r="A64" s="177" t="n">
        <v>9</v>
      </c>
      <c r="B64" s="178" t="n">
        <f aca="false">EDATE(DATA_INICIO,$A64)</f>
        <v>46530</v>
      </c>
      <c r="C64" s="177" t="n">
        <f aca="false">$A64*30</f>
        <v>270</v>
      </c>
      <c r="D64" s="179" t="n">
        <f aca="false">(1+$B$29)^$A64</f>
        <v>1.02985244517227</v>
      </c>
      <c r="E64" s="180" t="n">
        <f aca="false">$B$6*(1+$B$21)^$A64</f>
        <v>154477.86677584</v>
      </c>
      <c r="F64" s="180" t="n">
        <f aca="false">IF($A64=0,0,$B$13*(1+$B$16)^($A64-1))</f>
        <v>923.842779794332</v>
      </c>
      <c r="G64" s="180" t="n">
        <f aca="false">F64*$B$14</f>
        <v>73.9074223835465</v>
      </c>
      <c r="H64" s="180" t="n">
        <f aca="false">F64-G64</f>
        <v>849.935357410785</v>
      </c>
      <c r="I64" s="180" t="n">
        <f aca="false">IF($A64=0,0,E64*$B$17/12)</f>
        <v>77.2389333879201</v>
      </c>
      <c r="J64" s="180" t="n">
        <f aca="false">H64*$B$19</f>
        <v>67.9948285928628</v>
      </c>
      <c r="K64" s="180" t="n">
        <f aca="false">IF($A64=0,0,E64*$B$18/12)</f>
        <v>128.731555646534</v>
      </c>
      <c r="L64" s="180" t="n">
        <f aca="false">MAX(0,H64-I64-J64)</f>
        <v>704.701595430002</v>
      </c>
      <c r="M64" s="180" t="n">
        <f aca="false">MAX(0,L64*IFERROR(INDEX(TAB_IRPF_ALIQ,MATCH(L64,TAB_IRPF_BASE,1)),0)-IFERROR(INDEX(TAB_IRPF_DED,MATCH(L64,TAB_IRPF_BASE,1)),0))</f>
        <v>0</v>
      </c>
      <c r="N64" s="180" t="n">
        <f aca="false">H64-I64-J64-K64-M64</f>
        <v>575.970039783469</v>
      </c>
      <c r="O64" s="180" t="n">
        <f aca="false">IF(OR($A64=0,$A64&gt;IN_PRAZO,$B$5=0),0,IF(APORTE_CORRIGIDO="Sim",IN_APORTE*$D64,IN_APORTE))</f>
        <v>0</v>
      </c>
      <c r="P64" s="180" t="n">
        <f aca="false">IF($B$25=1,MAX(0,N64),0)</f>
        <v>575.970039783469</v>
      </c>
      <c r="Q64" s="180" t="n">
        <f aca="false">R63*$B$27</f>
        <v>39.7258460252375</v>
      </c>
      <c r="R64" s="180" t="n">
        <f aca="false">R63+Q64+O64+P64</f>
        <v>5292.92739776669</v>
      </c>
      <c r="S64" s="180" t="n">
        <f aca="false">S63+O64+P64</f>
        <v>5116.58375035884</v>
      </c>
      <c r="T64" s="180" t="n">
        <f aca="false">MAX(0,IFERROR(INDEX(TAB_IR,MATCH($C64,TAB_IR_DIAS,1),MATCH("RF_REGR",TAB_IR_REGIMES,0)),0)*MAX(0,R64-S64))</f>
        <v>35.2687294815709</v>
      </c>
      <c r="U64" s="180" t="n">
        <f aca="false">E64*$B$22</f>
        <v>9268.67200655042</v>
      </c>
      <c r="V64" s="180" t="n">
        <f aca="false">IF($B$23=1,0,MAX(0,ALIQ_GANHO_CAP*MAX(0,E64-U64-$B$30)))</f>
        <v>0</v>
      </c>
      <c r="W64" s="181" t="n">
        <f aca="false">IF($B$5=0,0,E64-U64-V64+R64-T64)</f>
        <v>150466.853437575</v>
      </c>
      <c r="X64" s="180" t="n">
        <f aca="false">W64/$D64</f>
        <v>146105.254342923</v>
      </c>
      <c r="Y64" s="180" t="n">
        <f aca="false">IF($B$25=1,0,MAX(0,N64))</f>
        <v>0</v>
      </c>
      <c r="Z64" s="180" t="n">
        <f aca="false">Z63+O64</f>
        <v>155250</v>
      </c>
    </row>
    <row r="65" customFormat="false" ht="12" hidden="false" customHeight="true" outlineLevel="0" collapsed="false">
      <c r="A65" s="177" t="n">
        <v>10</v>
      </c>
      <c r="B65" s="178" t="n">
        <f aca="false">EDATE(DATA_INICIO,$A65)</f>
        <v>46561</v>
      </c>
      <c r="C65" s="177" t="n">
        <f aca="false">$A65*30</f>
        <v>300</v>
      </c>
      <c r="D65" s="179" t="n">
        <f aca="false">(1+$B$29)^$A65</f>
        <v>1.03322391409182</v>
      </c>
      <c r="E65" s="180" t="n">
        <f aca="false">$B$6*(1+$B$21)^$A65</f>
        <v>154983.587113774</v>
      </c>
      <c r="F65" s="180" t="n">
        <f aca="false">IF($A65=0,0,$B$13*(1+$B$16)^($A65-1))</f>
        <v>926.867200655042</v>
      </c>
      <c r="G65" s="180" t="n">
        <f aca="false">F65*$B$14</f>
        <v>74.1493760524033</v>
      </c>
      <c r="H65" s="180" t="n">
        <f aca="false">F65-G65</f>
        <v>852.717824602638</v>
      </c>
      <c r="I65" s="180" t="n">
        <f aca="false">IF($A65=0,0,E65*$B$17/12)</f>
        <v>77.4917935568868</v>
      </c>
      <c r="J65" s="180" t="n">
        <f aca="false">H65*$B$19</f>
        <v>68.2174259682111</v>
      </c>
      <c r="K65" s="180" t="n">
        <f aca="false">IF($A65=0,0,E65*$B$18/12)</f>
        <v>129.152989261478</v>
      </c>
      <c r="L65" s="180" t="n">
        <f aca="false">MAX(0,H65-I65-J65)</f>
        <v>707.00860507754</v>
      </c>
      <c r="M65" s="180" t="n">
        <f aca="false">MAX(0,L65*IFERROR(INDEX(TAB_IRPF_ALIQ,MATCH(L65,TAB_IRPF_BASE,1)),0)-IFERROR(INDEX(TAB_IRPF_DED,MATCH(L65,TAB_IRPF_BASE,1)),0))</f>
        <v>0</v>
      </c>
      <c r="N65" s="180" t="n">
        <f aca="false">H65-I65-J65-K65-M65</f>
        <v>577.855615816062</v>
      </c>
      <c r="O65" s="180" t="n">
        <f aca="false">IF(OR($A65=0,$A65&gt;IN_PRAZO,$B$5=0),0,IF(APORTE_CORRIGIDO="Sim",IN_APORTE*$D65,IN_APORTE))</f>
        <v>0</v>
      </c>
      <c r="P65" s="180" t="n">
        <f aca="false">IF($B$25=1,MAX(0,N65),0)</f>
        <v>577.855615816062</v>
      </c>
      <c r="Q65" s="180" t="n">
        <f aca="false">R64*$B$27</f>
        <v>44.9552300947402</v>
      </c>
      <c r="R65" s="180" t="n">
        <f aca="false">R64+Q65+O65+P65</f>
        <v>5915.7382436775</v>
      </c>
      <c r="S65" s="180" t="n">
        <f aca="false">S64+O65+P65</f>
        <v>5694.4393661749</v>
      </c>
      <c r="T65" s="180" t="n">
        <f aca="false">MAX(0,IFERROR(INDEX(TAB_IR,MATCH($C65,TAB_IR_DIAS,1),MATCH("RF_REGR",TAB_IR_REGIMES,0)),0)*MAX(0,R65-S65))</f>
        <v>44.2597755005189</v>
      </c>
      <c r="U65" s="180" t="n">
        <f aca="false">E65*$B$22</f>
        <v>9299.01522682641</v>
      </c>
      <c r="V65" s="180" t="n">
        <f aca="false">IF($B$23=1,0,MAX(0,ALIQ_GANHO_CAP*MAX(0,E65-U65-$B$30)))</f>
        <v>0</v>
      </c>
      <c r="W65" s="181" t="n">
        <f aca="false">IF($B$5=0,0,E65-U65-V65+R65-T65)</f>
        <v>151556.050355124</v>
      </c>
      <c r="X65" s="180" t="n">
        <f aca="false">W65/$D65</f>
        <v>146682.677673346</v>
      </c>
      <c r="Y65" s="180" t="n">
        <f aca="false">IF($B$25=1,0,MAX(0,N65))</f>
        <v>0</v>
      </c>
      <c r="Z65" s="180" t="n">
        <f aca="false">Z64+O65</f>
        <v>155250</v>
      </c>
    </row>
    <row r="66" customFormat="false" ht="12" hidden="false" customHeight="true" outlineLevel="0" collapsed="false">
      <c r="A66" s="177" t="n">
        <v>11</v>
      </c>
      <c r="B66" s="178" t="n">
        <f aca="false">EDATE(DATA_INICIO,$A66)</f>
        <v>46591</v>
      </c>
      <c r="C66" s="177" t="n">
        <f aca="false">$A66*30</f>
        <v>330</v>
      </c>
      <c r="D66" s="179" t="n">
        <f aca="false">(1+$B$29)^$A66</f>
        <v>1.03660642032331</v>
      </c>
      <c r="E66" s="180" t="n">
        <f aca="false">$B$6*(1+$B$21)^$A66</f>
        <v>155490.963048496</v>
      </c>
      <c r="F66" s="180" t="n">
        <f aca="false">IF($A66=0,0,$B$13*(1+$B$16)^($A66-1))</f>
        <v>929.901522682641</v>
      </c>
      <c r="G66" s="180" t="n">
        <f aca="false">F66*$B$14</f>
        <v>74.3921218146113</v>
      </c>
      <c r="H66" s="180" t="n">
        <f aca="false">F66-G66</f>
        <v>855.50940086803</v>
      </c>
      <c r="I66" s="180" t="n">
        <f aca="false">IF($A66=0,0,E66*$B$17/12)</f>
        <v>77.7454815242479</v>
      </c>
      <c r="J66" s="180" t="n">
        <f aca="false">H66*$B$19</f>
        <v>68.4407520694424</v>
      </c>
      <c r="K66" s="180" t="n">
        <f aca="false">IF($A66=0,0,E66*$B$18/12)</f>
        <v>129.575802540413</v>
      </c>
      <c r="L66" s="180" t="n">
        <f aca="false">MAX(0,H66-I66-J66)</f>
        <v>709.32316727434</v>
      </c>
      <c r="M66" s="180" t="n">
        <f aca="false">MAX(0,L66*IFERROR(INDEX(TAB_IRPF_ALIQ,MATCH(L66,TAB_IRPF_BASE,1)),0)-IFERROR(INDEX(TAB_IRPF_DED,MATCH(L66,TAB_IRPF_BASE,1)),0))</f>
        <v>0</v>
      </c>
      <c r="N66" s="180" t="n">
        <f aca="false">H66-I66-J66-K66-M66</f>
        <v>579.747364733927</v>
      </c>
      <c r="O66" s="180" t="n">
        <f aca="false">IF(OR($A66=0,$A66&gt;IN_PRAZO,$B$5=0),0,IF(APORTE_CORRIGIDO="Sim",IN_APORTE*$D66,IN_APORTE))</f>
        <v>0</v>
      </c>
      <c r="P66" s="180" t="n">
        <f aca="false">IF($B$25=1,MAX(0,N66),0)</f>
        <v>579.747364733927</v>
      </c>
      <c r="Q66" s="180" t="n">
        <f aca="false">R65*$B$27</f>
        <v>50.2450447434795</v>
      </c>
      <c r="R66" s="180" t="n">
        <f aca="false">R65+Q66+O66+P66</f>
        <v>6545.7306531549</v>
      </c>
      <c r="S66" s="180" t="n">
        <f aca="false">S65+O66+P66</f>
        <v>6274.18673090883</v>
      </c>
      <c r="T66" s="180" t="n">
        <f aca="false">MAX(0,IFERROR(INDEX(TAB_IR,MATCH($C66,TAB_IR_DIAS,1),MATCH("RF_REGR",TAB_IR_REGIMES,0)),0)*MAX(0,R66-S66))</f>
        <v>54.3087844492147</v>
      </c>
      <c r="U66" s="180" t="n">
        <f aca="false">E66*$B$22</f>
        <v>9329.45778290975</v>
      </c>
      <c r="V66" s="180" t="n">
        <f aca="false">IF($B$23=1,0,MAX(0,ALIQ_GANHO_CAP*MAX(0,E66-U66-$B$30)))</f>
        <v>0</v>
      </c>
      <c r="W66" s="181" t="n">
        <f aca="false">IF($B$5=0,0,E66-U66-V66+R66-T66)</f>
        <v>152652.927134292</v>
      </c>
      <c r="X66" s="180" t="n">
        <f aca="false">W66/$D66</f>
        <v>147262.185668</v>
      </c>
      <c r="Y66" s="180" t="n">
        <f aca="false">IF($B$25=1,0,MAX(0,N66))</f>
        <v>0</v>
      </c>
      <c r="Z66" s="180" t="n">
        <f aca="false">Z65+O66</f>
        <v>155250</v>
      </c>
    </row>
    <row r="67" customFormat="false" ht="12" hidden="false" customHeight="true" outlineLevel="0" collapsed="false">
      <c r="A67" s="177" t="n">
        <v>12</v>
      </c>
      <c r="B67" s="178" t="n">
        <f aca="false">EDATE(DATA_INICIO,$A67)</f>
        <v>46622</v>
      </c>
      <c r="C67" s="177" t="n">
        <f aca="false">$A67*30</f>
        <v>360</v>
      </c>
      <c r="D67" s="179" t="n">
        <f aca="false">(1+$B$29)^$A67</f>
        <v>1.04</v>
      </c>
      <c r="E67" s="180" t="n">
        <f aca="false">$B$6*(1+$B$21)^$A67</f>
        <v>156000</v>
      </c>
      <c r="F67" s="180" t="n">
        <f aca="false">IF($A67=0,0,$B$13*(1+$B$16)^($A67-1))</f>
        <v>932.945778290975</v>
      </c>
      <c r="G67" s="180" t="n">
        <f aca="false">F67*$B$14</f>
        <v>74.635662263278</v>
      </c>
      <c r="H67" s="180" t="n">
        <f aca="false">F67-G67</f>
        <v>858.310116027697</v>
      </c>
      <c r="I67" s="180" t="n">
        <f aca="false">IF($A67=0,0,E67*$B$17/12)</f>
        <v>78.0000000000001</v>
      </c>
      <c r="J67" s="180" t="n">
        <f aca="false">H67*$B$19</f>
        <v>68.6648092822158</v>
      </c>
      <c r="K67" s="180" t="n">
        <f aca="false">IF($A67=0,0,E67*$B$18/12)</f>
        <v>130</v>
      </c>
      <c r="L67" s="180" t="n">
        <f aca="false">MAX(0,H67-I67-J67)</f>
        <v>711.645306745481</v>
      </c>
      <c r="M67" s="180" t="n">
        <f aca="false">MAX(0,L67*IFERROR(INDEX(TAB_IRPF_ALIQ,MATCH(L67,TAB_IRPF_BASE,1)),0)-IFERROR(INDEX(TAB_IRPF_DED,MATCH(L67,TAB_IRPF_BASE,1)),0))</f>
        <v>0</v>
      </c>
      <c r="N67" s="180" t="n">
        <f aca="false">H67-I67-J67-K67-M67</f>
        <v>581.645306745481</v>
      </c>
      <c r="O67" s="180" t="n">
        <f aca="false">IF(OR($A67=0,$A67&gt;IN_PRAZO,$B$5=0),0,IF(APORTE_CORRIGIDO="Sim",IN_APORTE*$D67,IN_APORTE))</f>
        <v>0</v>
      </c>
      <c r="P67" s="180" t="n">
        <f aca="false">IF($B$25=1,MAX(0,N67),0)</f>
        <v>581.645306745481</v>
      </c>
      <c r="Q67" s="180" t="n">
        <f aca="false">R66*$B$27</f>
        <v>55.595855664851</v>
      </c>
      <c r="R67" s="180" t="n">
        <f aca="false">R66+Q67+O67+P67</f>
        <v>7182.97181556524</v>
      </c>
      <c r="S67" s="180" t="n">
        <f aca="false">S66+O67+P67</f>
        <v>6855.83203765431</v>
      </c>
      <c r="T67" s="180" t="n">
        <f aca="false">MAX(0,IFERROR(INDEX(TAB_IR,MATCH($C67,TAB_IR_DIAS,1),MATCH("RF_REGR",TAB_IR_REGIMES,0)),0)*MAX(0,R67-S67))</f>
        <v>65.427955582185</v>
      </c>
      <c r="U67" s="180" t="n">
        <f aca="false">E67*$B$22</f>
        <v>9360.00000000001</v>
      </c>
      <c r="V67" s="180" t="n">
        <f aca="false">IF($B$23=1,0,MAX(0,ALIQ_GANHO_CAP*MAX(0,E67-U67-$B$30)))</f>
        <v>0</v>
      </c>
      <c r="W67" s="181" t="n">
        <f aca="false">IF($B$5=0,0,E67-U67-V67+R67-T67)</f>
        <v>153757.543859983</v>
      </c>
      <c r="X67" s="180" t="n">
        <f aca="false">W67/$D67</f>
        <v>147843.792173061</v>
      </c>
      <c r="Y67" s="180" t="n">
        <f aca="false">IF($B$25=1,0,MAX(0,N67))</f>
        <v>0</v>
      </c>
      <c r="Z67" s="180" t="n">
        <f aca="false">Z66+O67</f>
        <v>155250</v>
      </c>
    </row>
    <row r="68" customFormat="false" ht="12" hidden="false" customHeight="true" outlineLevel="0" collapsed="false">
      <c r="A68" s="177" t="n">
        <v>13</v>
      </c>
      <c r="B68" s="178" t="n">
        <f aca="false">EDATE(DATA_INICIO,$A68)</f>
        <v>46653</v>
      </c>
      <c r="C68" s="177" t="n">
        <f aca="false">$A68*30</f>
        <v>390</v>
      </c>
      <c r="D68" s="179" t="n">
        <f aca="false">(1+$B$29)^$A68</f>
        <v>1.04340468937349</v>
      </c>
      <c r="E68" s="180" t="n">
        <f aca="false">$B$6*(1+$B$21)^$A68</f>
        <v>156510.703406023</v>
      </c>
      <c r="F68" s="180" t="n">
        <f aca="false">IF($A68=0,0,$B$13*(1+$B$16)^($A68-1))</f>
        <v>936.000000000001</v>
      </c>
      <c r="G68" s="180" t="n">
        <f aca="false">F68*$B$14</f>
        <v>74.8800000000001</v>
      </c>
      <c r="H68" s="180" t="n">
        <f aca="false">F68-G68</f>
        <v>861.120000000001</v>
      </c>
      <c r="I68" s="180" t="n">
        <f aca="false">IF($A68=0,0,E68*$B$17/12)</f>
        <v>78.2553517030116</v>
      </c>
      <c r="J68" s="180" t="n">
        <f aca="false">H68*$B$19</f>
        <v>68.8896</v>
      </c>
      <c r="K68" s="180" t="n">
        <f aca="false">IF($A68=0,0,E68*$B$18/12)</f>
        <v>130.425586171686</v>
      </c>
      <c r="L68" s="180" t="n">
        <f aca="false">MAX(0,H68-I68-J68)</f>
        <v>713.975048296989</v>
      </c>
      <c r="M68" s="180" t="n">
        <f aca="false">MAX(0,L68*IFERROR(INDEX(TAB_IRPF_ALIQ,MATCH(L68,TAB_IRPF_BASE,1)),0)-IFERROR(INDEX(TAB_IRPF_DED,MATCH(L68,TAB_IRPF_BASE,1)),0))</f>
        <v>0</v>
      </c>
      <c r="N68" s="180" t="n">
        <f aca="false">H68-I68-J68-K68-M68</f>
        <v>583.549462125303</v>
      </c>
      <c r="O68" s="180" t="n">
        <f aca="false">IF(OR($A68=0,$A68&gt;IN_PRAZO,$B$5=0),0,IF(APORTE_CORRIGIDO="Sim",IN_APORTE*$D68,IN_APORTE))</f>
        <v>0</v>
      </c>
      <c r="P68" s="180" t="n">
        <f aca="false">IF($B$25=1,MAX(0,N68),0)</f>
        <v>583.549462125303</v>
      </c>
      <c r="Q68" s="180" t="n">
        <f aca="false">R67*$B$27</f>
        <v>61.0082335285798</v>
      </c>
      <c r="R68" s="180" t="n">
        <f aca="false">R67+Q68+O68+P68</f>
        <v>7827.52951121912</v>
      </c>
      <c r="S68" s="180" t="n">
        <f aca="false">S67+O68+P68</f>
        <v>7439.38149977961</v>
      </c>
      <c r="T68" s="180" t="n">
        <f aca="false">MAX(0,IFERROR(INDEX(TAB_IR,MATCH($C68,TAB_IR_DIAS,1),MATCH("RF_REGR",TAB_IR_REGIMES,0)),0)*MAX(0,R68-S68))</f>
        <v>67.9259020019133</v>
      </c>
      <c r="U68" s="180" t="n">
        <f aca="false">E68*$B$22</f>
        <v>9390.64220436139</v>
      </c>
      <c r="V68" s="180" t="n">
        <f aca="false">IF($B$23=1,0,MAX(0,ALIQ_GANHO_CAP*MAX(0,E68-U68-$B$30)))</f>
        <v>0</v>
      </c>
      <c r="W68" s="181" t="n">
        <f aca="false">IF($B$5=0,0,E68-U68-V68+R68-T68)</f>
        <v>154879.664810879</v>
      </c>
      <c r="X68" s="180" t="n">
        <f aca="false">W68/$D68</f>
        <v>148436.811132099</v>
      </c>
      <c r="Y68" s="180" t="n">
        <f aca="false">IF($B$25=1,0,MAX(0,N68))</f>
        <v>0</v>
      </c>
      <c r="Z68" s="180" t="n">
        <f aca="false">Z67+O68</f>
        <v>155250</v>
      </c>
    </row>
    <row r="69" customFormat="false" ht="12" hidden="false" customHeight="true" outlineLevel="0" collapsed="false">
      <c r="A69" s="177" t="n">
        <v>14</v>
      </c>
      <c r="B69" s="178" t="n">
        <f aca="false">EDATE(DATA_INICIO,$A69)</f>
        <v>46683</v>
      </c>
      <c r="C69" s="177" t="n">
        <f aca="false">$A69*30</f>
        <v>420</v>
      </c>
      <c r="D69" s="179" t="n">
        <f aca="false">(1+$B$29)^$A69</f>
        <v>1.04682052481402</v>
      </c>
      <c r="E69" s="180" t="n">
        <f aca="false">$B$6*(1+$B$21)^$A69</f>
        <v>157023.078722103</v>
      </c>
      <c r="F69" s="180" t="n">
        <f aca="false">IF($A69=0,0,$B$13*(1+$B$16)^($A69-1))</f>
        <v>939.064220436139</v>
      </c>
      <c r="G69" s="180" t="n">
        <f aca="false">F69*$B$14</f>
        <v>75.1251376348911</v>
      </c>
      <c r="H69" s="180" t="n">
        <f aca="false">F69-G69</f>
        <v>863.939082801248</v>
      </c>
      <c r="I69" s="180" t="n">
        <f aca="false">IF($A69=0,0,E69*$B$17/12)</f>
        <v>78.5115393610517</v>
      </c>
      <c r="J69" s="180" t="n">
        <f aca="false">H69*$B$19</f>
        <v>69.1151266240998</v>
      </c>
      <c r="K69" s="180" t="n">
        <f aca="false">IF($A69=0,0,E69*$B$18/12)</f>
        <v>130.852565601753</v>
      </c>
      <c r="L69" s="180" t="n">
        <f aca="false">MAX(0,H69-I69-J69)</f>
        <v>716.312416816096</v>
      </c>
      <c r="M69" s="180" t="n">
        <f aca="false">MAX(0,L69*IFERROR(INDEX(TAB_IRPF_ALIQ,MATCH(L69,TAB_IRPF_BASE,1)),0)-IFERROR(INDEX(TAB_IRPF_DED,MATCH(L69,TAB_IRPF_BASE,1)),0))</f>
        <v>0</v>
      </c>
      <c r="N69" s="180" t="n">
        <f aca="false">H69-I69-J69-K69-M69</f>
        <v>585.459851214343</v>
      </c>
      <c r="O69" s="180" t="n">
        <f aca="false">IF(OR($A69=0,$A69&gt;IN_PRAZO,$B$5=0),0,IF(APORTE_CORRIGIDO="Sim",IN_APORTE*$D69,IN_APORTE))</f>
        <v>0</v>
      </c>
      <c r="P69" s="180" t="n">
        <f aca="false">IF($B$25=1,MAX(0,N69),0)</f>
        <v>585.459851214343</v>
      </c>
      <c r="Q69" s="180" t="n">
        <f aca="false">R68*$B$27</f>
        <v>66.4827540235487</v>
      </c>
      <c r="R69" s="180" t="n">
        <f aca="false">R68+Q69+O69+P69</f>
        <v>8479.47211645701</v>
      </c>
      <c r="S69" s="180" t="n">
        <f aca="false">S68+O69+P69</f>
        <v>8024.84135099396</v>
      </c>
      <c r="T69" s="180" t="n">
        <f aca="false">MAX(0,IFERROR(INDEX(TAB_IR,MATCH($C69,TAB_IR_DIAS,1),MATCH("RF_REGR",TAB_IR_REGIMES,0)),0)*MAX(0,R69-S69))</f>
        <v>79.5603839560342</v>
      </c>
      <c r="U69" s="180" t="n">
        <f aca="false">E69*$B$22</f>
        <v>9421.3847233262</v>
      </c>
      <c r="V69" s="180" t="n">
        <f aca="false">IF($B$23=1,0,MAX(0,ALIQ_GANHO_CAP*MAX(0,E69-U69-$B$30)))</f>
        <v>0</v>
      </c>
      <c r="W69" s="181" t="n">
        <f aca="false">IF($B$5=0,0,E69-U69-V69+R69-T69)</f>
        <v>156001.605731278</v>
      </c>
      <c r="X69" s="180" t="n">
        <f aca="false">W69/$D69</f>
        <v>149024.213829771</v>
      </c>
      <c r="Y69" s="180" t="n">
        <f aca="false">IF($B$25=1,0,MAX(0,N69))</f>
        <v>0</v>
      </c>
      <c r="Z69" s="180" t="n">
        <f aca="false">Z68+O69</f>
        <v>155250</v>
      </c>
    </row>
    <row r="70" customFormat="false" ht="12" hidden="false" customHeight="true" outlineLevel="0" collapsed="false">
      <c r="A70" s="177" t="n">
        <v>15</v>
      </c>
      <c r="B70" s="178" t="n">
        <f aca="false">EDATE(DATA_INICIO,$A70)</f>
        <v>46714</v>
      </c>
      <c r="C70" s="177" t="n">
        <f aca="false">$A70*30</f>
        <v>450</v>
      </c>
      <c r="D70" s="179" t="n">
        <f aca="false">(1+$B$29)^$A70</f>
        <v>1.05024754281093</v>
      </c>
      <c r="E70" s="180" t="n">
        <f aca="false">$B$6*(1+$B$21)^$A70</f>
        <v>157537.131421639</v>
      </c>
      <c r="F70" s="180" t="n">
        <f aca="false">IF($A70=0,0,$B$13*(1+$B$16)^($A70-1))</f>
        <v>942.13847233262</v>
      </c>
      <c r="G70" s="180" t="n">
        <f aca="false">F70*$B$14</f>
        <v>75.3710777866096</v>
      </c>
      <c r="H70" s="180" t="n">
        <f aca="false">F70-G70</f>
        <v>866.767394546011</v>
      </c>
      <c r="I70" s="180" t="n">
        <f aca="false">IF($A70=0,0,E70*$B$17/12)</f>
        <v>78.7685657108196</v>
      </c>
      <c r="J70" s="180" t="n">
        <f aca="false">H70*$B$19</f>
        <v>69.3413915636808</v>
      </c>
      <c r="K70" s="180" t="n">
        <f aca="false">IF($A70=0,0,E70*$B$18/12)</f>
        <v>131.280942851366</v>
      </c>
      <c r="L70" s="180" t="n">
        <f aca="false">MAX(0,H70-I70-J70)</f>
        <v>718.65743727151</v>
      </c>
      <c r="M70" s="180" t="n">
        <f aca="false">MAX(0,L70*IFERROR(INDEX(TAB_IRPF_ALIQ,MATCH(L70,TAB_IRPF_BASE,1)),0)-IFERROR(INDEX(TAB_IRPF_DED,MATCH(L70,TAB_IRPF_BASE,1)),0))</f>
        <v>0</v>
      </c>
      <c r="N70" s="180" t="n">
        <f aca="false">H70-I70-J70-K70-M70</f>
        <v>587.376494420144</v>
      </c>
      <c r="O70" s="180" t="n">
        <f aca="false">IF(OR($A70=0,$A70&gt;IN_PRAZO,$B$5=0),0,IF(APORTE_CORRIGIDO="Sim",IN_APORTE*$D70,IN_APORTE))</f>
        <v>0</v>
      </c>
      <c r="P70" s="180" t="n">
        <f aca="false">IF($B$25=1,MAX(0,N70),0)</f>
        <v>587.376494420144</v>
      </c>
      <c r="Q70" s="180" t="n">
        <f aca="false">R69*$B$27</f>
        <v>72.0199979009916</v>
      </c>
      <c r="R70" s="180" t="n">
        <f aca="false">R69+Q70+O70+P70</f>
        <v>9138.86860877815</v>
      </c>
      <c r="S70" s="180" t="n">
        <f aca="false">S69+O70+P70</f>
        <v>8612.2178454141</v>
      </c>
      <c r="T70" s="180" t="n">
        <f aca="false">MAX(0,IFERROR(INDEX(TAB_IR,MATCH($C70,TAB_IR_DIAS,1),MATCH("RF_REGR",TAB_IR_REGIMES,0)),0)*MAX(0,R70-S70))</f>
        <v>92.1638835887082</v>
      </c>
      <c r="U70" s="180" t="n">
        <f aca="false">E70*$B$22</f>
        <v>9452.22788529836</v>
      </c>
      <c r="V70" s="180" t="n">
        <f aca="false">IF($B$23=1,0,MAX(0,ALIQ_GANHO_CAP*MAX(0,E70-U70-$B$30)))</f>
        <v>0</v>
      </c>
      <c r="W70" s="181" t="n">
        <f aca="false">IF($B$5=0,0,E70-U70-V70+R70-T70)</f>
        <v>157131.60826153</v>
      </c>
      <c r="X70" s="180" t="n">
        <f aca="false">W70/$D70</f>
        <v>149613.87849666</v>
      </c>
      <c r="Y70" s="180" t="n">
        <f aca="false">IF($B$25=1,0,MAX(0,N70))</f>
        <v>0</v>
      </c>
      <c r="Z70" s="180" t="n">
        <f aca="false">Z69+O70</f>
        <v>155250</v>
      </c>
    </row>
    <row r="71" customFormat="false" ht="12" hidden="false" customHeight="true" outlineLevel="0" collapsed="false">
      <c r="A71" s="177" t="n">
        <v>16</v>
      </c>
      <c r="B71" s="178" t="n">
        <f aca="false">EDATE(DATA_INICIO,$A71)</f>
        <v>46744</v>
      </c>
      <c r="C71" s="177" t="n">
        <f aca="false">$A71*30</f>
        <v>480</v>
      </c>
      <c r="D71" s="179" t="n">
        <f aca="false">(1+$B$29)^$A71</f>
        <v>1.05368577997299</v>
      </c>
      <c r="E71" s="180" t="n">
        <f aca="false">$B$6*(1+$B$21)^$A71</f>
        <v>158052.866995948</v>
      </c>
      <c r="F71" s="180" t="n">
        <f aca="false">IF($A71=0,0,$B$13*(1+$B$16)^($A71-1))</f>
        <v>945.222788529836</v>
      </c>
      <c r="G71" s="180" t="n">
        <f aca="false">F71*$B$14</f>
        <v>75.6178230823868</v>
      </c>
      <c r="H71" s="180" t="n">
        <f aca="false">F71-G71</f>
        <v>869.604965447449</v>
      </c>
      <c r="I71" s="180" t="n">
        <f aca="false">IF($A71=0,0,E71*$B$17/12)</f>
        <v>79.0264334979739</v>
      </c>
      <c r="J71" s="180" t="n">
        <f aca="false">H71*$B$19</f>
        <v>69.5683972357959</v>
      </c>
      <c r="K71" s="180" t="n">
        <f aca="false">IF($A71=0,0,E71*$B$18/12)</f>
        <v>131.710722496623</v>
      </c>
      <c r="L71" s="180" t="n">
        <f aca="false">MAX(0,H71-I71-J71)</f>
        <v>721.010134713679</v>
      </c>
      <c r="M71" s="180" t="n">
        <f aca="false">MAX(0,L71*IFERROR(INDEX(TAB_IRPF_ALIQ,MATCH(L71,TAB_IRPF_BASE,1)),0)-IFERROR(INDEX(TAB_IRPF_DED,MATCH(L71,TAB_IRPF_BASE,1)),0))</f>
        <v>0</v>
      </c>
      <c r="N71" s="180" t="n">
        <f aca="false">H71-I71-J71-K71-M71</f>
        <v>589.299412217056</v>
      </c>
      <c r="O71" s="180" t="n">
        <f aca="false">IF(OR($A71=0,$A71&gt;IN_PRAZO,$B$5=0),0,IF(APORTE_CORRIGIDO="Sim",IN_APORTE*$D71,IN_APORTE))</f>
        <v>0</v>
      </c>
      <c r="P71" s="180" t="n">
        <f aca="false">IF($B$25=1,MAX(0,N71),0)</f>
        <v>589.299412217056</v>
      </c>
      <c r="Q71" s="180" t="n">
        <f aca="false">R70*$B$27</f>
        <v>77.6205510180567</v>
      </c>
      <c r="R71" s="180" t="n">
        <f aca="false">R70+Q71+O71+P71</f>
        <v>9805.78857201326</v>
      </c>
      <c r="S71" s="180" t="n">
        <f aca="false">S70+O71+P71</f>
        <v>9201.51725763115</v>
      </c>
      <c r="T71" s="180" t="n">
        <f aca="false">MAX(0,IFERROR(INDEX(TAB_IR,MATCH($C71,TAB_IR_DIAS,1),MATCH("RF_REGR",TAB_IR_REGIMES,0)),0)*MAX(0,R71-S71))</f>
        <v>105.747480016868</v>
      </c>
      <c r="U71" s="180" t="n">
        <f aca="false">E71*$B$22</f>
        <v>9483.17201975687</v>
      </c>
      <c r="V71" s="180" t="n">
        <f aca="false">IF($B$23=1,0,MAX(0,ALIQ_GANHO_CAP*MAX(0,E71-U71-$B$30)))</f>
        <v>0</v>
      </c>
      <c r="W71" s="181" t="n">
        <f aca="false">IF($B$5=0,0,E71-U71-V71+R71-T71)</f>
        <v>158269.736068187</v>
      </c>
      <c r="X71" s="180" t="n">
        <f aca="false">W71/$D71</f>
        <v>150205.819492264</v>
      </c>
      <c r="Y71" s="180" t="n">
        <f aca="false">IF($B$25=1,0,MAX(0,N71))</f>
        <v>0</v>
      </c>
      <c r="Z71" s="180" t="n">
        <f aca="false">Z70+O71</f>
        <v>155250</v>
      </c>
    </row>
    <row r="72" customFormat="false" ht="12" hidden="false" customHeight="true" outlineLevel="0" collapsed="false">
      <c r="A72" s="177" t="n">
        <v>17</v>
      </c>
      <c r="B72" s="178" t="n">
        <f aca="false">EDATE(DATA_INICIO,$A72)</f>
        <v>46775</v>
      </c>
      <c r="C72" s="177" t="n">
        <f aca="false">$A72*30</f>
        <v>510</v>
      </c>
      <c r="D72" s="179" t="n">
        <f aca="false">(1+$B$29)^$A72</f>
        <v>1.05713527302882</v>
      </c>
      <c r="E72" s="180" t="n">
        <f aca="false">$B$6*(1+$B$21)^$A72</f>
        <v>158570.290954323</v>
      </c>
      <c r="F72" s="180" t="n">
        <f aca="false">IF($A72=0,0,$B$13*(1+$B$16)^($A72-1))</f>
        <v>948.317201975687</v>
      </c>
      <c r="G72" s="180" t="n">
        <f aca="false">F72*$B$14</f>
        <v>75.8653761580549</v>
      </c>
      <c r="H72" s="180" t="n">
        <f aca="false">F72-G72</f>
        <v>872.451825817632</v>
      </c>
      <c r="I72" s="180" t="n">
        <f aca="false">IF($A72=0,0,E72*$B$17/12)</f>
        <v>79.2851454771615</v>
      </c>
      <c r="J72" s="180" t="n">
        <f aca="false">H72*$B$19</f>
        <v>69.7961460654106</v>
      </c>
      <c r="K72" s="180" t="n">
        <f aca="false">IF($A72=0,0,E72*$B$18/12)</f>
        <v>132.141909128603</v>
      </c>
      <c r="L72" s="180" t="n">
        <f aca="false">MAX(0,H72-I72-J72)</f>
        <v>723.37053427506</v>
      </c>
      <c r="M72" s="180" t="n">
        <f aca="false">MAX(0,L72*IFERROR(INDEX(TAB_IRPF_ALIQ,MATCH(L72,TAB_IRPF_BASE,1)),0)-IFERROR(INDEX(TAB_IRPF_DED,MATCH(L72,TAB_IRPF_BASE,1)),0))</f>
        <v>0</v>
      </c>
      <c r="N72" s="180" t="n">
        <f aca="false">H72-I72-J72-K72-M72</f>
        <v>591.228625146457</v>
      </c>
      <c r="O72" s="180" t="n">
        <f aca="false">IF(OR($A72=0,$A72&gt;IN_PRAZO,$B$5=0),0,IF(APORTE_CORRIGIDO="Sim",IN_APORTE*$D72,IN_APORTE))</f>
        <v>0</v>
      </c>
      <c r="P72" s="180" t="n">
        <f aca="false">IF($B$25=1,MAX(0,N72),0)</f>
        <v>591.228625146457</v>
      </c>
      <c r="Q72" s="180" t="n">
        <f aca="false">R71*$B$27</f>
        <v>83.2850043817398</v>
      </c>
      <c r="R72" s="180" t="n">
        <f aca="false">R71+Q72+O72+P72</f>
        <v>10480.3022015415</v>
      </c>
      <c r="S72" s="180" t="n">
        <f aca="false">S71+O72+P72</f>
        <v>9792.74588277761</v>
      </c>
      <c r="T72" s="180" t="n">
        <f aca="false">MAX(0,IFERROR(INDEX(TAB_IR,MATCH($C72,TAB_IR_DIAS,1),MATCH("RF_REGR",TAB_IR_REGIMES,0)),0)*MAX(0,R72-S72))</f>
        <v>120.322355783673</v>
      </c>
      <c r="U72" s="180" t="n">
        <f aca="false">E72*$B$22</f>
        <v>9514.21745725938</v>
      </c>
      <c r="V72" s="180" t="n">
        <f aca="false">IF($B$23=1,0,MAX(0,ALIQ_GANHO_CAP*MAX(0,E72-U72-$B$30)))</f>
        <v>0</v>
      </c>
      <c r="W72" s="181" t="n">
        <f aca="false">IF($B$5=0,0,E72-U72-V72+R72-T72)</f>
        <v>159416.053342821</v>
      </c>
      <c r="X72" s="180" t="n">
        <f aca="false">W72/$D72</f>
        <v>150800.051242331</v>
      </c>
      <c r="Y72" s="180" t="n">
        <f aca="false">IF($B$25=1,0,MAX(0,N72))</f>
        <v>0</v>
      </c>
      <c r="Z72" s="180" t="n">
        <f aca="false">Z71+O72</f>
        <v>155250</v>
      </c>
    </row>
    <row r="73" customFormat="false" ht="12" hidden="false" customHeight="true" outlineLevel="0" collapsed="false">
      <c r="A73" s="177" t="n">
        <v>18</v>
      </c>
      <c r="B73" s="178" t="n">
        <f aca="false">EDATE(DATA_INICIO,$A73)</f>
        <v>46806</v>
      </c>
      <c r="C73" s="177" t="n">
        <f aca="false">$A73*30</f>
        <v>540</v>
      </c>
      <c r="D73" s="179" t="n">
        <f aca="false">(1+$B$29)^$A73</f>
        <v>1.0605960588273</v>
      </c>
      <c r="E73" s="180" t="n">
        <f aca="false">$B$6*(1+$B$21)^$A73</f>
        <v>159089.408824095</v>
      </c>
      <c r="F73" s="180" t="n">
        <f aca="false">IF($A73=0,0,$B$13*(1+$B$16)^($A73-1))</f>
        <v>951.421745725938</v>
      </c>
      <c r="G73" s="180" t="n">
        <f aca="false">F73*$B$14</f>
        <v>76.1137396580751</v>
      </c>
      <c r="H73" s="180" t="n">
        <f aca="false">F73-G73</f>
        <v>875.308006067863</v>
      </c>
      <c r="I73" s="180" t="n">
        <f aca="false">IF($A73=0,0,E73*$B$17/12)</f>
        <v>79.5447044120475</v>
      </c>
      <c r="J73" s="180" t="n">
        <f aca="false">H73*$B$19</f>
        <v>70.0246404854291</v>
      </c>
      <c r="K73" s="180" t="n">
        <f aca="false">IF($A73=0,0,E73*$B$18/12)</f>
        <v>132.574507353413</v>
      </c>
      <c r="L73" s="180" t="n">
        <f aca="false">MAX(0,H73-I73-J73)</f>
        <v>725.738661170387</v>
      </c>
      <c r="M73" s="180" t="n">
        <f aca="false">MAX(0,L73*IFERROR(INDEX(TAB_IRPF_ALIQ,MATCH(L73,TAB_IRPF_BASE,1)),0)-IFERROR(INDEX(TAB_IRPF_DED,MATCH(L73,TAB_IRPF_BASE,1)),0))</f>
        <v>0</v>
      </c>
      <c r="N73" s="180" t="n">
        <f aca="false">H73-I73-J73-K73-M73</f>
        <v>593.164153816974</v>
      </c>
      <c r="O73" s="180" t="n">
        <f aca="false">IF(OR($A73=0,$A73&gt;IN_PRAZO,$B$5=0),0,IF(APORTE_CORRIGIDO="Sim",IN_APORTE*$D73,IN_APORTE))</f>
        <v>0</v>
      </c>
      <c r="P73" s="180" t="n">
        <f aca="false">IF($B$25=1,MAX(0,N73),0)</f>
        <v>593.164153816974</v>
      </c>
      <c r="Q73" s="180" t="n">
        <f aca="false">R72*$B$27</f>
        <v>89.0139541931944</v>
      </c>
      <c r="R73" s="180" t="n">
        <f aca="false">R72+Q73+O73+P73</f>
        <v>11162.4803095516</v>
      </c>
      <c r="S73" s="180" t="n">
        <f aca="false">S72+O73+P73</f>
        <v>10385.9100365946</v>
      </c>
      <c r="T73" s="180" t="n">
        <f aca="false">MAX(0,IFERROR(INDEX(TAB_IR,MATCH($C73,TAB_IR_DIAS,1),MATCH("RF_REGR",TAB_IR_REGIMES,0)),0)*MAX(0,R73-S73))</f>
        <v>135.899797767482</v>
      </c>
      <c r="U73" s="180" t="n">
        <f aca="false">E73*$B$22</f>
        <v>9545.3645294457</v>
      </c>
      <c r="V73" s="180" t="n">
        <f aca="false">IF($B$23=1,0,MAX(0,ALIQ_GANHO_CAP*MAX(0,E73-U73-$B$30)))</f>
        <v>0</v>
      </c>
      <c r="W73" s="181" t="n">
        <f aca="false">IF($B$5=0,0,E73-U73-V73+R73-T73)</f>
        <v>160570.624806433</v>
      </c>
      <c r="X73" s="180" t="n">
        <f aca="false">W73/$D73</f>
        <v>151396.588239236</v>
      </c>
      <c r="Y73" s="180" t="n">
        <f aca="false">IF($B$25=1,0,MAX(0,N73))</f>
        <v>0</v>
      </c>
      <c r="Z73" s="180" t="n">
        <f aca="false">Z72+O73</f>
        <v>155250</v>
      </c>
    </row>
    <row r="74" customFormat="false" ht="12" hidden="false" customHeight="true" outlineLevel="0" collapsed="false">
      <c r="A74" s="177" t="n">
        <v>19</v>
      </c>
      <c r="B74" s="178" t="n">
        <f aca="false">EDATE(DATA_INICIO,$A74)</f>
        <v>46835</v>
      </c>
      <c r="C74" s="177" t="n">
        <f aca="false">$A74*30</f>
        <v>570</v>
      </c>
      <c r="D74" s="179" t="n">
        <f aca="false">(1+$B$29)^$A74</f>
        <v>1.06406817433793</v>
      </c>
      <c r="E74" s="180" t="n">
        <f aca="false">$B$6*(1+$B$21)^$A74</f>
        <v>159610.226150689</v>
      </c>
      <c r="F74" s="180" t="n">
        <f aca="false">IF($A74=0,0,$B$13*(1+$B$16)^($A74-1))</f>
        <v>954.53645294457</v>
      </c>
      <c r="G74" s="180" t="n">
        <f aca="false">F74*$B$14</f>
        <v>76.3629162355656</v>
      </c>
      <c r="H74" s="180" t="n">
        <f aca="false">F74-G74</f>
        <v>878.173536709005</v>
      </c>
      <c r="I74" s="180" t="n">
        <f aca="false">IF($A74=0,0,E74*$B$17/12)</f>
        <v>79.8051130753445</v>
      </c>
      <c r="J74" s="180" t="n">
        <f aca="false">H74*$B$19</f>
        <v>70.2538829367204</v>
      </c>
      <c r="K74" s="180" t="n">
        <f aca="false">IF($A74=0,0,E74*$B$18/12)</f>
        <v>133.008521792241</v>
      </c>
      <c r="L74" s="180" t="n">
        <f aca="false">MAX(0,H74-I74-J74)</f>
        <v>728.11454069694</v>
      </c>
      <c r="M74" s="180" t="n">
        <f aca="false">MAX(0,L74*IFERROR(INDEX(TAB_IRPF_ALIQ,MATCH(L74,TAB_IRPF_BASE,1)),0)-IFERROR(INDEX(TAB_IRPF_DED,MATCH(L74,TAB_IRPF_BASE,1)),0))</f>
        <v>0</v>
      </c>
      <c r="N74" s="180" t="n">
        <f aca="false">H74-I74-J74-K74-M74</f>
        <v>595.106018904699</v>
      </c>
      <c r="O74" s="180" t="n">
        <f aca="false">IF(OR($A74=0,$A74&gt;IN_PRAZO,$B$5=0),0,IF(APORTE_CORRIGIDO="Sim",IN_APORTE*$D74,IN_APORTE))</f>
        <v>0</v>
      </c>
      <c r="P74" s="180" t="n">
        <f aca="false">IF($B$25=1,MAX(0,N74),0)</f>
        <v>595.106018904699</v>
      </c>
      <c r="Q74" s="180" t="n">
        <f aca="false">R73*$B$27</f>
        <v>94.8080018924188</v>
      </c>
      <c r="R74" s="180" t="n">
        <f aca="false">R73+Q74+O74+P74</f>
        <v>11852.3943303487</v>
      </c>
      <c r="S74" s="180" t="n">
        <f aca="false">S73+O74+P74</f>
        <v>10981.0160554993</v>
      </c>
      <c r="T74" s="180" t="n">
        <f aca="false">MAX(0,IFERROR(INDEX(TAB_IR,MATCH($C74,TAB_IR_DIAS,1),MATCH("RF_REGR",TAB_IR_REGIMES,0)),0)*MAX(0,R74-S74))</f>
        <v>152.491198098655</v>
      </c>
      <c r="U74" s="180" t="n">
        <f aca="false">E74*$B$22</f>
        <v>9576.61356904134</v>
      </c>
      <c r="V74" s="180" t="n">
        <f aca="false">IF($B$23=1,0,MAX(0,ALIQ_GANHO_CAP*MAX(0,E74-U74-$B$30)))</f>
        <v>0</v>
      </c>
      <c r="W74" s="181" t="n">
        <f aca="false">IF($B$5=0,0,E74-U74-V74+R74-T74)</f>
        <v>161733.515713898</v>
      </c>
      <c r="X74" s="180" t="n">
        <f aca="false">W74/$D74</f>
        <v>151995.445042353</v>
      </c>
      <c r="Y74" s="180" t="n">
        <f aca="false">IF($B$25=1,0,MAX(0,N74))</f>
        <v>0</v>
      </c>
      <c r="Z74" s="180" t="n">
        <f aca="false">Z73+O74</f>
        <v>155250</v>
      </c>
    </row>
    <row r="75" customFormat="false" ht="12" hidden="false" customHeight="true" outlineLevel="0" collapsed="false">
      <c r="A75" s="177" t="n">
        <v>20</v>
      </c>
      <c r="B75" s="178" t="n">
        <f aca="false">EDATE(DATA_INICIO,$A75)</f>
        <v>46866</v>
      </c>
      <c r="C75" s="177" t="n">
        <f aca="false">$A75*30</f>
        <v>600</v>
      </c>
      <c r="D75" s="179" t="n">
        <f aca="false">(1+$B$29)^$A75</f>
        <v>1.06755165665123</v>
      </c>
      <c r="E75" s="180" t="n">
        <f aca="false">$B$6*(1+$B$21)^$A75</f>
        <v>160132.748497684</v>
      </c>
      <c r="F75" s="180" t="n">
        <f aca="false">IF($A75=0,0,$B$13*(1+$B$16)^($A75-1))</f>
        <v>957.661356904134</v>
      </c>
      <c r="G75" s="180" t="n">
        <f aca="false">F75*$B$14</f>
        <v>76.6129085523307</v>
      </c>
      <c r="H75" s="180" t="n">
        <f aca="false">F75-G75</f>
        <v>881.048448351803</v>
      </c>
      <c r="I75" s="180" t="n">
        <f aca="false">IF($A75=0,0,E75*$B$17/12)</f>
        <v>80.0663742488421</v>
      </c>
      <c r="J75" s="180" t="n">
        <f aca="false">H75*$B$19</f>
        <v>70.4838758681443</v>
      </c>
      <c r="K75" s="180" t="n">
        <f aca="false">IF($A75=0,0,E75*$B$18/12)</f>
        <v>133.443957081404</v>
      </c>
      <c r="L75" s="180" t="n">
        <f aca="false">MAX(0,H75-I75-J75)</f>
        <v>730.498198234817</v>
      </c>
      <c r="M75" s="180" t="n">
        <f aca="false">MAX(0,L75*IFERROR(INDEX(TAB_IRPF_ALIQ,MATCH(L75,TAB_IRPF_BASE,1)),0)-IFERROR(INDEX(TAB_IRPF_DED,MATCH(L75,TAB_IRPF_BASE,1)),0))</f>
        <v>0</v>
      </c>
      <c r="N75" s="180" t="n">
        <f aca="false">H75-I75-J75-K75-M75</f>
        <v>597.054241153413</v>
      </c>
      <c r="O75" s="180" t="n">
        <f aca="false">IF(OR($A75=0,$A75&gt;IN_PRAZO,$B$5=0),0,IF(APORTE_CORRIGIDO="Sim",IN_APORTE*$D75,IN_APORTE))</f>
        <v>0</v>
      </c>
      <c r="P75" s="180" t="n">
        <f aca="false">IF($B$25=1,MAX(0,N75),0)</f>
        <v>597.054241153413</v>
      </c>
      <c r="Q75" s="180" t="n">
        <f aca="false">R74*$B$27</f>
        <v>100.667754203325</v>
      </c>
      <c r="R75" s="180" t="n">
        <f aca="false">R74+Q75+O75+P75</f>
        <v>12550.1163257055</v>
      </c>
      <c r="S75" s="180" t="n">
        <f aca="false">S74+O75+P75</f>
        <v>11578.0702966527</v>
      </c>
      <c r="T75" s="180" t="n">
        <f aca="false">MAX(0,IFERROR(INDEX(TAB_IR,MATCH($C75,TAB_IR_DIAS,1),MATCH("RF_REGR",TAB_IR_REGIMES,0)),0)*MAX(0,R75-S75))</f>
        <v>170.108055084237</v>
      </c>
      <c r="U75" s="180" t="n">
        <f aca="false">E75*$B$22</f>
        <v>9607.96490986106</v>
      </c>
      <c r="V75" s="180" t="n">
        <f aca="false">IF($B$23=1,0,MAX(0,ALIQ_GANHO_CAP*MAX(0,E75-U75-$B$30)))</f>
        <v>0</v>
      </c>
      <c r="W75" s="181" t="n">
        <f aca="false">IF($B$5=0,0,E75-U75-V75+R75-T75)</f>
        <v>162904.791858444</v>
      </c>
      <c r="X75" s="180" t="n">
        <f aca="false">W75/$D75</f>
        <v>152596.636278431</v>
      </c>
      <c r="Y75" s="180" t="n">
        <f aca="false">IF($B$25=1,0,MAX(0,N75))</f>
        <v>0</v>
      </c>
      <c r="Z75" s="180" t="n">
        <f aca="false">Z74+O75</f>
        <v>155250</v>
      </c>
    </row>
    <row r="76" customFormat="false" ht="12" hidden="false" customHeight="true" outlineLevel="0" collapsed="false">
      <c r="A76" s="177" t="n">
        <v>21</v>
      </c>
      <c r="B76" s="178" t="n">
        <f aca="false">EDATE(DATA_INICIO,$A76)</f>
        <v>46896</v>
      </c>
      <c r="C76" s="177" t="n">
        <f aca="false">$A76*30</f>
        <v>630</v>
      </c>
      <c r="D76" s="179" t="n">
        <f aca="false">(1+$B$29)^$A76</f>
        <v>1.07104654297916</v>
      </c>
      <c r="E76" s="180" t="n">
        <f aca="false">$B$6*(1+$B$21)^$A76</f>
        <v>160656.981446874</v>
      </c>
      <c r="F76" s="180" t="n">
        <f aca="false">IF($A76=0,0,$B$13*(1+$B$16)^($A76-1))</f>
        <v>960.796490986106</v>
      </c>
      <c r="G76" s="180" t="n">
        <f aca="false">F76*$B$14</f>
        <v>76.8637192788885</v>
      </c>
      <c r="H76" s="180" t="n">
        <f aca="false">F76-G76</f>
        <v>883.932771707217</v>
      </c>
      <c r="I76" s="180" t="n">
        <f aca="false">IF($A76=0,0,E76*$B$17/12)</f>
        <v>80.328490723437</v>
      </c>
      <c r="J76" s="180" t="n">
        <f aca="false">H76*$B$19</f>
        <v>70.7146217365774</v>
      </c>
      <c r="K76" s="180" t="n">
        <f aca="false">IF($A76=0,0,E76*$B$18/12)</f>
        <v>133.880817872395</v>
      </c>
      <c r="L76" s="180" t="n">
        <f aca="false">MAX(0,H76-I76-J76)</f>
        <v>732.889659247203</v>
      </c>
      <c r="M76" s="180" t="n">
        <f aca="false">MAX(0,L76*IFERROR(INDEX(TAB_IRPF_ALIQ,MATCH(L76,TAB_IRPF_BASE,1)),0)-IFERROR(INDEX(TAB_IRPF_DED,MATCH(L76,TAB_IRPF_BASE,1)),0))</f>
        <v>0</v>
      </c>
      <c r="N76" s="180" t="n">
        <f aca="false">H76-I76-J76-K76-M76</f>
        <v>599.008841374808</v>
      </c>
      <c r="O76" s="180" t="n">
        <f aca="false">IF(OR($A76=0,$A76&gt;IN_PRAZO,$B$5=0),0,IF(APORTE_CORRIGIDO="Sim",IN_APORTE*$D76,IN_APORTE))</f>
        <v>0</v>
      </c>
      <c r="P76" s="180" t="n">
        <f aca="false">IF($B$25=1,MAX(0,N76),0)</f>
        <v>599.008841374808</v>
      </c>
      <c r="Q76" s="180" t="n">
        <f aca="false">R75*$B$27</f>
        <v>106.593823179192</v>
      </c>
      <c r="R76" s="180" t="n">
        <f aca="false">R75+Q76+O76+P76</f>
        <v>13255.7189902595</v>
      </c>
      <c r="S76" s="180" t="n">
        <f aca="false">S75+O76+P76</f>
        <v>12177.0791380275</v>
      </c>
      <c r="T76" s="180" t="n">
        <f aca="false">MAX(0,IFERROR(INDEX(TAB_IR,MATCH($C76,TAB_IR_DIAS,1),MATCH("RF_REGR",TAB_IR_REGIMES,0)),0)*MAX(0,R76-S76))</f>
        <v>188.761974140595</v>
      </c>
      <c r="U76" s="180" t="n">
        <f aca="false">E76*$B$22</f>
        <v>9639.41888681244</v>
      </c>
      <c r="V76" s="180" t="n">
        <f aca="false">IF($B$23=1,0,MAX(0,ALIQ_GANHO_CAP*MAX(0,E76-U76-$B$30)))</f>
        <v>0</v>
      </c>
      <c r="W76" s="181" t="n">
        <f aca="false">IF($B$5=0,0,E76-U76-V76+R76-T76)</f>
        <v>164084.51957618</v>
      </c>
      <c r="X76" s="180" t="n">
        <f aca="false">W76/$D76</f>
        <v>153200.176641972</v>
      </c>
      <c r="Y76" s="180" t="n">
        <f aca="false">IF($B$25=1,0,MAX(0,N76))</f>
        <v>0</v>
      </c>
      <c r="Z76" s="180" t="n">
        <f aca="false">Z75+O76</f>
        <v>155250</v>
      </c>
    </row>
    <row r="77" customFormat="false" ht="12" hidden="false" customHeight="true" outlineLevel="0" collapsed="false">
      <c r="A77" s="177" t="n">
        <v>22</v>
      </c>
      <c r="B77" s="178" t="n">
        <f aca="false">EDATE(DATA_INICIO,$A77)</f>
        <v>46927</v>
      </c>
      <c r="C77" s="177" t="n">
        <f aca="false">$A77*30</f>
        <v>660</v>
      </c>
      <c r="D77" s="179" t="n">
        <f aca="false">(1+$B$29)^$A77</f>
        <v>1.0745528706555</v>
      </c>
      <c r="E77" s="180" t="n">
        <f aca="false">$B$6*(1+$B$21)^$A77</f>
        <v>161182.930598325</v>
      </c>
      <c r="F77" s="180" t="n">
        <f aca="false">IF($A77=0,0,$B$13*(1+$B$16)^($A77-1))</f>
        <v>963.941888681244</v>
      </c>
      <c r="G77" s="180" t="n">
        <f aca="false">F77*$B$14</f>
        <v>77.1153510944995</v>
      </c>
      <c r="H77" s="180" t="n">
        <f aca="false">F77-G77</f>
        <v>886.826537586744</v>
      </c>
      <c r="I77" s="180" t="n">
        <f aca="false">IF($A77=0,0,E77*$B$17/12)</f>
        <v>80.5914652991623</v>
      </c>
      <c r="J77" s="180" t="n">
        <f aca="false">H77*$B$19</f>
        <v>70.9461230069395</v>
      </c>
      <c r="K77" s="180" t="n">
        <f aca="false">IF($A77=0,0,E77*$B$18/12)</f>
        <v>134.319108831937</v>
      </c>
      <c r="L77" s="180" t="n">
        <f aca="false">MAX(0,H77-I77-J77)</f>
        <v>735.288949280642</v>
      </c>
      <c r="M77" s="180" t="n">
        <f aca="false">MAX(0,L77*IFERROR(INDEX(TAB_IRPF_ALIQ,MATCH(L77,TAB_IRPF_BASE,1)),0)-IFERROR(INDEX(TAB_IRPF_DED,MATCH(L77,TAB_IRPF_BASE,1)),0))</f>
        <v>0</v>
      </c>
      <c r="N77" s="180" t="n">
        <f aca="false">H77-I77-J77-K77-M77</f>
        <v>600.969840448705</v>
      </c>
      <c r="O77" s="180" t="n">
        <f aca="false">IF(OR($A77=0,$A77&gt;IN_PRAZO,$B$5=0),0,IF(APORTE_CORRIGIDO="Sim",IN_APORTE*$D77,IN_APORTE))</f>
        <v>0</v>
      </c>
      <c r="P77" s="180" t="n">
        <f aca="false">IF($B$25=1,MAX(0,N77),0)</f>
        <v>600.969840448705</v>
      </c>
      <c r="Q77" s="180" t="n">
        <f aca="false">R76*$B$27</f>
        <v>112.586826248509</v>
      </c>
      <c r="R77" s="180" t="n">
        <f aca="false">R76+Q77+O77+P77</f>
        <v>13969.2756569567</v>
      </c>
      <c r="S77" s="180" t="n">
        <f aca="false">S76+O77+P77</f>
        <v>12778.0489784762</v>
      </c>
      <c r="T77" s="180" t="n">
        <f aca="false">MAX(0,IFERROR(INDEX(TAB_IR,MATCH($C77,TAB_IR_DIAS,1),MATCH("RF_REGR",TAB_IR_REGIMES,0)),0)*MAX(0,R77-S77))</f>
        <v>208.464668734084</v>
      </c>
      <c r="U77" s="180" t="n">
        <f aca="false">E77*$B$22</f>
        <v>9670.97583589948</v>
      </c>
      <c r="V77" s="180" t="n">
        <f aca="false">IF($B$23=1,0,MAX(0,ALIQ_GANHO_CAP*MAX(0,E77-U77-$B$30)))</f>
        <v>0</v>
      </c>
      <c r="W77" s="181" t="n">
        <f aca="false">IF($B$5=0,0,E77-U77-V77+R77-T77)</f>
        <v>165272.765750648</v>
      </c>
      <c r="X77" s="180" t="n">
        <f aca="false">W77/$D77</f>
        <v>153806.080895608</v>
      </c>
      <c r="Y77" s="180" t="n">
        <f aca="false">IF($B$25=1,0,MAX(0,N77))</f>
        <v>0</v>
      </c>
      <c r="Z77" s="180" t="n">
        <f aca="false">Z76+O77</f>
        <v>155250</v>
      </c>
    </row>
    <row r="78" customFormat="false" ht="12" hidden="false" customHeight="true" outlineLevel="0" collapsed="false">
      <c r="A78" s="177" t="n">
        <v>23</v>
      </c>
      <c r="B78" s="178" t="n">
        <f aca="false">EDATE(DATA_INICIO,$A78)</f>
        <v>46957</v>
      </c>
      <c r="C78" s="177" t="n">
        <f aca="false">$A78*30</f>
        <v>690</v>
      </c>
      <c r="D78" s="179" t="n">
        <f aca="false">(1+$B$29)^$A78</f>
        <v>1.07807067713624</v>
      </c>
      <c r="E78" s="180" t="n">
        <f aca="false">$B$6*(1+$B$21)^$A78</f>
        <v>161710.601570436</v>
      </c>
      <c r="F78" s="180" t="n">
        <f aca="false">IF($A78=0,0,$B$13*(1+$B$16)^($A78-1))</f>
        <v>967.097583589948</v>
      </c>
      <c r="G78" s="180" t="n">
        <f aca="false">F78*$B$14</f>
        <v>77.3678066871958</v>
      </c>
      <c r="H78" s="180" t="n">
        <f aca="false">F78-G78</f>
        <v>889.729776902752</v>
      </c>
      <c r="I78" s="180" t="n">
        <f aca="false">IF($A78=0,0,E78*$B$17/12)</f>
        <v>80.8553007852179</v>
      </c>
      <c r="J78" s="180" t="n">
        <f aca="false">H78*$B$19</f>
        <v>71.1783821522202</v>
      </c>
      <c r="K78" s="180" t="n">
        <f aca="false">IF($A78=0,0,E78*$B$18/12)</f>
        <v>134.75883464203</v>
      </c>
      <c r="L78" s="180" t="n">
        <f aca="false">MAX(0,H78-I78-J78)</f>
        <v>737.696093965314</v>
      </c>
      <c r="M78" s="180" t="n">
        <f aca="false">MAX(0,L78*IFERROR(INDEX(TAB_IRPF_ALIQ,MATCH(L78,TAB_IRPF_BASE,1)),0)-IFERROR(INDEX(TAB_IRPF_DED,MATCH(L78,TAB_IRPF_BASE,1)),0))</f>
        <v>0</v>
      </c>
      <c r="N78" s="180" t="n">
        <f aca="false">H78-I78-J78-K78-M78</f>
        <v>602.937259323284</v>
      </c>
      <c r="O78" s="180" t="n">
        <f aca="false">IF(OR($A78=0,$A78&gt;IN_PRAZO,$B$5=0),0,IF(APORTE_CORRIGIDO="Sim",IN_APORTE*$D78,IN_APORTE))</f>
        <v>0</v>
      </c>
      <c r="P78" s="180" t="n">
        <f aca="false">IF($B$25=1,MAX(0,N78),0)</f>
        <v>602.937259323284</v>
      </c>
      <c r="Q78" s="180" t="n">
        <f aca="false">R77*$B$27</f>
        <v>118.647386261205</v>
      </c>
      <c r="R78" s="180" t="n">
        <f aca="false">R77+Q78+O78+P78</f>
        <v>14690.8603025412</v>
      </c>
      <c r="S78" s="180" t="n">
        <f aca="false">S77+O78+P78</f>
        <v>13380.9862377995</v>
      </c>
      <c r="T78" s="180" t="n">
        <f aca="false">MAX(0,IFERROR(INDEX(TAB_IR,MATCH($C78,TAB_IR_DIAS,1),MATCH("RF_REGR",TAB_IR_REGIMES,0)),0)*MAX(0,R78-S78))</f>
        <v>229.227961329795</v>
      </c>
      <c r="U78" s="180" t="n">
        <f aca="false">E78*$B$22</f>
        <v>9702.63609422614</v>
      </c>
      <c r="V78" s="180" t="n">
        <f aca="false">IF($B$23=1,0,MAX(0,ALIQ_GANHO_CAP*MAX(0,E78-U78-$B$30)))</f>
        <v>0</v>
      </c>
      <c r="W78" s="181" t="n">
        <f aca="false">IF($B$5=0,0,E78-U78-V78+R78-T78)</f>
        <v>166469.597817421</v>
      </c>
      <c r="X78" s="180" t="n">
        <f aca="false">W78/$D78</f>
        <v>154414.36387049</v>
      </c>
      <c r="Y78" s="180" t="n">
        <f aca="false">IF($B$25=1,0,MAX(0,N78))</f>
        <v>0</v>
      </c>
      <c r="Z78" s="180" t="n">
        <f aca="false">Z77+O78</f>
        <v>155250</v>
      </c>
    </row>
    <row r="79" customFormat="false" ht="12" hidden="false" customHeight="true" outlineLevel="0" collapsed="false">
      <c r="A79" s="177" t="n">
        <v>24</v>
      </c>
      <c r="B79" s="178" t="n">
        <f aca="false">EDATE(DATA_INICIO,$A79)</f>
        <v>46988</v>
      </c>
      <c r="C79" s="177" t="n">
        <f aca="false">$A79*30</f>
        <v>720</v>
      </c>
      <c r="D79" s="179" t="n">
        <f aca="false">(1+$B$29)^$A79</f>
        <v>1.0816</v>
      </c>
      <c r="E79" s="180" t="n">
        <f aca="false">$B$6*(1+$B$21)^$A79</f>
        <v>162240</v>
      </c>
      <c r="F79" s="180" t="n">
        <f aca="false">IF($A79=0,0,$B$13*(1+$B$16)^($A79-1))</f>
        <v>970.263609422614</v>
      </c>
      <c r="G79" s="180" t="n">
        <f aca="false">F79*$B$14</f>
        <v>77.6210887538092</v>
      </c>
      <c r="H79" s="180" t="n">
        <f aca="false">F79-G79</f>
        <v>892.642520668805</v>
      </c>
      <c r="I79" s="180" t="n">
        <f aca="false">IF($A79=0,0,E79*$B$17/12)</f>
        <v>81.1200000000001</v>
      </c>
      <c r="J79" s="180" t="n">
        <f aca="false">H79*$B$19</f>
        <v>71.4114016535044</v>
      </c>
      <c r="K79" s="180" t="n">
        <f aca="false">IF($A79=0,0,E79*$B$18/12)</f>
        <v>135.2</v>
      </c>
      <c r="L79" s="180" t="n">
        <f aca="false">MAX(0,H79-I79-J79)</f>
        <v>740.111119015301</v>
      </c>
      <c r="M79" s="180" t="n">
        <f aca="false">MAX(0,L79*IFERROR(INDEX(TAB_IRPF_ALIQ,MATCH(L79,TAB_IRPF_BASE,1)),0)-IFERROR(INDEX(TAB_IRPF_DED,MATCH(L79,TAB_IRPF_BASE,1)),0))</f>
        <v>0</v>
      </c>
      <c r="N79" s="180" t="n">
        <f aca="false">H79-I79-J79-K79-M79</f>
        <v>604.911119015301</v>
      </c>
      <c r="O79" s="180" t="n">
        <f aca="false">IF(OR($A79=0,$A79&gt;IN_PRAZO,$B$5=0),0,IF(APORTE_CORRIGIDO="Sim",IN_APORTE*$D79,IN_APORTE))</f>
        <v>0</v>
      </c>
      <c r="P79" s="180" t="n">
        <f aca="false">IF($B$25=1,MAX(0,N79),0)</f>
        <v>604.911119015301</v>
      </c>
      <c r="Q79" s="180" t="n">
        <f aca="false">R78*$B$27</f>
        <v>124.77613153528</v>
      </c>
      <c r="R79" s="180" t="n">
        <f aca="false">R78+Q79+O79+P79</f>
        <v>15420.5475530918</v>
      </c>
      <c r="S79" s="180" t="n">
        <f aca="false">S78+O79+P79</f>
        <v>13985.8973568148</v>
      </c>
      <c r="T79" s="180" t="n">
        <f aca="false">MAX(0,IFERROR(INDEX(TAB_IR,MATCH($C79,TAB_IR_DIAS,1),MATCH("RF_REGR",TAB_IR_REGIMES,0)),0)*MAX(0,R79-S79))</f>
        <v>251.063784348469</v>
      </c>
      <c r="U79" s="180" t="n">
        <f aca="false">E79*$B$22</f>
        <v>9734.40000000001</v>
      </c>
      <c r="V79" s="180" t="n">
        <f aca="false">IF($B$23=1,0,MAX(0,ALIQ_GANHO_CAP*MAX(0,E79-U79-$B$30)))</f>
        <v>0</v>
      </c>
      <c r="W79" s="181" t="n">
        <f aca="false">IF($B$5=0,0,E79-U79-V79+R79-T79)</f>
        <v>167675.083768743</v>
      </c>
      <c r="X79" s="180" t="n">
        <f aca="false">W79/$D79</f>
        <v>155025.040466664</v>
      </c>
      <c r="Y79" s="180" t="n">
        <f aca="false">IF($B$25=1,0,MAX(0,N79))</f>
        <v>0</v>
      </c>
      <c r="Z79" s="180" t="n">
        <f aca="false">Z78+O79</f>
        <v>155250</v>
      </c>
    </row>
    <row r="80" customFormat="false" ht="12" hidden="false" customHeight="true" outlineLevel="0" collapsed="false">
      <c r="A80" s="177" t="n">
        <v>25</v>
      </c>
      <c r="B80" s="178" t="n">
        <f aca="false">EDATE(DATA_INICIO,$A80)</f>
        <v>47019</v>
      </c>
      <c r="C80" s="177" t="n">
        <f aca="false">$A80*30</f>
        <v>750</v>
      </c>
      <c r="D80" s="179" t="n">
        <f aca="false">(1+$B$29)^$A80</f>
        <v>1.08514087694843</v>
      </c>
      <c r="E80" s="180" t="n">
        <f aca="false">$B$6*(1+$B$21)^$A80</f>
        <v>162771.131542264</v>
      </c>
      <c r="F80" s="180" t="n">
        <f aca="false">IF($A80=0,0,$B$13*(1+$B$16)^($A80-1))</f>
        <v>973.440000000001</v>
      </c>
      <c r="G80" s="180" t="n">
        <f aca="false">F80*$B$14</f>
        <v>77.8752000000001</v>
      </c>
      <c r="H80" s="180" t="n">
        <f aca="false">F80-G80</f>
        <v>895.564800000001</v>
      </c>
      <c r="I80" s="180" t="n">
        <f aca="false">IF($A80=0,0,E80*$B$17/12)</f>
        <v>81.3855657711321</v>
      </c>
      <c r="J80" s="180" t="n">
        <f aca="false">H80*$B$19</f>
        <v>71.6451840000001</v>
      </c>
      <c r="K80" s="180" t="n">
        <f aca="false">IF($A80=0,0,E80*$B$18/12)</f>
        <v>135.642609618553</v>
      </c>
      <c r="L80" s="180" t="n">
        <f aca="false">MAX(0,H80-I80-J80)</f>
        <v>742.534050228869</v>
      </c>
      <c r="M80" s="180" t="n">
        <f aca="false">MAX(0,L80*IFERROR(INDEX(TAB_IRPF_ALIQ,MATCH(L80,TAB_IRPF_BASE,1)),0)-IFERROR(INDEX(TAB_IRPF_DED,MATCH(L80,TAB_IRPF_BASE,1)),0))</f>
        <v>0</v>
      </c>
      <c r="N80" s="180" t="n">
        <f aca="false">H80-I80-J80-K80-M80</f>
        <v>606.891440610315</v>
      </c>
      <c r="O80" s="180" t="n">
        <f aca="false">IF(OR($A80=0,$A80&gt;IN_PRAZO,$B$5=0),0,IF(APORTE_CORRIGIDO="Sim",IN_APORTE*$D80,IN_APORTE))</f>
        <v>0</v>
      </c>
      <c r="P80" s="180" t="n">
        <f aca="false">IF($B$25=1,MAX(0,N80),0)</f>
        <v>606.891440610315</v>
      </c>
      <c r="Q80" s="180" t="n">
        <f aca="false">R79*$B$27</f>
        <v>130.973695903826</v>
      </c>
      <c r="R80" s="180" t="n">
        <f aca="false">R79+Q80+O80+P80</f>
        <v>16158.4126896059</v>
      </c>
      <c r="S80" s="180" t="n">
        <f aca="false">S79+O80+P80</f>
        <v>14592.7887974251</v>
      </c>
      <c r="T80" s="180" t="n">
        <f aca="false">MAX(0,IFERROR(INDEX(TAB_IR,MATCH($C80,TAB_IR_DIAS,1),MATCH("RF_REGR",TAB_IR_REGIMES,0)),0)*MAX(0,R80-S80))</f>
        <v>234.843583827119</v>
      </c>
      <c r="U80" s="180" t="n">
        <f aca="false">E80*$B$22</f>
        <v>9766.26789253585</v>
      </c>
      <c r="V80" s="180" t="n">
        <f aca="false">IF($B$23=1,0,MAX(0,ALIQ_GANHO_CAP*MAX(0,E80-U80-$B$30)))</f>
        <v>0</v>
      </c>
      <c r="W80" s="181" t="n">
        <f aca="false">IF($B$5=0,0,E80-U80-V80+R80-T80)</f>
        <v>168928.432755507</v>
      </c>
      <c r="X80" s="180" t="n">
        <f aca="false">W80/$D80</f>
        <v>155674.195253393</v>
      </c>
      <c r="Y80" s="180" t="n">
        <f aca="false">IF($B$25=1,0,MAX(0,N80))</f>
        <v>0</v>
      </c>
      <c r="Z80" s="180" t="n">
        <f aca="false">Z79+O80</f>
        <v>155250</v>
      </c>
    </row>
    <row r="81" customFormat="false" ht="12" hidden="false" customHeight="true" outlineLevel="0" collapsed="false">
      <c r="A81" s="177" t="n">
        <v>26</v>
      </c>
      <c r="B81" s="178" t="n">
        <f aca="false">EDATE(DATA_INICIO,$A81)</f>
        <v>47049</v>
      </c>
      <c r="C81" s="177" t="n">
        <f aca="false">$A81*30</f>
        <v>780</v>
      </c>
      <c r="D81" s="179" t="n">
        <f aca="false">(1+$B$29)^$A81</f>
        <v>1.08869334580658</v>
      </c>
      <c r="E81" s="180" t="n">
        <f aca="false">$B$6*(1+$B$21)^$A81</f>
        <v>163304.001870988</v>
      </c>
      <c r="F81" s="180" t="n">
        <f aca="false">IF($A81=0,0,$B$13*(1+$B$16)^($A81-1))</f>
        <v>976.626789253585</v>
      </c>
      <c r="G81" s="180" t="n">
        <f aca="false">F81*$B$14</f>
        <v>78.1301431402868</v>
      </c>
      <c r="H81" s="180" t="n">
        <f aca="false">F81-G81</f>
        <v>898.496646113298</v>
      </c>
      <c r="I81" s="180" t="n">
        <f aca="false">IF($A81=0,0,E81*$B$17/12)</f>
        <v>81.6520009354938</v>
      </c>
      <c r="J81" s="180" t="n">
        <f aca="false">H81*$B$19</f>
        <v>71.8797316890639</v>
      </c>
      <c r="K81" s="180" t="n">
        <f aca="false">IF($A81=0,0,E81*$B$18/12)</f>
        <v>136.086668225823</v>
      </c>
      <c r="L81" s="180" t="n">
        <f aca="false">MAX(0,H81-I81-J81)</f>
        <v>744.96491348874</v>
      </c>
      <c r="M81" s="180" t="n">
        <f aca="false">MAX(0,L81*IFERROR(INDEX(TAB_IRPF_ALIQ,MATCH(L81,TAB_IRPF_BASE,1)),0)-IFERROR(INDEX(TAB_IRPF_DED,MATCH(L81,TAB_IRPF_BASE,1)),0))</f>
        <v>0</v>
      </c>
      <c r="N81" s="180" t="n">
        <f aca="false">H81-I81-J81-K81-M81</f>
        <v>608.878245262917</v>
      </c>
      <c r="O81" s="180" t="n">
        <f aca="false">IF(OR($A81=0,$A81&gt;IN_PRAZO,$B$5=0),0,IF(APORTE_CORRIGIDO="Sim",IN_APORTE*$D81,IN_APORTE))</f>
        <v>0</v>
      </c>
      <c r="P81" s="180" t="n">
        <f aca="false">IF($B$25=1,MAX(0,N81),0)</f>
        <v>608.878245262917</v>
      </c>
      <c r="Q81" s="180" t="n">
        <f aca="false">R80*$B$27</f>
        <v>137.240718762457</v>
      </c>
      <c r="R81" s="180" t="n">
        <f aca="false">R80+Q81+O81+P81</f>
        <v>16904.5316536313</v>
      </c>
      <c r="S81" s="180" t="n">
        <f aca="false">S80+O81+P81</f>
        <v>15201.667042688</v>
      </c>
      <c r="T81" s="180" t="n">
        <f aca="false">MAX(0,IFERROR(INDEX(TAB_IR,MATCH($C81,TAB_IR_DIAS,1),MATCH("RF_REGR",TAB_IR_REGIMES,0)),0)*MAX(0,R81-S81))</f>
        <v>255.429691641488</v>
      </c>
      <c r="U81" s="180" t="n">
        <f aca="false">E81*$B$22</f>
        <v>9798.24011225926</v>
      </c>
      <c r="V81" s="180" t="n">
        <f aca="false">IF($B$23=1,0,MAX(0,ALIQ_GANHO_CAP*MAX(0,E81-U81-$B$30)))</f>
        <v>0</v>
      </c>
      <c r="W81" s="181" t="n">
        <f aca="false">IF($B$5=0,0,E81-U81-V81+R81-T81)</f>
        <v>170154.863720718</v>
      </c>
      <c r="X81" s="180" t="n">
        <f aca="false">W81/$D81</f>
        <v>156292.73787345</v>
      </c>
      <c r="Y81" s="180" t="n">
        <f aca="false">IF($B$25=1,0,MAX(0,N81))</f>
        <v>0</v>
      </c>
      <c r="Z81" s="180" t="n">
        <f aca="false">Z80+O81</f>
        <v>155250</v>
      </c>
    </row>
    <row r="82" customFormat="false" ht="12" hidden="false" customHeight="true" outlineLevel="0" collapsed="false">
      <c r="A82" s="177" t="n">
        <v>27</v>
      </c>
      <c r="B82" s="178" t="n">
        <f aca="false">EDATE(DATA_INICIO,$A82)</f>
        <v>47080</v>
      </c>
      <c r="C82" s="177" t="n">
        <f aca="false">$A82*30</f>
        <v>810</v>
      </c>
      <c r="D82" s="179" t="n">
        <f aca="false">(1+$B$29)^$A82</f>
        <v>1.09225744452337</v>
      </c>
      <c r="E82" s="180" t="n">
        <f aca="false">$B$6*(1+$B$21)^$A82</f>
        <v>163838.616678505</v>
      </c>
      <c r="F82" s="180" t="n">
        <f aca="false">IF($A82=0,0,$B$13*(1+$B$16)^($A82-1))</f>
        <v>979.824011225926</v>
      </c>
      <c r="G82" s="180" t="n">
        <f aca="false">F82*$B$14</f>
        <v>78.3859208980741</v>
      </c>
      <c r="H82" s="180" t="n">
        <f aca="false">F82-G82</f>
        <v>901.438090327852</v>
      </c>
      <c r="I82" s="180" t="n">
        <f aca="false">IF($A82=0,0,E82*$B$17/12)</f>
        <v>81.9193083392525</v>
      </c>
      <c r="J82" s="180" t="n">
        <f aca="false">H82*$B$19</f>
        <v>72.1150472262281</v>
      </c>
      <c r="K82" s="180" t="n">
        <f aca="false">IF($A82=0,0,E82*$B$18/12)</f>
        <v>136.532180565421</v>
      </c>
      <c r="L82" s="180" t="n">
        <f aca="false">MAX(0,H82-I82-J82)</f>
        <v>747.403734762371</v>
      </c>
      <c r="M82" s="180" t="n">
        <f aca="false">MAX(0,L82*IFERROR(INDEX(TAB_IRPF_ALIQ,MATCH(L82,TAB_IRPF_BASE,1)),0)-IFERROR(INDEX(TAB_IRPF_DED,MATCH(L82,TAB_IRPF_BASE,1)),0))</f>
        <v>0</v>
      </c>
      <c r="N82" s="180" t="n">
        <f aca="false">H82-I82-J82-K82-M82</f>
        <v>610.87155419695</v>
      </c>
      <c r="O82" s="180" t="n">
        <f aca="false">IF(OR($A82=0,$A82&gt;IN_PRAZO,$B$5=0),0,IF(APORTE_CORRIGIDO="Sim",IN_APORTE*$D82,IN_APORTE))</f>
        <v>0</v>
      </c>
      <c r="P82" s="180" t="n">
        <f aca="false">IF($B$25=1,MAX(0,N82),0)</f>
        <v>610.87155419695</v>
      </c>
      <c r="Q82" s="180" t="n">
        <f aca="false">R81*$B$27</f>
        <v>143.57784511714</v>
      </c>
      <c r="R82" s="180" t="n">
        <f aca="false">R81+Q82+O82+P82</f>
        <v>17658.9810529454</v>
      </c>
      <c r="S82" s="180" t="n">
        <f aca="false">S81+O82+P82</f>
        <v>15812.538596885</v>
      </c>
      <c r="T82" s="180" t="n">
        <f aca="false">MAX(0,IFERROR(INDEX(TAB_IR,MATCH($C82,TAB_IR_DIAS,1),MATCH("RF_REGR",TAB_IR_REGIMES,0)),0)*MAX(0,R82-S82))</f>
        <v>276.966368409059</v>
      </c>
      <c r="U82" s="180" t="n">
        <f aca="false">E82*$B$22</f>
        <v>9830.31700071029</v>
      </c>
      <c r="V82" s="180" t="n">
        <f aca="false">IF($B$23=1,0,MAX(0,ALIQ_GANHO_CAP*MAX(0,E82-U82-$B$30)))</f>
        <v>0</v>
      </c>
      <c r="W82" s="181" t="n">
        <f aca="false">IF($B$5=0,0,E82-U82-V82+R82-T82)</f>
        <v>171390.314362331</v>
      </c>
      <c r="X82" s="180" t="n">
        <f aca="false">W82/$D82</f>
        <v>156913.844095722</v>
      </c>
      <c r="Y82" s="180" t="n">
        <f aca="false">IF($B$25=1,0,MAX(0,N82))</f>
        <v>0</v>
      </c>
      <c r="Z82" s="180" t="n">
        <f aca="false">Z81+O82</f>
        <v>155250</v>
      </c>
    </row>
    <row r="83" customFormat="false" ht="12" hidden="false" customHeight="true" outlineLevel="0" collapsed="false">
      <c r="A83" s="177" t="n">
        <v>28</v>
      </c>
      <c r="B83" s="178" t="n">
        <f aca="false">EDATE(DATA_INICIO,$A83)</f>
        <v>47110</v>
      </c>
      <c r="C83" s="177" t="n">
        <f aca="false">$A83*30</f>
        <v>840</v>
      </c>
      <c r="D83" s="179" t="n">
        <f aca="false">(1+$B$29)^$A83</f>
        <v>1.09583321117191</v>
      </c>
      <c r="E83" s="180" t="n">
        <f aca="false">$B$6*(1+$B$21)^$A83</f>
        <v>164374.981675786</v>
      </c>
      <c r="F83" s="180" t="n">
        <f aca="false">IF($A83=0,0,$B$13*(1+$B$16)^($A83-1))</f>
        <v>983.03170007103</v>
      </c>
      <c r="G83" s="180" t="n">
        <f aca="false">F83*$B$14</f>
        <v>78.6425360056824</v>
      </c>
      <c r="H83" s="180" t="n">
        <f aca="false">F83-G83</f>
        <v>904.389164065347</v>
      </c>
      <c r="I83" s="180" t="n">
        <f aca="false">IF($A83=0,0,E83*$B$17/12)</f>
        <v>82.1874908378929</v>
      </c>
      <c r="J83" s="180" t="n">
        <f aca="false">H83*$B$19</f>
        <v>72.3511331252278</v>
      </c>
      <c r="K83" s="180" t="n">
        <f aca="false">IF($A83=0,0,E83*$B$18/12)</f>
        <v>136.979151396488</v>
      </c>
      <c r="L83" s="180" t="n">
        <f aca="false">MAX(0,H83-I83-J83)</f>
        <v>749.850540102226</v>
      </c>
      <c r="M83" s="180" t="n">
        <f aca="false">MAX(0,L83*IFERROR(INDEX(TAB_IRPF_ALIQ,MATCH(L83,TAB_IRPF_BASE,1)),0)-IFERROR(INDEX(TAB_IRPF_DED,MATCH(L83,TAB_IRPF_BASE,1)),0))</f>
        <v>0</v>
      </c>
      <c r="N83" s="180" t="n">
        <f aca="false">H83-I83-J83-K83-M83</f>
        <v>612.871388705738</v>
      </c>
      <c r="O83" s="180" t="n">
        <f aca="false">IF(OR($A83=0,$A83&gt;IN_PRAZO,$B$5=0),0,IF(APORTE_CORRIGIDO="Sim",IN_APORTE*$D83,IN_APORTE))</f>
        <v>0</v>
      </c>
      <c r="P83" s="180" t="n">
        <f aca="false">IF($B$25=1,MAX(0,N83),0)</f>
        <v>612.871388705738</v>
      </c>
      <c r="Q83" s="180" t="n">
        <f aca="false">R82*$B$27</f>
        <v>149.985725632432</v>
      </c>
      <c r="R83" s="180" t="n">
        <f aca="false">R82+Q83+O83+P83</f>
        <v>18421.8381672835</v>
      </c>
      <c r="S83" s="180" t="n">
        <f aca="false">S82+O83+P83</f>
        <v>16425.4099855907</v>
      </c>
      <c r="T83" s="180" t="n">
        <f aca="false">MAX(0,IFERROR(INDEX(TAB_IR,MATCH($C83,TAB_IR_DIAS,1),MATCH("RF_REGR",TAB_IR_REGIMES,0)),0)*MAX(0,R83-S83))</f>
        <v>299.464227253923</v>
      </c>
      <c r="U83" s="180" t="n">
        <f aca="false">E83*$B$22</f>
        <v>9862.49890054715</v>
      </c>
      <c r="V83" s="180" t="n">
        <f aca="false">IF($B$23=1,0,MAX(0,ALIQ_GANHO_CAP*MAX(0,E83-U83-$B$30)))</f>
        <v>0</v>
      </c>
      <c r="W83" s="181" t="n">
        <f aca="false">IF($B$5=0,0,E83-U83-V83+R83-T83)</f>
        <v>172634.856715268</v>
      </c>
      <c r="X83" s="180" t="n">
        <f aca="false">W83/$D83</f>
        <v>157537.529393409</v>
      </c>
      <c r="Y83" s="180" t="n">
        <f aca="false">IF($B$25=1,0,MAX(0,N83))</f>
        <v>0</v>
      </c>
      <c r="Z83" s="180" t="n">
        <f aca="false">Z82+O83</f>
        <v>155250</v>
      </c>
    </row>
    <row r="84" customFormat="false" ht="12" hidden="false" customHeight="true" outlineLevel="0" collapsed="false">
      <c r="A84" s="177" t="n">
        <v>29</v>
      </c>
      <c r="B84" s="178" t="n">
        <f aca="false">EDATE(DATA_INICIO,$A84)</f>
        <v>47141</v>
      </c>
      <c r="C84" s="177" t="n">
        <f aca="false">$A84*30</f>
        <v>870</v>
      </c>
      <c r="D84" s="179" t="n">
        <f aca="false">(1+$B$29)^$A84</f>
        <v>1.09942068394997</v>
      </c>
      <c r="E84" s="180" t="n">
        <f aca="false">$B$6*(1+$B$21)^$A84</f>
        <v>164913.102592496</v>
      </c>
      <c r="F84" s="180" t="n">
        <f aca="false">IF($A84=0,0,$B$13*(1+$B$16)^($A84-1))</f>
        <v>986.249890054715</v>
      </c>
      <c r="G84" s="180" t="n">
        <f aca="false">F84*$B$14</f>
        <v>78.8999912043772</v>
      </c>
      <c r="H84" s="180" t="n">
        <f aca="false">F84-G84</f>
        <v>907.349898850338</v>
      </c>
      <c r="I84" s="180" t="n">
        <f aca="false">IF($A84=0,0,E84*$B$17/12)</f>
        <v>82.456551296248</v>
      </c>
      <c r="J84" s="180" t="n">
        <f aca="false">H84*$B$19</f>
        <v>72.587991908027</v>
      </c>
      <c r="K84" s="180" t="n">
        <f aca="false">IF($A84=0,0,E84*$B$18/12)</f>
        <v>137.427585493747</v>
      </c>
      <c r="L84" s="180" t="n">
        <f aca="false">MAX(0,H84-I84-J84)</f>
        <v>752.305355646063</v>
      </c>
      <c r="M84" s="180" t="n">
        <f aca="false">MAX(0,L84*IFERROR(INDEX(TAB_IRPF_ALIQ,MATCH(L84,TAB_IRPF_BASE,1)),0)-IFERROR(INDEX(TAB_IRPF_DED,MATCH(L84,TAB_IRPF_BASE,1)),0))</f>
        <v>0</v>
      </c>
      <c r="N84" s="180" t="n">
        <f aca="false">H84-I84-J84-K84-M84</f>
        <v>614.877770152316</v>
      </c>
      <c r="O84" s="180" t="n">
        <f aca="false">IF(OR($A84=0,$A84&gt;IN_PRAZO,$B$5=0),0,IF(APORTE_CORRIGIDO="Sim",IN_APORTE*$D84,IN_APORTE))</f>
        <v>0</v>
      </c>
      <c r="P84" s="180" t="n">
        <f aca="false">IF($B$25=1,MAX(0,N84),0)</f>
        <v>614.877770152316</v>
      </c>
      <c r="Q84" s="180" t="n">
        <f aca="false">R83*$B$27</f>
        <v>156.465016680133</v>
      </c>
      <c r="R84" s="180" t="n">
        <f aca="false">R83+Q84+O84+P84</f>
        <v>19193.180954116</v>
      </c>
      <c r="S84" s="180" t="n">
        <f aca="false">S83+O84+P84</f>
        <v>17040.287755743</v>
      </c>
      <c r="T84" s="180" t="n">
        <f aca="false">MAX(0,IFERROR(INDEX(TAB_IR,MATCH($C84,TAB_IR_DIAS,1),MATCH("RF_REGR",TAB_IR_REGIMES,0)),0)*MAX(0,R84-S84))</f>
        <v>322.933979755943</v>
      </c>
      <c r="U84" s="180" t="n">
        <f aca="false">E84*$B$22</f>
        <v>9894.78615554976</v>
      </c>
      <c r="V84" s="180" t="n">
        <f aca="false">IF($B$23=1,0,MAX(0,ALIQ_GANHO_CAP*MAX(0,E84-U84-$B$30)))</f>
        <v>0</v>
      </c>
      <c r="W84" s="181" t="n">
        <f aca="false">IF($B$5=0,0,E84-U84-V84+R84-T84)</f>
        <v>173888.563411306</v>
      </c>
      <c r="X84" s="180" t="n">
        <f aca="false">W84/$D84</f>
        <v>158163.80931325</v>
      </c>
      <c r="Y84" s="180" t="n">
        <f aca="false">IF($B$25=1,0,MAX(0,N84))</f>
        <v>0</v>
      </c>
      <c r="Z84" s="180" t="n">
        <f aca="false">Z83+O84</f>
        <v>155250</v>
      </c>
    </row>
    <row r="85" customFormat="false" ht="12" hidden="false" customHeight="true" outlineLevel="0" collapsed="false">
      <c r="A85" s="177" t="n">
        <v>30</v>
      </c>
      <c r="B85" s="178" t="n">
        <f aca="false">EDATE(DATA_INICIO,$A85)</f>
        <v>47172</v>
      </c>
      <c r="C85" s="177" t="n">
        <f aca="false">$A85*30</f>
        <v>900</v>
      </c>
      <c r="D85" s="179" t="n">
        <f aca="false">(1+$B$29)^$A85</f>
        <v>1.10301990118039</v>
      </c>
      <c r="E85" s="180" t="n">
        <f aca="false">$B$6*(1+$B$21)^$A85</f>
        <v>165452.985177059</v>
      </c>
      <c r="F85" s="180" t="n">
        <f aca="false">IF($A85=0,0,$B$13*(1+$B$16)^($A85-1))</f>
        <v>989.478615554976</v>
      </c>
      <c r="G85" s="180" t="n">
        <f aca="false">F85*$B$14</f>
        <v>79.1582892443981</v>
      </c>
      <c r="H85" s="180" t="n">
        <f aca="false">F85-G85</f>
        <v>910.320326310578</v>
      </c>
      <c r="I85" s="180" t="n">
        <f aca="false">IF($A85=0,0,E85*$B$17/12)</f>
        <v>82.7264925885295</v>
      </c>
      <c r="J85" s="180" t="n">
        <f aca="false">H85*$B$19</f>
        <v>72.8256261048463</v>
      </c>
      <c r="K85" s="180" t="n">
        <f aca="false">IF($A85=0,0,E85*$B$18/12)</f>
        <v>137.877487647549</v>
      </c>
      <c r="L85" s="180" t="n">
        <f aca="false">MAX(0,H85-I85-J85)</f>
        <v>754.768207617202</v>
      </c>
      <c r="M85" s="180" t="n">
        <f aca="false">MAX(0,L85*IFERROR(INDEX(TAB_IRPF_ALIQ,MATCH(L85,TAB_IRPF_BASE,1)),0)-IFERROR(INDEX(TAB_IRPF_DED,MATCH(L85,TAB_IRPF_BASE,1)),0))</f>
        <v>0</v>
      </c>
      <c r="N85" s="180" t="n">
        <f aca="false">H85-I85-J85-K85-M85</f>
        <v>616.890719969653</v>
      </c>
      <c r="O85" s="180" t="n">
        <f aca="false">IF(OR($A85=0,$A85&gt;IN_PRAZO,$B$5=0),0,IF(APORTE_CORRIGIDO="Sim",IN_APORTE*$D85,IN_APORTE))</f>
        <v>0</v>
      </c>
      <c r="P85" s="180" t="n">
        <f aca="false">IF($B$25=1,MAX(0,N85),0)</f>
        <v>616.890719969653</v>
      </c>
      <c r="Q85" s="180" t="n">
        <f aca="false">R84*$B$27</f>
        <v>163.016380388353</v>
      </c>
      <c r="R85" s="180" t="n">
        <f aca="false">R84+Q85+O85+P85</f>
        <v>19973.088054474</v>
      </c>
      <c r="S85" s="180" t="n">
        <f aca="false">S84+O85+P85</f>
        <v>17657.1784757127</v>
      </c>
      <c r="T85" s="180" t="n">
        <f aca="false">MAX(0,IFERROR(INDEX(TAB_IR,MATCH($C85,TAB_IR_DIAS,1),MATCH("RF_REGR",TAB_IR_REGIMES,0)),0)*MAX(0,R85-S85))</f>
        <v>347.386436814196</v>
      </c>
      <c r="U85" s="180" t="n">
        <f aca="false">E85*$B$22</f>
        <v>9927.17911062354</v>
      </c>
      <c r="V85" s="180" t="n">
        <f aca="false">IF($B$23=1,0,MAX(0,ALIQ_GANHO_CAP*MAX(0,E85-U85-$B$30)))</f>
        <v>41.3709099653075</v>
      </c>
      <c r="W85" s="181" t="n">
        <f aca="false">IF($B$5=0,0,E85-U85-V85+R85-T85)</f>
        <v>175110.13677413</v>
      </c>
      <c r="X85" s="180" t="n">
        <f aca="false">W85/$D85</f>
        <v>158755.192528019</v>
      </c>
      <c r="Y85" s="180" t="n">
        <f aca="false">IF($B$25=1,0,MAX(0,N85))</f>
        <v>0</v>
      </c>
      <c r="Z85" s="180" t="n">
        <f aca="false">Z84+O85</f>
        <v>155250</v>
      </c>
    </row>
    <row r="86" customFormat="false" ht="12" hidden="false" customHeight="true" outlineLevel="0" collapsed="false">
      <c r="A86" s="177" t="n">
        <v>31</v>
      </c>
      <c r="B86" s="178" t="n">
        <f aca="false">EDATE(DATA_INICIO,$A86)</f>
        <v>47200</v>
      </c>
      <c r="C86" s="177" t="n">
        <f aca="false">$A86*30</f>
        <v>930</v>
      </c>
      <c r="D86" s="179" t="n">
        <f aca="false">(1+$B$29)^$A86</f>
        <v>1.10663090131144</v>
      </c>
      <c r="E86" s="180" t="n">
        <f aca="false">$B$6*(1+$B$21)^$A86</f>
        <v>165994.635196717</v>
      </c>
      <c r="F86" s="180" t="n">
        <f aca="false">IF($A86=0,0,$B$13*(1+$B$16)^($A86-1))</f>
        <v>992.717911062354</v>
      </c>
      <c r="G86" s="180" t="n">
        <f aca="false">F86*$B$14</f>
        <v>79.4174328849883</v>
      </c>
      <c r="H86" s="180" t="n">
        <f aca="false">F86-G86</f>
        <v>913.300478177365</v>
      </c>
      <c r="I86" s="180" t="n">
        <f aca="false">IF($A86=0,0,E86*$B$17/12)</f>
        <v>82.9973175983583</v>
      </c>
      <c r="J86" s="180" t="n">
        <f aca="false">H86*$B$19</f>
        <v>73.0640382541892</v>
      </c>
      <c r="K86" s="180" t="n">
        <f aca="false">IF($A86=0,0,E86*$B$18/12)</f>
        <v>138.328862663931</v>
      </c>
      <c r="L86" s="180" t="n">
        <f aca="false">MAX(0,H86-I86-J86)</f>
        <v>757.239122324818</v>
      </c>
      <c r="M86" s="180" t="n">
        <f aca="false">MAX(0,L86*IFERROR(INDEX(TAB_IRPF_ALIQ,MATCH(L86,TAB_IRPF_BASE,1)),0)-IFERROR(INDEX(TAB_IRPF_DED,MATCH(L86,TAB_IRPF_BASE,1)),0))</f>
        <v>0</v>
      </c>
      <c r="N86" s="180" t="n">
        <f aca="false">H86-I86-J86-K86-M86</f>
        <v>618.910259660887</v>
      </c>
      <c r="O86" s="180" t="n">
        <f aca="false">IF(OR($A86=0,$A86&gt;IN_PRAZO,$B$5=0),0,IF(APORTE_CORRIGIDO="Sim",IN_APORTE*$D86,IN_APORTE))</f>
        <v>0</v>
      </c>
      <c r="P86" s="180" t="n">
        <f aca="false">IF($B$25=1,MAX(0,N86),0)</f>
        <v>618.910259660887</v>
      </c>
      <c r="Q86" s="180" t="n">
        <f aca="false">R85*$B$27</f>
        <v>169.640484690994</v>
      </c>
      <c r="R86" s="180" t="n">
        <f aca="false">R85+Q86+O86+P86</f>
        <v>20761.6387988259</v>
      </c>
      <c r="S86" s="180" t="n">
        <f aca="false">S85+O86+P86</f>
        <v>18276.0887353736</v>
      </c>
      <c r="T86" s="180" t="n">
        <f aca="false">MAX(0,IFERROR(INDEX(TAB_IR,MATCH($C86,TAB_IR_DIAS,1),MATCH("RF_REGR",TAB_IR_REGIMES,0)),0)*MAX(0,R86-S86))</f>
        <v>372.832509517845</v>
      </c>
      <c r="U86" s="180" t="n">
        <f aca="false">E86*$B$22</f>
        <v>9959.678111803</v>
      </c>
      <c r="V86" s="180" t="n">
        <f aca="false">IF($B$23=1,0,MAX(0,ALIQ_GANHO_CAP*MAX(0,E86-U86-$B$30)))</f>
        <v>117.743562737043</v>
      </c>
      <c r="W86" s="181" t="n">
        <f aca="false">IF($B$5=0,0,E86-U86-V86+R86-T86)</f>
        <v>176306.019811485</v>
      </c>
      <c r="X86" s="180" t="n">
        <f aca="false">W86/$D86</f>
        <v>159317.817352243</v>
      </c>
      <c r="Y86" s="180" t="n">
        <f aca="false">IF($B$25=1,0,MAX(0,N86))</f>
        <v>0</v>
      </c>
      <c r="Z86" s="180" t="n">
        <f aca="false">Z85+O86</f>
        <v>155250</v>
      </c>
    </row>
    <row r="87" customFormat="false" ht="12" hidden="false" customHeight="true" outlineLevel="0" collapsed="false">
      <c r="A87" s="177" t="n">
        <v>32</v>
      </c>
      <c r="B87" s="178" t="n">
        <f aca="false">EDATE(DATA_INICIO,$A87)</f>
        <v>47231</v>
      </c>
      <c r="C87" s="177" t="n">
        <f aca="false">$A87*30</f>
        <v>960</v>
      </c>
      <c r="D87" s="179" t="n">
        <f aca="false">(1+$B$29)^$A87</f>
        <v>1.11025372291728</v>
      </c>
      <c r="E87" s="180" t="n">
        <f aca="false">$B$6*(1+$B$21)^$A87</f>
        <v>166538.058437592</v>
      </c>
      <c r="F87" s="180" t="n">
        <f aca="false">IF($A87=0,0,$B$13*(1+$B$16)^($A87-1))</f>
        <v>995.9678111803</v>
      </c>
      <c r="G87" s="180" t="n">
        <f aca="false">F87*$B$14</f>
        <v>79.677424894424</v>
      </c>
      <c r="H87" s="180" t="n">
        <f aca="false">F87-G87</f>
        <v>916.290386285876</v>
      </c>
      <c r="I87" s="180" t="n">
        <f aca="false">IF($A87=0,0,E87*$B$17/12)</f>
        <v>83.2690292187959</v>
      </c>
      <c r="J87" s="180" t="n">
        <f aca="false">H87*$B$19</f>
        <v>73.3032309028701</v>
      </c>
      <c r="K87" s="180" t="n">
        <f aca="false">IF($A87=0,0,E87*$B$18/12)</f>
        <v>138.78171536466</v>
      </c>
      <c r="L87" s="180" t="n">
        <f aca="false">MAX(0,H87-I87-J87)</f>
        <v>759.71812616421</v>
      </c>
      <c r="M87" s="180" t="n">
        <f aca="false">MAX(0,L87*IFERROR(INDEX(TAB_IRPF_ALIQ,MATCH(L87,TAB_IRPF_BASE,1)),0)-IFERROR(INDEX(TAB_IRPF_DED,MATCH(L87,TAB_IRPF_BASE,1)),0))</f>
        <v>0</v>
      </c>
      <c r="N87" s="180" t="n">
        <f aca="false">H87-I87-J87-K87-M87</f>
        <v>620.93641079955</v>
      </c>
      <c r="O87" s="180" t="n">
        <f aca="false">IF(OR($A87=0,$A87&gt;IN_PRAZO,$B$5=0),0,IF(APORTE_CORRIGIDO="Sim",IN_APORTE*$D87,IN_APORTE))</f>
        <v>0</v>
      </c>
      <c r="P87" s="180" t="n">
        <f aca="false">IF($B$25=1,MAX(0,N87),0)</f>
        <v>620.93641079955</v>
      </c>
      <c r="Q87" s="180" t="n">
        <f aca="false">R86*$B$27</f>
        <v>176.338003377662</v>
      </c>
      <c r="R87" s="180" t="n">
        <f aca="false">R86+Q87+O87+P87</f>
        <v>21558.9132130031</v>
      </c>
      <c r="S87" s="180" t="n">
        <f aca="false">S86+O87+P87</f>
        <v>18897.0251461731</v>
      </c>
      <c r="T87" s="180" t="n">
        <f aca="false">MAX(0,IFERROR(INDEX(TAB_IR,MATCH($C87,TAB_IR_DIAS,1),MATCH("RF_REGR",TAB_IR_REGIMES,0)),0)*MAX(0,R87-S87))</f>
        <v>399.283210024494</v>
      </c>
      <c r="U87" s="180" t="n">
        <f aca="false">E87*$B$22</f>
        <v>9992.2835062555</v>
      </c>
      <c r="V87" s="180" t="n">
        <f aca="false">IF($B$23=1,0,MAX(0,ALIQ_GANHO_CAP*MAX(0,E87-U87-$B$30)))</f>
        <v>194.366239700434</v>
      </c>
      <c r="W87" s="181" t="n">
        <f aca="false">IF($B$5=0,0,E87-U87-V87+R87-T87)</f>
        <v>177511.038694614</v>
      </c>
      <c r="X87" s="180" t="n">
        <f aca="false">W87/$D87</f>
        <v>159883.308680281</v>
      </c>
      <c r="Y87" s="180" t="n">
        <f aca="false">IF($B$25=1,0,MAX(0,N87))</f>
        <v>0</v>
      </c>
      <c r="Z87" s="180" t="n">
        <f aca="false">Z86+O87</f>
        <v>155250</v>
      </c>
    </row>
    <row r="88" customFormat="false" ht="12" hidden="false" customHeight="true" outlineLevel="0" collapsed="false">
      <c r="A88" s="177" t="n">
        <v>33</v>
      </c>
      <c r="B88" s="178" t="n">
        <f aca="false">EDATE(DATA_INICIO,$A88)</f>
        <v>47261</v>
      </c>
      <c r="C88" s="177" t="n">
        <f aca="false">$A88*30</f>
        <v>990</v>
      </c>
      <c r="D88" s="179" t="n">
        <f aca="false">(1+$B$29)^$A88</f>
        <v>1.11388840469833</v>
      </c>
      <c r="E88" s="180" t="n">
        <f aca="false">$B$6*(1+$B$21)^$A88</f>
        <v>167083.260704749</v>
      </c>
      <c r="F88" s="180" t="n">
        <f aca="false">IF($A88=0,0,$B$13*(1+$B$16)^($A88-1))</f>
        <v>999.22835062555</v>
      </c>
      <c r="G88" s="180" t="n">
        <f aca="false">F88*$B$14</f>
        <v>79.938268050044</v>
      </c>
      <c r="H88" s="180" t="n">
        <f aca="false">F88-G88</f>
        <v>919.290082575506</v>
      </c>
      <c r="I88" s="180" t="n">
        <f aca="false">IF($A88=0,0,E88*$B$17/12)</f>
        <v>83.5416303523745</v>
      </c>
      <c r="J88" s="180" t="n">
        <f aca="false">H88*$B$19</f>
        <v>73.5432066060405</v>
      </c>
      <c r="K88" s="180" t="n">
        <f aca="false">IF($A88=0,0,E88*$B$18/12)</f>
        <v>139.236050587291</v>
      </c>
      <c r="L88" s="180" t="n">
        <f aca="false">MAX(0,H88-I88-J88)</f>
        <v>762.205245617091</v>
      </c>
      <c r="M88" s="180" t="n">
        <f aca="false">MAX(0,L88*IFERROR(INDEX(TAB_IRPF_ALIQ,MATCH(L88,TAB_IRPF_BASE,1)),0)-IFERROR(INDEX(TAB_IRPF_DED,MATCH(L88,TAB_IRPF_BASE,1)),0))</f>
        <v>0</v>
      </c>
      <c r="N88" s="180" t="n">
        <f aca="false">H88-I88-J88-K88-M88</f>
        <v>622.9691950298</v>
      </c>
      <c r="O88" s="180" t="n">
        <f aca="false">IF(OR($A88=0,$A88&gt;IN_PRAZO,$B$5=0),0,IF(APORTE_CORRIGIDO="Sim",IN_APORTE*$D88,IN_APORTE))</f>
        <v>0</v>
      </c>
      <c r="P88" s="180" t="n">
        <f aca="false">IF($B$25=1,MAX(0,N88),0)</f>
        <v>622.9691950298</v>
      </c>
      <c r="Q88" s="180" t="n">
        <f aca="false">R87*$B$27</f>
        <v>183.109616143994</v>
      </c>
      <c r="R88" s="180" t="n">
        <f aca="false">R87+Q88+O88+P88</f>
        <v>22364.9920241769</v>
      </c>
      <c r="S88" s="180" t="n">
        <f aca="false">S87+O88+P88</f>
        <v>19519.9943412029</v>
      </c>
      <c r="T88" s="180" t="n">
        <f aca="false">MAX(0,IFERROR(INDEX(TAB_IR,MATCH($C88,TAB_IR_DIAS,1),MATCH("RF_REGR",TAB_IR_REGIMES,0)),0)*MAX(0,R88-S88))</f>
        <v>426.749652446093</v>
      </c>
      <c r="U88" s="180" t="n">
        <f aca="false">E88*$B$22</f>
        <v>10024.9956422849</v>
      </c>
      <c r="V88" s="180" t="n">
        <f aca="false">IF($B$23=1,0,MAX(0,ALIQ_GANHO_CAP*MAX(0,E88-U88-$B$30)))</f>
        <v>271.239759369612</v>
      </c>
      <c r="W88" s="181" t="n">
        <f aca="false">IF($B$5=0,0,E88-U88-V88+R88-T88)</f>
        <v>178725.267674825</v>
      </c>
      <c r="X88" s="180" t="n">
        <f aca="false">W88/$D88</f>
        <v>160451.681623555</v>
      </c>
      <c r="Y88" s="180" t="n">
        <f aca="false">IF($B$25=1,0,MAX(0,N88))</f>
        <v>0</v>
      </c>
      <c r="Z88" s="180" t="n">
        <f aca="false">Z87+O88</f>
        <v>155250</v>
      </c>
    </row>
    <row r="89" customFormat="false" ht="12" hidden="false" customHeight="true" outlineLevel="0" collapsed="false">
      <c r="A89" s="177" t="n">
        <v>34</v>
      </c>
      <c r="B89" s="178" t="n">
        <f aca="false">EDATE(DATA_INICIO,$A89)</f>
        <v>47292</v>
      </c>
      <c r="C89" s="177" t="n">
        <f aca="false">$A89*30</f>
        <v>1020</v>
      </c>
      <c r="D89" s="179" t="n">
        <f aca="false">(1+$B$29)^$A89</f>
        <v>1.11753498548172</v>
      </c>
      <c r="E89" s="180" t="n">
        <f aca="false">$B$6*(1+$B$21)^$A89</f>
        <v>167630.247822258</v>
      </c>
      <c r="F89" s="180" t="n">
        <f aca="false">IF($A89=0,0,$B$13*(1+$B$16)^($A89-1))</f>
        <v>1002.49956422849</v>
      </c>
      <c r="G89" s="180" t="n">
        <f aca="false">F89*$B$14</f>
        <v>80.1999651382795</v>
      </c>
      <c r="H89" s="180" t="n">
        <f aca="false">F89-G89</f>
        <v>922.299599090215</v>
      </c>
      <c r="I89" s="180" t="n">
        <f aca="false">IF($A89=0,0,E89*$B$17/12)</f>
        <v>83.8151239111288</v>
      </c>
      <c r="J89" s="180" t="n">
        <f aca="false">H89*$B$19</f>
        <v>73.7839679272172</v>
      </c>
      <c r="K89" s="180" t="n">
        <f aca="false">IF($A89=0,0,E89*$B$18/12)</f>
        <v>139.691873185215</v>
      </c>
      <c r="L89" s="180" t="n">
        <f aca="false">MAX(0,H89-I89-J89)</f>
        <v>764.700507251869</v>
      </c>
      <c r="M89" s="180" t="n">
        <f aca="false">MAX(0,L89*IFERROR(INDEX(TAB_IRPF_ALIQ,MATCH(L89,TAB_IRPF_BASE,1)),0)-IFERROR(INDEX(TAB_IRPF_DED,MATCH(L89,TAB_IRPF_BASE,1)),0))</f>
        <v>0</v>
      </c>
      <c r="N89" s="180" t="n">
        <f aca="false">H89-I89-J89-K89-M89</f>
        <v>625.008634066654</v>
      </c>
      <c r="O89" s="180" t="n">
        <f aca="false">IF(OR($A89=0,$A89&gt;IN_PRAZO,$B$5=0),0,IF(APORTE_CORRIGIDO="Sim",IN_APORTE*$D89,IN_APORTE))</f>
        <v>0</v>
      </c>
      <c r="P89" s="180" t="n">
        <f aca="false">IF($B$25=1,MAX(0,N89),0)</f>
        <v>625.008634066654</v>
      </c>
      <c r="Q89" s="180" t="n">
        <f aca="false">R88*$B$27</f>
        <v>189.956008642425</v>
      </c>
      <c r="R89" s="180" t="n">
        <f aca="false">R88+Q89+O89+P89</f>
        <v>23179.956666886</v>
      </c>
      <c r="S89" s="180" t="n">
        <f aca="false">S88+O89+P89</f>
        <v>20145.0029752696</v>
      </c>
      <c r="T89" s="180" t="n">
        <f aca="false">MAX(0,IFERROR(INDEX(TAB_IR,MATCH($C89,TAB_IR_DIAS,1),MATCH("RF_REGR",TAB_IR_REGIMES,0)),0)*MAX(0,R89-S89))</f>
        <v>455.243053742457</v>
      </c>
      <c r="U89" s="180" t="n">
        <f aca="false">E89*$B$22</f>
        <v>10057.8148693355</v>
      </c>
      <c r="V89" s="180" t="n">
        <f aca="false">IF($B$23=1,0,MAX(0,ALIQ_GANHO_CAP*MAX(0,E89-U89-$B$30)))</f>
        <v>348.364942938328</v>
      </c>
      <c r="W89" s="181" t="n">
        <f aca="false">IF($B$5=0,0,E89-U89-V89+R89-T89)</f>
        <v>179948.781623127</v>
      </c>
      <c r="X89" s="180" t="n">
        <f aca="false">W89/$D89</f>
        <v>161022.95137146</v>
      </c>
      <c r="Y89" s="180" t="n">
        <f aca="false">IF($B$25=1,0,MAX(0,N89))</f>
        <v>0</v>
      </c>
      <c r="Z89" s="180" t="n">
        <f aca="false">Z88+O89</f>
        <v>155250</v>
      </c>
    </row>
    <row r="90" customFormat="false" ht="12" hidden="false" customHeight="true" outlineLevel="0" collapsed="false">
      <c r="A90" s="177" t="n">
        <v>35</v>
      </c>
      <c r="B90" s="178" t="n">
        <f aca="false">EDATE(DATA_INICIO,$A90)</f>
        <v>47322</v>
      </c>
      <c r="C90" s="177" t="n">
        <f aca="false">$A90*30</f>
        <v>1050</v>
      </c>
      <c r="D90" s="179" t="n">
        <f aca="false">(1+$B$29)^$A90</f>
        <v>1.12119350422169</v>
      </c>
      <c r="E90" s="180" t="n">
        <f aca="false">$B$6*(1+$B$21)^$A90</f>
        <v>168179.025633253</v>
      </c>
      <c r="F90" s="180" t="n">
        <f aca="false">IF($A90=0,0,$B$13*(1+$B$16)^($A90-1))</f>
        <v>1005.78148693355</v>
      </c>
      <c r="G90" s="180" t="n">
        <f aca="false">F90*$B$14</f>
        <v>80.4625189546837</v>
      </c>
      <c r="H90" s="180" t="n">
        <f aca="false">F90-G90</f>
        <v>925.318967978862</v>
      </c>
      <c r="I90" s="180" t="n">
        <f aca="false">IF($A90=0,0,E90*$B$17/12)</f>
        <v>84.0895128166266</v>
      </c>
      <c r="J90" s="180" t="n">
        <f aca="false">H90*$B$19</f>
        <v>74.025517438309</v>
      </c>
      <c r="K90" s="180" t="n">
        <f aca="false">IF($A90=0,0,E90*$B$18/12)</f>
        <v>140.149188027711</v>
      </c>
      <c r="L90" s="180" t="n">
        <f aca="false">MAX(0,H90-I90-J90)</f>
        <v>767.203937723927</v>
      </c>
      <c r="M90" s="180" t="n">
        <f aca="false">MAX(0,L90*IFERROR(INDEX(TAB_IRPF_ALIQ,MATCH(L90,TAB_IRPF_BASE,1)),0)-IFERROR(INDEX(TAB_IRPF_DED,MATCH(L90,TAB_IRPF_BASE,1)),0))</f>
        <v>0</v>
      </c>
      <c r="N90" s="180" t="n">
        <f aca="false">H90-I90-J90-K90-M90</f>
        <v>627.054749696216</v>
      </c>
      <c r="O90" s="180" t="n">
        <f aca="false">IF(OR($A90=0,$A90&gt;IN_PRAZO,$B$5=0),0,IF(APORTE_CORRIGIDO="Sim",IN_APORTE*$D90,IN_APORTE))</f>
        <v>0</v>
      </c>
      <c r="P90" s="180" t="n">
        <f aca="false">IF($B$25=1,MAX(0,N90),0)</f>
        <v>627.054749696216</v>
      </c>
      <c r="Q90" s="180" t="n">
        <f aca="false">R89*$B$27</f>
        <v>196.877872533384</v>
      </c>
      <c r="R90" s="180" t="n">
        <f aca="false">R89+Q90+O90+P90</f>
        <v>24003.8892891156</v>
      </c>
      <c r="S90" s="180" t="n">
        <f aca="false">S89+O90+P90</f>
        <v>20772.0577249658</v>
      </c>
      <c r="T90" s="180" t="n">
        <f aca="false">MAX(0,IFERROR(INDEX(TAB_IR,MATCH($C90,TAB_IR_DIAS,1),MATCH("RF_REGR",TAB_IR_REGIMES,0)),0)*MAX(0,R90-S90))</f>
        <v>484.774734622464</v>
      </c>
      <c r="U90" s="180" t="n">
        <f aca="false">E90*$B$22</f>
        <v>10090.7415379952</v>
      </c>
      <c r="V90" s="180" t="n">
        <f aca="false">IF($B$23=1,0,MAX(0,ALIQ_GANHO_CAP*MAX(0,E90-U90-$B$30)))</f>
        <v>425.742614288711</v>
      </c>
      <c r="W90" s="181" t="n">
        <f aca="false">IF($B$5=0,0,E90-U90-V90+R90-T90)</f>
        <v>181181.656035462</v>
      </c>
      <c r="X90" s="180" t="n">
        <f aca="false">W90/$D90</f>
        <v>161597.133191773</v>
      </c>
      <c r="Y90" s="180" t="n">
        <f aca="false">IF($B$25=1,0,MAX(0,N90))</f>
        <v>0</v>
      </c>
      <c r="Z90" s="180" t="n">
        <f aca="false">Z89+O90</f>
        <v>155250</v>
      </c>
    </row>
    <row r="91" customFormat="false" ht="12" hidden="false" customHeight="true" outlineLevel="0" collapsed="false">
      <c r="A91" s="177" t="n">
        <v>36</v>
      </c>
      <c r="B91" s="178" t="n">
        <f aca="false">EDATE(DATA_INICIO,$A91)</f>
        <v>47353</v>
      </c>
      <c r="C91" s="177" t="n">
        <f aca="false">$A91*30</f>
        <v>1080</v>
      </c>
      <c r="D91" s="179" t="n">
        <f aca="false">(1+$B$29)^$A91</f>
        <v>1.124864</v>
      </c>
      <c r="E91" s="180" t="n">
        <f aca="false">$B$6*(1+$B$21)^$A91</f>
        <v>168729.6</v>
      </c>
      <c r="F91" s="180" t="n">
        <f aca="false">IF($A91=0,0,$B$13*(1+$B$16)^($A91-1))</f>
        <v>1009.07415379952</v>
      </c>
      <c r="G91" s="180" t="n">
        <f aca="false">F91*$B$14</f>
        <v>80.7259323039616</v>
      </c>
      <c r="H91" s="180" t="n">
        <f aca="false">F91-G91</f>
        <v>928.348221495558</v>
      </c>
      <c r="I91" s="180" t="n">
        <f aca="false">IF($A91=0,0,E91*$B$17/12)</f>
        <v>84.3648000000002</v>
      </c>
      <c r="J91" s="180" t="n">
        <f aca="false">H91*$B$19</f>
        <v>74.2678577196447</v>
      </c>
      <c r="K91" s="180" t="n">
        <f aca="false">IF($A91=0,0,E91*$B$18/12)</f>
        <v>140.608</v>
      </c>
      <c r="L91" s="180" t="n">
        <f aca="false">MAX(0,H91-I91-J91)</f>
        <v>769.715563775913</v>
      </c>
      <c r="M91" s="180" t="n">
        <f aca="false">MAX(0,L91*IFERROR(INDEX(TAB_IRPF_ALIQ,MATCH(L91,TAB_IRPF_BASE,1)),0)-IFERROR(INDEX(TAB_IRPF_DED,MATCH(L91,TAB_IRPF_BASE,1)),0))</f>
        <v>0</v>
      </c>
      <c r="N91" s="180" t="n">
        <f aca="false">H91-I91-J91-K91-M91</f>
        <v>629.107563775913</v>
      </c>
      <c r="O91" s="180" t="n">
        <f aca="false">IF(OR($A91=0,$A91&gt;IN_PRAZO,$B$5=0),0,IF(APORTE_CORRIGIDO="Sim",IN_APORTE*$D91,IN_APORTE))</f>
        <v>0</v>
      </c>
      <c r="P91" s="180" t="n">
        <f aca="false">IF($B$25=1,MAX(0,N91),0)</f>
        <v>629.107563775913</v>
      </c>
      <c r="Q91" s="180" t="n">
        <f aca="false">R90*$B$27</f>
        <v>203.87590553692</v>
      </c>
      <c r="R91" s="180" t="n">
        <f aca="false">R90+Q91+O91+P91</f>
        <v>24836.8727584284</v>
      </c>
      <c r="S91" s="180" t="n">
        <f aca="false">S90+O91+P91</f>
        <v>21401.1652887417</v>
      </c>
      <c r="T91" s="180" t="n">
        <f aca="false">MAX(0,IFERROR(INDEX(TAB_IR,MATCH($C91,TAB_IR_DIAS,1),MATCH("RF_REGR",TAB_IR_REGIMES,0)),0)*MAX(0,R91-S91))</f>
        <v>515.356120453002</v>
      </c>
      <c r="U91" s="180" t="n">
        <f aca="false">E91*$B$22</f>
        <v>10123.776</v>
      </c>
      <c r="V91" s="180" t="n">
        <f aca="false">IF($B$23=1,0,MAX(0,ALIQ_GANHO_CAP*MAX(0,E91-U91-$B$30)))</f>
        <v>503.373600000047</v>
      </c>
      <c r="W91" s="181" t="n">
        <f aca="false">IF($B$5=0,0,E91-U91-V91+R91-T91)</f>
        <v>182423.967037976</v>
      </c>
      <c r="X91" s="180" t="n">
        <f aca="false">W91/$D91</f>
        <v>162174.242431063</v>
      </c>
      <c r="Y91" s="180" t="n">
        <f aca="false">IF($B$25=1,0,MAX(0,N91))</f>
        <v>0</v>
      </c>
      <c r="Z91" s="180" t="n">
        <f aca="false">Z90+O91</f>
        <v>155250</v>
      </c>
    </row>
    <row r="92" customFormat="false" ht="12" hidden="false" customHeight="true" outlineLevel="0" collapsed="false">
      <c r="A92" s="177" t="n">
        <v>37</v>
      </c>
      <c r="B92" s="178" t="n">
        <f aca="false">EDATE(DATA_INICIO,$A92)</f>
        <v>47384</v>
      </c>
      <c r="C92" s="177" t="n">
        <f aca="false">$A92*30</f>
        <v>1110</v>
      </c>
      <c r="D92" s="179" t="n">
        <f aca="false">(1+$B$29)^$A92</f>
        <v>1.12854651202637</v>
      </c>
      <c r="E92" s="180" t="n">
        <f aca="false">$B$6*(1+$B$21)^$A92</f>
        <v>169281.976803955</v>
      </c>
      <c r="F92" s="180" t="n">
        <f aca="false">IF($A92=0,0,$B$13*(1+$B$16)^($A92-1))</f>
        <v>1012.3776</v>
      </c>
      <c r="G92" s="180" t="n">
        <f aca="false">F92*$B$14</f>
        <v>80.9902080000002</v>
      </c>
      <c r="H92" s="180" t="n">
        <f aca="false">F92-G92</f>
        <v>931.387392000002</v>
      </c>
      <c r="I92" s="180" t="n">
        <f aca="false">IF($A92=0,0,E92*$B$17/12)</f>
        <v>84.6409884019774</v>
      </c>
      <c r="J92" s="180" t="n">
        <f aca="false">H92*$B$19</f>
        <v>74.5109913600001</v>
      </c>
      <c r="K92" s="180" t="n">
        <f aca="false">IF($A92=0,0,E92*$B$18/12)</f>
        <v>141.068314003296</v>
      </c>
      <c r="L92" s="180" t="n">
        <f aca="false">MAX(0,H92-I92-J92)</f>
        <v>772.235412238024</v>
      </c>
      <c r="M92" s="180" t="n">
        <f aca="false">MAX(0,L92*IFERROR(INDEX(TAB_IRPF_ALIQ,MATCH(L92,TAB_IRPF_BASE,1)),0)-IFERROR(INDEX(TAB_IRPF_DED,MATCH(L92,TAB_IRPF_BASE,1)),0))</f>
        <v>0</v>
      </c>
      <c r="N92" s="180" t="n">
        <f aca="false">H92-I92-J92-K92-M92</f>
        <v>631.167098234728</v>
      </c>
      <c r="O92" s="180" t="n">
        <f aca="false">IF(OR($A92=0,$A92&gt;IN_PRAZO,$B$5=0),0,IF(APORTE_CORRIGIDO="Sim",IN_APORTE*$D92,IN_APORTE))</f>
        <v>0</v>
      </c>
      <c r="P92" s="180" t="n">
        <f aca="false">IF($B$25=1,MAX(0,N92),0)</f>
        <v>631.167098234728</v>
      </c>
      <c r="Q92" s="180" t="n">
        <f aca="false">R91*$B$27</f>
        <v>210.950811484784</v>
      </c>
      <c r="R92" s="180" t="n">
        <f aca="false">R91+Q92+O92+P92</f>
        <v>25678.9906681479</v>
      </c>
      <c r="S92" s="180" t="n">
        <f aca="false">S91+O92+P92</f>
        <v>22032.3323869764</v>
      </c>
      <c r="T92" s="180" t="n">
        <f aca="false">MAX(0,IFERROR(INDEX(TAB_IR,MATCH($C92,TAB_IR_DIAS,1),MATCH("RF_REGR",TAB_IR_REGIMES,0)),0)*MAX(0,R92-S92))</f>
        <v>546.99874217572</v>
      </c>
      <c r="U92" s="180" t="n">
        <f aca="false">E92*$B$22</f>
        <v>10156.9186082373</v>
      </c>
      <c r="V92" s="180" t="n">
        <f aca="false">IF($B$23=1,0,MAX(0,ALIQ_GANHO_CAP*MAX(0,E92-U92-$B$30)))</f>
        <v>581.258729357627</v>
      </c>
      <c r="W92" s="181" t="n">
        <f aca="false">IF($B$5=0,0,E92-U92-V92+R92-T92)</f>
        <v>183675.791392332</v>
      </c>
      <c r="X92" s="180" t="n">
        <f aca="false">W92/$D92</f>
        <v>162754.294515104</v>
      </c>
      <c r="Y92" s="180" t="n">
        <f aca="false">IF($B$25=1,0,MAX(0,N92))</f>
        <v>0</v>
      </c>
      <c r="Z92" s="180" t="n">
        <f aca="false">Z91+O92</f>
        <v>155250</v>
      </c>
    </row>
    <row r="93" customFormat="false" ht="12" hidden="false" customHeight="true" outlineLevel="0" collapsed="false">
      <c r="A93" s="177" t="n">
        <v>38</v>
      </c>
      <c r="B93" s="178" t="n">
        <f aca="false">EDATE(DATA_INICIO,$A93)</f>
        <v>47414</v>
      </c>
      <c r="C93" s="177" t="n">
        <f aca="false">$A93*30</f>
        <v>1140</v>
      </c>
      <c r="D93" s="179" t="n">
        <f aca="false">(1+$B$29)^$A93</f>
        <v>1.13224107963885</v>
      </c>
      <c r="E93" s="180" t="n">
        <f aca="false">$B$6*(1+$B$21)^$A93</f>
        <v>169836.161945827</v>
      </c>
      <c r="F93" s="180" t="n">
        <f aca="false">IF($A93=0,0,$B$13*(1+$B$16)^($A93-1))</f>
        <v>1015.69186082373</v>
      </c>
      <c r="G93" s="180" t="n">
        <f aca="false">F93*$B$14</f>
        <v>81.2553488658983</v>
      </c>
      <c r="H93" s="180" t="n">
        <f aca="false">F93-G93</f>
        <v>934.436511957831</v>
      </c>
      <c r="I93" s="180" t="n">
        <f aca="false">IF($A93=0,0,E93*$B$17/12)</f>
        <v>84.9180809729136</v>
      </c>
      <c r="J93" s="180" t="n">
        <f aca="false">H93*$B$19</f>
        <v>74.7549209566264</v>
      </c>
      <c r="K93" s="180" t="n">
        <f aca="false">IF($A93=0,0,E93*$B$18/12)</f>
        <v>141.530134954856</v>
      </c>
      <c r="L93" s="180" t="n">
        <f aca="false">MAX(0,H93-I93-J93)</f>
        <v>774.763510028291</v>
      </c>
      <c r="M93" s="180" t="n">
        <f aca="false">MAX(0,L93*IFERROR(INDEX(TAB_IRPF_ALIQ,MATCH(L93,TAB_IRPF_BASE,1)),0)-IFERROR(INDEX(TAB_IRPF_DED,MATCH(L93,TAB_IRPF_BASE,1)),0))</f>
        <v>0</v>
      </c>
      <c r="N93" s="180" t="n">
        <f aca="false">H93-I93-J93-K93-M93</f>
        <v>633.233375073435</v>
      </c>
      <c r="O93" s="180" t="n">
        <f aca="false">IF(OR($A93=0,$A93&gt;IN_PRAZO,$B$5=0),0,IF(APORTE_CORRIGIDO="Sim",IN_APORTE*$D93,IN_APORTE))</f>
        <v>0</v>
      </c>
      <c r="P93" s="180" t="n">
        <f aca="false">IF($B$25=1,MAX(0,N93),0)</f>
        <v>633.233375073435</v>
      </c>
      <c r="Q93" s="180" t="n">
        <f aca="false">R92*$B$27</f>
        <v>218.10330037294</v>
      </c>
      <c r="R93" s="180" t="n">
        <f aca="false">R92+Q93+O93+P93</f>
        <v>26530.3273435943</v>
      </c>
      <c r="S93" s="180" t="n">
        <f aca="false">S92+O93+P93</f>
        <v>22665.5657620499</v>
      </c>
      <c r="T93" s="180" t="n">
        <f aca="false">MAX(0,IFERROR(INDEX(TAB_IR,MATCH($C93,TAB_IR_DIAS,1),MATCH("RF_REGR",TAB_IR_REGIMES,0)),0)*MAX(0,R93-S93))</f>
        <v>579.714237231661</v>
      </c>
      <c r="U93" s="180" t="n">
        <f aca="false">E93*$B$22</f>
        <v>10190.1697167496</v>
      </c>
      <c r="V93" s="180" t="n">
        <f aca="false">IF($B$23=1,0,MAX(0,ALIQ_GANHO_CAP*MAX(0,E93-U93-$B$30)))</f>
        <v>659.398834361634</v>
      </c>
      <c r="W93" s="181" t="n">
        <f aca="false">IF($B$5=0,0,E93-U93-V93+R93-T93)</f>
        <v>184937.206501079</v>
      </c>
      <c r="X93" s="180" t="n">
        <f aca="false">W93/$D93</f>
        <v>163337.304949285</v>
      </c>
      <c r="Y93" s="180" t="n">
        <f aca="false">IF($B$25=1,0,MAX(0,N93))</f>
        <v>0</v>
      </c>
      <c r="Z93" s="180" t="n">
        <f aca="false">Z92+O93</f>
        <v>155250</v>
      </c>
    </row>
    <row r="94" customFormat="false" ht="12" hidden="false" customHeight="true" outlineLevel="0" collapsed="false">
      <c r="A94" s="177" t="n">
        <v>39</v>
      </c>
      <c r="B94" s="178" t="n">
        <f aca="false">EDATE(DATA_INICIO,$A94)</f>
        <v>47445</v>
      </c>
      <c r="C94" s="177" t="n">
        <f aca="false">$A94*30</f>
        <v>1170</v>
      </c>
      <c r="D94" s="179" t="n">
        <f aca="false">(1+$B$29)^$A94</f>
        <v>1.1359477423043</v>
      </c>
      <c r="E94" s="180" t="n">
        <f aca="false">$B$6*(1+$B$21)^$A94</f>
        <v>170392.161345645</v>
      </c>
      <c r="F94" s="180" t="n">
        <f aca="false">IF($A94=0,0,$B$13*(1+$B$16)^($A94-1))</f>
        <v>1019.01697167496</v>
      </c>
      <c r="G94" s="180" t="n">
        <f aca="false">F94*$B$14</f>
        <v>81.5213577339971</v>
      </c>
      <c r="H94" s="180" t="n">
        <f aca="false">F94-G94</f>
        <v>937.495613940966</v>
      </c>
      <c r="I94" s="180" t="n">
        <f aca="false">IF($A94=0,0,E94*$B$17/12)</f>
        <v>85.1960806728226</v>
      </c>
      <c r="J94" s="180" t="n">
        <f aca="false">H94*$B$19</f>
        <v>74.9996491152773</v>
      </c>
      <c r="K94" s="180" t="n">
        <f aca="false">IF($A94=0,0,E94*$B$18/12)</f>
        <v>141.993467788038</v>
      </c>
      <c r="L94" s="180" t="n">
        <f aca="false">MAX(0,H94-I94-J94)</f>
        <v>777.299884152866</v>
      </c>
      <c r="M94" s="180" t="n">
        <f aca="false">MAX(0,L94*IFERROR(INDEX(TAB_IRPF_ALIQ,MATCH(L94,TAB_IRPF_BASE,1)),0)-IFERROR(INDEX(TAB_IRPF_DED,MATCH(L94,TAB_IRPF_BASE,1)),0))</f>
        <v>0</v>
      </c>
      <c r="N94" s="180" t="n">
        <f aca="false">H94-I94-J94-K94-M94</f>
        <v>635.306416364829</v>
      </c>
      <c r="O94" s="180" t="n">
        <f aca="false">IF(OR($A94=0,$A94&gt;IN_PRAZO,$B$5=0),0,IF(APORTE_CORRIGIDO="Sim",IN_APORTE*$D94,IN_APORTE))</f>
        <v>0</v>
      </c>
      <c r="P94" s="180" t="n">
        <f aca="false">IF($B$25=1,MAX(0,N94),0)</f>
        <v>635.306416364829</v>
      </c>
      <c r="Q94" s="180" t="n">
        <f aca="false">R93*$B$27</f>
        <v>225.334088414532</v>
      </c>
      <c r="R94" s="180" t="n">
        <f aca="false">R93+Q94+O94+P94</f>
        <v>27390.9678483736</v>
      </c>
      <c r="S94" s="180" t="n">
        <f aca="false">S93+O94+P94</f>
        <v>23300.8721784147</v>
      </c>
      <c r="T94" s="180" t="n">
        <f aca="false">MAX(0,IFERROR(INDEX(TAB_IR,MATCH($C94,TAB_IR_DIAS,1),MATCH("RF_REGR",TAB_IR_REGIMES,0)),0)*MAX(0,R94-S94))</f>
        <v>613.514350493841</v>
      </c>
      <c r="U94" s="180" t="n">
        <f aca="false">E94*$B$22</f>
        <v>10223.5296807387</v>
      </c>
      <c r="V94" s="180" t="n">
        <f aca="false">IF($B$23=1,0,MAX(0,ALIQ_GANHO_CAP*MAX(0,E94-U94-$B$30)))</f>
        <v>737.794749735977</v>
      </c>
      <c r="W94" s="181" t="n">
        <f aca="false">IF($B$5=0,0,E94-U94-V94+R94-T94)</f>
        <v>186208.29041305</v>
      </c>
      <c r="X94" s="180" t="n">
        <f aca="false">W94/$D94</f>
        <v>163923.289319033</v>
      </c>
      <c r="Y94" s="180" t="n">
        <f aca="false">IF($B$25=1,0,MAX(0,N94))</f>
        <v>0</v>
      </c>
      <c r="Z94" s="180" t="n">
        <f aca="false">Z93+O94</f>
        <v>155250</v>
      </c>
    </row>
    <row r="95" customFormat="false" ht="12" hidden="false" customHeight="true" outlineLevel="0" collapsed="false">
      <c r="A95" s="177" t="n">
        <v>40</v>
      </c>
      <c r="B95" s="178" t="n">
        <f aca="false">EDATE(DATA_INICIO,$A95)</f>
        <v>47475</v>
      </c>
      <c r="C95" s="177" t="n">
        <f aca="false">$A95*30</f>
        <v>1200</v>
      </c>
      <c r="D95" s="179" t="n">
        <f aca="false">(1+$B$29)^$A95</f>
        <v>1.13966653961878</v>
      </c>
      <c r="E95" s="180" t="n">
        <f aca="false">$B$6*(1+$B$21)^$A95</f>
        <v>170949.980942817</v>
      </c>
      <c r="F95" s="180" t="n">
        <f aca="false">IF($A95=0,0,$B$13*(1+$B$16)^($A95-1))</f>
        <v>1022.35296807387</v>
      </c>
      <c r="G95" s="180" t="n">
        <f aca="false">F95*$B$14</f>
        <v>81.7882374459097</v>
      </c>
      <c r="H95" s="180" t="n">
        <f aca="false">F95-G95</f>
        <v>940.564730627962</v>
      </c>
      <c r="I95" s="180" t="n">
        <f aca="false">IF($A95=0,0,E95*$B$17/12)</f>
        <v>85.4749904714087</v>
      </c>
      <c r="J95" s="180" t="n">
        <f aca="false">H95*$B$19</f>
        <v>75.245178450237</v>
      </c>
      <c r="K95" s="180" t="n">
        <f aca="false">IF($A95=0,0,E95*$B$18/12)</f>
        <v>142.458317452348</v>
      </c>
      <c r="L95" s="180" t="n">
        <f aca="false">MAX(0,H95-I95-J95)</f>
        <v>779.844561706316</v>
      </c>
      <c r="M95" s="180" t="n">
        <f aca="false">MAX(0,L95*IFERROR(INDEX(TAB_IRPF_ALIQ,MATCH(L95,TAB_IRPF_BASE,1)),0)-IFERROR(INDEX(TAB_IRPF_DED,MATCH(L95,TAB_IRPF_BASE,1)),0))</f>
        <v>0</v>
      </c>
      <c r="N95" s="180" t="n">
        <f aca="false">H95-I95-J95-K95-M95</f>
        <v>637.386244253969</v>
      </c>
      <c r="O95" s="180" t="n">
        <f aca="false">IF(OR($A95=0,$A95&gt;IN_PRAZO,$B$5=0),0,IF(APORTE_CORRIGIDO="Sim",IN_APORTE*$D95,IN_APORTE))</f>
        <v>0</v>
      </c>
      <c r="P95" s="180" t="n">
        <f aca="false">IF($B$25=1,MAX(0,N95),0)</f>
        <v>637.386244253969</v>
      </c>
      <c r="Q95" s="180" t="n">
        <f aca="false">R94*$B$27</f>
        <v>232.643898093299</v>
      </c>
      <c r="R95" s="180" t="n">
        <f aca="false">R94+Q95+O95+P95</f>
        <v>28260.9979907209</v>
      </c>
      <c r="S95" s="180" t="n">
        <f aca="false">S94+O95+P95</f>
        <v>23938.2584226687</v>
      </c>
      <c r="T95" s="180" t="n">
        <f aca="false">MAX(0,IFERROR(INDEX(TAB_IR,MATCH($C95,TAB_IR_DIAS,1),MATCH("RF_REGR",TAB_IR_REGIMES,0)),0)*MAX(0,R95-S95))</f>
        <v>648.410935207835</v>
      </c>
      <c r="U95" s="180" t="n">
        <f aca="false">E95*$B$22</f>
        <v>10256.998856569</v>
      </c>
      <c r="V95" s="180" t="n">
        <f aca="false">IF($B$23=1,0,MAX(0,ALIQ_GANHO_CAP*MAX(0,E95-U95-$B$30)))</f>
        <v>816.447312937243</v>
      </c>
      <c r="W95" s="181" t="n">
        <f aca="false">IF($B$5=0,0,E95-U95-V95+R95-T95)</f>
        <v>187489.121828824</v>
      </c>
      <c r="X95" s="180" t="n">
        <f aca="false">W95/$D95</f>
        <v>164512.263290224</v>
      </c>
      <c r="Y95" s="180" t="n">
        <f aca="false">IF($B$25=1,0,MAX(0,N95))</f>
        <v>0</v>
      </c>
      <c r="Z95" s="180" t="n">
        <f aca="false">Z94+O95</f>
        <v>155250</v>
      </c>
    </row>
    <row r="96" customFormat="false" ht="12" hidden="false" customHeight="true" outlineLevel="0" collapsed="false">
      <c r="A96" s="177" t="n">
        <v>41</v>
      </c>
      <c r="B96" s="178" t="n">
        <f aca="false">EDATE(DATA_INICIO,$A96)</f>
        <v>47506</v>
      </c>
      <c r="C96" s="177" t="n">
        <f aca="false">$A96*30</f>
        <v>1230</v>
      </c>
      <c r="D96" s="179" t="n">
        <f aca="false">(1+$B$29)^$A96</f>
        <v>1.14339751130797</v>
      </c>
      <c r="E96" s="180" t="n">
        <f aca="false">$B$6*(1+$B$21)^$A96</f>
        <v>171509.626696196</v>
      </c>
      <c r="F96" s="180" t="n">
        <f aca="false">IF($A96=0,0,$B$13*(1+$B$16)^($A96-1))</f>
        <v>1025.6998856569</v>
      </c>
      <c r="G96" s="180" t="n">
        <f aca="false">F96*$B$14</f>
        <v>82.0559908525523</v>
      </c>
      <c r="H96" s="180" t="n">
        <f aca="false">F96-G96</f>
        <v>943.643894804352</v>
      </c>
      <c r="I96" s="180" t="n">
        <f aca="false">IF($A96=0,0,E96*$B$17/12)</f>
        <v>85.754813348098</v>
      </c>
      <c r="J96" s="180" t="n">
        <f aca="false">H96*$B$19</f>
        <v>75.4915115843481</v>
      </c>
      <c r="K96" s="180" t="n">
        <f aca="false">IF($A96=0,0,E96*$B$18/12)</f>
        <v>142.924688913497</v>
      </c>
      <c r="L96" s="180" t="n">
        <f aca="false">MAX(0,H96-I96-J96)</f>
        <v>782.397569871906</v>
      </c>
      <c r="M96" s="180" t="n">
        <f aca="false">MAX(0,L96*IFERROR(INDEX(TAB_IRPF_ALIQ,MATCH(L96,TAB_IRPF_BASE,1)),0)-IFERROR(INDEX(TAB_IRPF_DED,MATCH(L96,TAB_IRPF_BASE,1)),0))</f>
        <v>0</v>
      </c>
      <c r="N96" s="180" t="n">
        <f aca="false">H96-I96-J96-K96-M96</f>
        <v>639.472880958409</v>
      </c>
      <c r="O96" s="180" t="n">
        <f aca="false">IF(OR($A96=0,$A96&gt;IN_PRAZO,$B$5=0),0,IF(APORTE_CORRIGIDO="Sim",IN_APORTE*$D96,IN_APORTE))</f>
        <v>0</v>
      </c>
      <c r="P96" s="180" t="n">
        <f aca="false">IF($B$25=1,MAX(0,N96),0)</f>
        <v>639.472880958409</v>
      </c>
      <c r="Q96" s="180" t="n">
        <f aca="false">R95*$B$27</f>
        <v>240.033458217454</v>
      </c>
      <c r="R96" s="180" t="n">
        <f aca="false">R95+Q96+O96+P96</f>
        <v>29140.5043298968</v>
      </c>
      <c r="S96" s="180" t="n">
        <f aca="false">S95+O96+P96</f>
        <v>24577.7313036271</v>
      </c>
      <c r="T96" s="180" t="n">
        <f aca="false">MAX(0,IFERROR(INDEX(TAB_IR,MATCH($C96,TAB_IR_DIAS,1),MATCH("RF_REGR",TAB_IR_REGIMES,0)),0)*MAX(0,R96-S96))</f>
        <v>684.415953940453</v>
      </c>
      <c r="U96" s="180" t="n">
        <f aca="false">E96*$B$22</f>
        <v>10290.5776017718</v>
      </c>
      <c r="V96" s="180" t="n">
        <f aca="false">IF($B$23=1,0,MAX(0,ALIQ_GANHO_CAP*MAX(0,E96-U96-$B$30)))</f>
        <v>895.357364163631</v>
      </c>
      <c r="W96" s="181" t="n">
        <f aca="false">IF($B$5=0,0,E96-U96-V96+R96-T96)</f>
        <v>188779.780106217</v>
      </c>
      <c r="X96" s="180" t="n">
        <f aca="false">W96/$D96</f>
        <v>165104.242609611</v>
      </c>
      <c r="Y96" s="180" t="n">
        <f aca="false">IF($B$25=1,0,MAX(0,N96))</f>
        <v>0</v>
      </c>
      <c r="Z96" s="180" t="n">
        <f aca="false">Z95+O96</f>
        <v>155250</v>
      </c>
    </row>
    <row r="97" customFormat="false" ht="12" hidden="false" customHeight="true" outlineLevel="0" collapsed="false">
      <c r="A97" s="177" t="n">
        <v>42</v>
      </c>
      <c r="B97" s="178" t="n">
        <f aca="false">EDATE(DATA_INICIO,$A97)</f>
        <v>47537</v>
      </c>
      <c r="C97" s="177" t="n">
        <f aca="false">$A97*30</f>
        <v>1260</v>
      </c>
      <c r="D97" s="179" t="n">
        <f aca="false">(1+$B$29)^$A97</f>
        <v>1.14714069722761</v>
      </c>
      <c r="E97" s="180" t="n">
        <f aca="false">$B$6*(1+$B$21)^$A97</f>
        <v>172071.104584141</v>
      </c>
      <c r="F97" s="180" t="n">
        <f aca="false">IF($A97=0,0,$B$13*(1+$B$16)^($A97-1))</f>
        <v>1029.05776017718</v>
      </c>
      <c r="G97" s="180" t="n">
        <f aca="false">F97*$B$14</f>
        <v>82.3246208141741</v>
      </c>
      <c r="H97" s="180" t="n">
        <f aca="false">F97-G97</f>
        <v>946.733139363002</v>
      </c>
      <c r="I97" s="180" t="n">
        <f aca="false">IF($A97=0,0,E97*$B$17/12)</f>
        <v>86.0355522920707</v>
      </c>
      <c r="J97" s="180" t="n">
        <f aca="false">H97*$B$19</f>
        <v>75.7386511490401</v>
      </c>
      <c r="K97" s="180" t="n">
        <f aca="false">IF($A97=0,0,E97*$B$18/12)</f>
        <v>143.392587153451</v>
      </c>
      <c r="L97" s="180" t="n">
        <f aca="false">MAX(0,H97-I97-J97)</f>
        <v>784.958935921891</v>
      </c>
      <c r="M97" s="180" t="n">
        <f aca="false">MAX(0,L97*IFERROR(INDEX(TAB_IRPF_ALIQ,MATCH(L97,TAB_IRPF_BASE,1)),0)-IFERROR(INDEX(TAB_IRPF_DED,MATCH(L97,TAB_IRPF_BASE,1)),0))</f>
        <v>0</v>
      </c>
      <c r="N97" s="180" t="n">
        <f aca="false">H97-I97-J97-K97-M97</f>
        <v>641.56634876844</v>
      </c>
      <c r="O97" s="180" t="n">
        <f aca="false">IF(OR($A97=0,$A97&gt;IN_PRAZO,$B$5=0),0,IF(APORTE_CORRIGIDO="Sim",IN_APORTE*$D97,IN_APORTE))</f>
        <v>0</v>
      </c>
      <c r="P97" s="180" t="n">
        <f aca="false">IF($B$25=1,MAX(0,N97),0)</f>
        <v>641.56634876844</v>
      </c>
      <c r="Q97" s="180" t="n">
        <f aca="false">R96*$B$27</f>
        <v>247.503503974007</v>
      </c>
      <c r="R97" s="180" t="n">
        <f aca="false">R96+Q97+O97+P97</f>
        <v>30029.5741826392</v>
      </c>
      <c r="S97" s="180" t="n">
        <f aca="false">S96+O97+P97</f>
        <v>25219.2976523955</v>
      </c>
      <c r="T97" s="180" t="n">
        <f aca="false">MAX(0,IFERROR(INDEX(TAB_IR,MATCH($C97,TAB_IR_DIAS,1),MATCH("RF_REGR",TAB_IR_REGIMES,0)),0)*MAX(0,R97-S97))</f>
        <v>721.541479536554</v>
      </c>
      <c r="U97" s="180" t="n">
        <f aca="false">E97*$B$22</f>
        <v>10324.2662750485</v>
      </c>
      <c r="V97" s="180" t="n">
        <f aca="false">IF($B$23=1,0,MAX(0,ALIQ_GANHO_CAP*MAX(0,E97-U97-$B$30)))</f>
        <v>974.525746363937</v>
      </c>
      <c r="W97" s="181" t="n">
        <f aca="false">IF($B$5=0,0,E97-U97-V97+R97-T97)</f>
        <v>190080.345265832</v>
      </c>
      <c r="X97" s="180" t="n">
        <f aca="false">W97/$D97</f>
        <v>165699.24310524</v>
      </c>
      <c r="Y97" s="180" t="n">
        <f aca="false">IF($B$25=1,0,MAX(0,N97))</f>
        <v>0</v>
      </c>
      <c r="Z97" s="180" t="n">
        <f aca="false">Z96+O97</f>
        <v>155250</v>
      </c>
    </row>
    <row r="98" customFormat="false" ht="12" hidden="false" customHeight="true" outlineLevel="0" collapsed="false">
      <c r="A98" s="177" t="n">
        <v>43</v>
      </c>
      <c r="B98" s="178" t="n">
        <f aca="false">EDATE(DATA_INICIO,$A98)</f>
        <v>47565</v>
      </c>
      <c r="C98" s="177" t="n">
        <f aca="false">$A98*30</f>
        <v>1290</v>
      </c>
      <c r="D98" s="179" t="n">
        <f aca="false">(1+$B$29)^$A98</f>
        <v>1.1508961373639</v>
      </c>
      <c r="E98" s="180" t="n">
        <f aca="false">$B$6*(1+$B$21)^$A98</f>
        <v>172634.420604585</v>
      </c>
      <c r="F98" s="180" t="n">
        <f aca="false">IF($A98=0,0,$B$13*(1+$B$16)^($A98-1))</f>
        <v>1032.42662750485</v>
      </c>
      <c r="G98" s="180" t="n">
        <f aca="false">F98*$B$14</f>
        <v>82.5941302003879</v>
      </c>
      <c r="H98" s="180" t="n">
        <f aca="false">F98-G98</f>
        <v>949.83249730446</v>
      </c>
      <c r="I98" s="180" t="n">
        <f aca="false">IF($A98=0,0,E98*$B$17/12)</f>
        <v>86.3172103022927</v>
      </c>
      <c r="J98" s="180" t="n">
        <f aca="false">H98*$B$19</f>
        <v>75.9865997843568</v>
      </c>
      <c r="K98" s="180" t="n">
        <f aca="false">IF($A98=0,0,E98*$B$18/12)</f>
        <v>143.862017170488</v>
      </c>
      <c r="L98" s="180" t="n">
        <f aca="false">MAX(0,H98-I98-J98)</f>
        <v>787.528687217811</v>
      </c>
      <c r="M98" s="180" t="n">
        <f aca="false">MAX(0,L98*IFERROR(INDEX(TAB_IRPF_ALIQ,MATCH(L98,TAB_IRPF_BASE,1)),0)-IFERROR(INDEX(TAB_IRPF_DED,MATCH(L98,TAB_IRPF_BASE,1)),0))</f>
        <v>0</v>
      </c>
      <c r="N98" s="180" t="n">
        <f aca="false">H98-I98-J98-K98-M98</f>
        <v>643.666670047323</v>
      </c>
      <c r="O98" s="180" t="n">
        <f aca="false">IF(OR($A98=0,$A98&gt;IN_PRAZO,$B$5=0),0,IF(APORTE_CORRIGIDO="Sim",IN_APORTE*$D98,IN_APORTE))</f>
        <v>0</v>
      </c>
      <c r="P98" s="180" t="n">
        <f aca="false">IF($B$25=1,MAX(0,N98),0)</f>
        <v>643.666670047323</v>
      </c>
      <c r="Q98" s="180" t="n">
        <f aca="false">R97*$B$27</f>
        <v>255.054776983571</v>
      </c>
      <c r="R98" s="180" t="n">
        <f aca="false">R97+Q98+O98+P98</f>
        <v>30928.2956296701</v>
      </c>
      <c r="S98" s="180" t="n">
        <f aca="false">S97+O98+P98</f>
        <v>25862.9643224428</v>
      </c>
      <c r="T98" s="180" t="n">
        <f aca="false">MAX(0,IFERROR(INDEX(TAB_IR,MATCH($C98,TAB_IR_DIAS,1),MATCH("RF_REGR",TAB_IR_REGIMES,0)),0)*MAX(0,R98-S98))</f>
        <v>759.79969608409</v>
      </c>
      <c r="U98" s="180" t="n">
        <f aca="false">E98*$B$22</f>
        <v>10358.0652362751</v>
      </c>
      <c r="V98" s="180" t="n">
        <f aca="false">IF($B$23=1,0,MAX(0,ALIQ_GANHO_CAP*MAX(0,E98-U98-$B$30)))</f>
        <v>1053.95330524654</v>
      </c>
      <c r="W98" s="181" t="n">
        <f aca="false">IF($B$5=0,0,E98-U98-V98+R98-T98)</f>
        <v>191390.89799665</v>
      </c>
      <c r="X98" s="180" t="n">
        <f aca="false">W98/$D98</f>
        <v>166297.280686879</v>
      </c>
      <c r="Y98" s="180" t="n">
        <f aca="false">IF($B$25=1,0,MAX(0,N98))</f>
        <v>0</v>
      </c>
      <c r="Z98" s="180" t="n">
        <f aca="false">Z97+O98</f>
        <v>155250</v>
      </c>
    </row>
    <row r="99" customFormat="false" ht="12" hidden="false" customHeight="true" outlineLevel="0" collapsed="false">
      <c r="A99" s="177" t="n">
        <v>44</v>
      </c>
      <c r="B99" s="178" t="n">
        <f aca="false">EDATE(DATA_INICIO,$A99)</f>
        <v>47596</v>
      </c>
      <c r="C99" s="177" t="n">
        <f aca="false">$A99*30</f>
        <v>1320</v>
      </c>
      <c r="D99" s="179" t="n">
        <f aca="false">(1+$B$29)^$A99</f>
        <v>1.15466387183397</v>
      </c>
      <c r="E99" s="180" t="n">
        <f aca="false">$B$6*(1+$B$21)^$A99</f>
        <v>173199.580775096</v>
      </c>
      <c r="F99" s="180" t="n">
        <f aca="false">IF($A99=0,0,$B$13*(1+$B$16)^($A99-1))</f>
        <v>1035.80652362751</v>
      </c>
      <c r="G99" s="180" t="n">
        <f aca="false">F99*$B$14</f>
        <v>82.864521890201</v>
      </c>
      <c r="H99" s="180" t="n">
        <f aca="false">F99-G99</f>
        <v>952.942001737311</v>
      </c>
      <c r="I99" s="180" t="n">
        <f aca="false">IF($A99=0,0,E99*$B$17/12)</f>
        <v>86.5997903875477</v>
      </c>
      <c r="J99" s="180" t="n">
        <f aca="false">H99*$B$19</f>
        <v>76.2353601389849</v>
      </c>
      <c r="K99" s="180" t="n">
        <f aca="false">IF($A99=0,0,E99*$B$18/12)</f>
        <v>144.332983979246</v>
      </c>
      <c r="L99" s="180" t="n">
        <f aca="false">MAX(0,H99-I99-J99)</f>
        <v>790.106851210779</v>
      </c>
      <c r="M99" s="180" t="n">
        <f aca="false">MAX(0,L99*IFERROR(INDEX(TAB_IRPF_ALIQ,MATCH(L99,TAB_IRPF_BASE,1)),0)-IFERROR(INDEX(TAB_IRPF_DED,MATCH(L99,TAB_IRPF_BASE,1)),0))</f>
        <v>0</v>
      </c>
      <c r="N99" s="180" t="n">
        <f aca="false">H99-I99-J99-K99-M99</f>
        <v>645.773867231533</v>
      </c>
      <c r="O99" s="180" t="n">
        <f aca="false">IF(OR($A99=0,$A99&gt;IN_PRAZO,$B$5=0),0,IF(APORTE_CORRIGIDO="Sim",IN_APORTE*$D99,IN_APORTE))</f>
        <v>0</v>
      </c>
      <c r="P99" s="180" t="n">
        <f aca="false">IF($B$25=1,MAX(0,N99),0)</f>
        <v>645.773867231533</v>
      </c>
      <c r="Q99" s="180" t="n">
        <f aca="false">R98*$B$27</f>
        <v>262.688025355615</v>
      </c>
      <c r="R99" s="180" t="n">
        <f aca="false">R98+Q99+O99+P99</f>
        <v>31836.7575222573</v>
      </c>
      <c r="S99" s="180" t="n">
        <f aca="false">S98+O99+P99</f>
        <v>26508.7381896744</v>
      </c>
      <c r="T99" s="180" t="n">
        <f aca="false">MAX(0,IFERROR(INDEX(TAB_IR,MATCH($C99,TAB_IR_DIAS,1),MATCH("RF_REGR",TAB_IR_REGIMES,0)),0)*MAX(0,R99-S99))</f>
        <v>799.202899887433</v>
      </c>
      <c r="U99" s="180" t="n">
        <f aca="false">E99*$B$22</f>
        <v>10391.9748465057</v>
      </c>
      <c r="V99" s="180" t="n">
        <f aca="false">IF($B$23=1,0,MAX(0,ALIQ_GANHO_CAP*MAX(0,E99-U99-$B$30)))</f>
        <v>1133.64088928846</v>
      </c>
      <c r="W99" s="181" t="n">
        <f aca="false">IF($B$5=0,0,E99-U99-V99+R99-T99)</f>
        <v>192711.519661671</v>
      </c>
      <c r="X99" s="180" t="n">
        <f aca="false">W99/$D99</f>
        <v>166898.371346446</v>
      </c>
      <c r="Y99" s="180" t="n">
        <f aca="false">IF($B$25=1,0,MAX(0,N99))</f>
        <v>0</v>
      </c>
      <c r="Z99" s="180" t="n">
        <f aca="false">Z98+O99</f>
        <v>155250</v>
      </c>
    </row>
    <row r="100" customFormat="false" ht="12" hidden="false" customHeight="true" outlineLevel="0" collapsed="false">
      <c r="A100" s="177" t="n">
        <v>45</v>
      </c>
      <c r="B100" s="178" t="n">
        <f aca="false">EDATE(DATA_INICIO,$A100)</f>
        <v>47626</v>
      </c>
      <c r="C100" s="177" t="n">
        <f aca="false">$A100*30</f>
        <v>1350</v>
      </c>
      <c r="D100" s="179" t="n">
        <f aca="false">(1+$B$29)^$A100</f>
        <v>1.15844394088626</v>
      </c>
      <c r="E100" s="180" t="n">
        <f aca="false">$B$6*(1+$B$21)^$A100</f>
        <v>173766.591132939</v>
      </c>
      <c r="F100" s="180" t="n">
        <f aca="false">IF($A100=0,0,$B$13*(1+$B$16)^($A100-1))</f>
        <v>1039.19748465057</v>
      </c>
      <c r="G100" s="180" t="n">
        <f aca="false">F100*$B$14</f>
        <v>83.1357987720459</v>
      </c>
      <c r="H100" s="180" t="n">
        <f aca="false">F100-G100</f>
        <v>956.061685878527</v>
      </c>
      <c r="I100" s="180" t="n">
        <f aca="false">IF($A100=0,0,E100*$B$17/12)</f>
        <v>86.8832955664696</v>
      </c>
      <c r="J100" s="180" t="n">
        <f aca="false">H100*$B$19</f>
        <v>76.4849348702822</v>
      </c>
      <c r="K100" s="180" t="n">
        <f aca="false">IF($A100=0,0,E100*$B$18/12)</f>
        <v>144.805492610783</v>
      </c>
      <c r="L100" s="180" t="n">
        <f aca="false">MAX(0,H100-I100-J100)</f>
        <v>792.693455441775</v>
      </c>
      <c r="M100" s="180" t="n">
        <f aca="false">MAX(0,L100*IFERROR(INDEX(TAB_IRPF_ALIQ,MATCH(L100,TAB_IRPF_BASE,1)),0)-IFERROR(INDEX(TAB_IRPF_DED,MATCH(L100,TAB_IRPF_BASE,1)),0))</f>
        <v>0</v>
      </c>
      <c r="N100" s="180" t="n">
        <f aca="false">H100-I100-J100-K100-M100</f>
        <v>647.887962830993</v>
      </c>
      <c r="O100" s="180" t="n">
        <f aca="false">IF(OR($A100=0,$A100&gt;IN_PRAZO,$B$5=0),0,IF(APORTE_CORRIGIDO="Sim",IN_APORTE*$D100,IN_APORTE))</f>
        <v>0</v>
      </c>
      <c r="P100" s="180" t="n">
        <f aca="false">IF($B$25=1,MAX(0,N100),0)</f>
        <v>647.887962830993</v>
      </c>
      <c r="Q100" s="180" t="n">
        <f aca="false">R99*$B$27</f>
        <v>270.404003744208</v>
      </c>
      <c r="R100" s="180" t="n">
        <f aca="false">R99+Q100+O100+P100</f>
        <v>32755.0494888325</v>
      </c>
      <c r="S100" s="180" t="n">
        <f aca="false">S99+O100+P100</f>
        <v>27156.6261525054</v>
      </c>
      <c r="T100" s="180" t="n">
        <f aca="false">MAX(0,IFERROR(INDEX(TAB_IR,MATCH($C100,TAB_IR_DIAS,1),MATCH("RF_REGR",TAB_IR_REGIMES,0)),0)*MAX(0,R100-S100))</f>
        <v>839.763500449064</v>
      </c>
      <c r="U100" s="180" t="n">
        <f aca="false">E100*$B$22</f>
        <v>10425.9954679763</v>
      </c>
      <c r="V100" s="180" t="n">
        <f aca="false">IF($B$23=1,0,MAX(0,ALIQ_GANHO_CAP*MAX(0,E100-U100-$B$30)))</f>
        <v>1213.58934974442</v>
      </c>
      <c r="W100" s="181" t="n">
        <f aca="false">IF($B$5=0,0,E100-U100-V100+R100-T100)</f>
        <v>194042.292303602</v>
      </c>
      <c r="X100" s="180" t="n">
        <f aca="false">W100/$D100</f>
        <v>167502.531158436</v>
      </c>
      <c r="Y100" s="180" t="n">
        <f aca="false">IF($B$25=1,0,MAX(0,N100))</f>
        <v>0</v>
      </c>
      <c r="Z100" s="180" t="n">
        <f aca="false">Z99+O100</f>
        <v>155250</v>
      </c>
    </row>
    <row r="101" customFormat="false" ht="12" hidden="false" customHeight="true" outlineLevel="0" collapsed="false">
      <c r="A101" s="177" t="n">
        <v>46</v>
      </c>
      <c r="B101" s="178" t="n">
        <f aca="false">EDATE(DATA_INICIO,$A101)</f>
        <v>47657</v>
      </c>
      <c r="C101" s="177" t="n">
        <f aca="false">$A101*30</f>
        <v>1380</v>
      </c>
      <c r="D101" s="179" t="n">
        <f aca="false">(1+$B$29)^$A101</f>
        <v>1.16223638490099</v>
      </c>
      <c r="E101" s="180" t="n">
        <f aca="false">$B$6*(1+$B$21)^$A101</f>
        <v>174335.457735148</v>
      </c>
      <c r="F101" s="180" t="n">
        <f aca="false">IF($A101=0,0,$B$13*(1+$B$16)^($A101-1))</f>
        <v>1042.59954679763</v>
      </c>
      <c r="G101" s="180" t="n">
        <f aca="false">F101*$B$14</f>
        <v>83.4079637438108</v>
      </c>
      <c r="H101" s="180" t="n">
        <f aca="false">F101-G101</f>
        <v>959.191583053824</v>
      </c>
      <c r="I101" s="180" t="n">
        <f aca="false">IF($A101=0,0,E101*$B$17/12)</f>
        <v>87.1677288675741</v>
      </c>
      <c r="J101" s="180" t="n">
        <f aca="false">H101*$B$19</f>
        <v>76.7353266443059</v>
      </c>
      <c r="K101" s="180" t="n">
        <f aca="false">IF($A101=0,0,E101*$B$18/12)</f>
        <v>145.279548112623</v>
      </c>
      <c r="L101" s="180" t="n">
        <f aca="false">MAX(0,H101-I101-J101)</f>
        <v>795.288527541944</v>
      </c>
      <c r="M101" s="180" t="n">
        <f aca="false">MAX(0,L101*IFERROR(INDEX(TAB_IRPF_ALIQ,MATCH(L101,TAB_IRPF_BASE,1)),0)-IFERROR(INDEX(TAB_IRPF_DED,MATCH(L101,TAB_IRPF_BASE,1)),0))</f>
        <v>0</v>
      </c>
      <c r="N101" s="180" t="n">
        <f aca="false">H101-I101-J101-K101-M101</f>
        <v>650.008979429321</v>
      </c>
      <c r="O101" s="180" t="n">
        <f aca="false">IF(OR($A101=0,$A101&gt;IN_PRAZO,$B$5=0),0,IF(APORTE_CORRIGIDO="Sim",IN_APORTE*$D101,IN_APORTE))</f>
        <v>0</v>
      </c>
      <c r="P101" s="180" t="n">
        <f aca="false">IF($B$25=1,MAX(0,N101),0)</f>
        <v>650.008979429321</v>
      </c>
      <c r="Q101" s="180" t="n">
        <f aca="false">R100*$B$27</f>
        <v>278.203473404222</v>
      </c>
      <c r="R101" s="180" t="n">
        <f aca="false">R100+Q101+O101+P101</f>
        <v>33683.261941666</v>
      </c>
      <c r="S101" s="180" t="n">
        <f aca="false">S100+O101+P101</f>
        <v>27806.6351319347</v>
      </c>
      <c r="T101" s="180" t="n">
        <f aca="false">MAX(0,IFERROR(INDEX(TAB_IR,MATCH($C101,TAB_IR_DIAS,1),MATCH("RF_REGR",TAB_IR_REGIMES,0)),0)*MAX(0,R101-S101))</f>
        <v>881.494021459697</v>
      </c>
      <c r="U101" s="180" t="n">
        <f aca="false">E101*$B$22</f>
        <v>10460.1274641089</v>
      </c>
      <c r="V101" s="180" t="n">
        <f aca="false">IF($B$23=1,0,MAX(0,ALIQ_GANHO_CAP*MAX(0,E101-U101-$B$30)))</f>
        <v>1293.79954065588</v>
      </c>
      <c r="W101" s="181" t="n">
        <f aca="false">IF($B$5=0,0,E101-U101-V101+R101-T101)</f>
        <v>195383.29865059</v>
      </c>
      <c r="X101" s="180" t="n">
        <f aca="false">W101/$D101</f>
        <v>168109.776280352</v>
      </c>
      <c r="Y101" s="180" t="n">
        <f aca="false">IF($B$25=1,0,MAX(0,N101))</f>
        <v>0</v>
      </c>
      <c r="Z101" s="180" t="n">
        <f aca="false">Z100+O101</f>
        <v>155250</v>
      </c>
    </row>
    <row r="102" customFormat="false" ht="12" hidden="false" customHeight="true" outlineLevel="0" collapsed="false">
      <c r="A102" s="177" t="n">
        <v>47</v>
      </c>
      <c r="B102" s="178" t="n">
        <f aca="false">EDATE(DATA_INICIO,$A102)</f>
        <v>47687</v>
      </c>
      <c r="C102" s="177" t="n">
        <f aca="false">$A102*30</f>
        <v>1410</v>
      </c>
      <c r="D102" s="179" t="n">
        <f aca="false">(1+$B$29)^$A102</f>
        <v>1.16604124439056</v>
      </c>
      <c r="E102" s="180" t="n">
        <f aca="false">$B$6*(1+$B$21)^$A102</f>
        <v>174906.186658584</v>
      </c>
      <c r="F102" s="180" t="n">
        <f aca="false">IF($A102=0,0,$B$13*(1+$B$16)^($A102-1))</f>
        <v>1046.01274641089</v>
      </c>
      <c r="G102" s="180" t="n">
        <f aca="false">F102*$B$14</f>
        <v>83.6810197128711</v>
      </c>
      <c r="H102" s="180" t="n">
        <f aca="false">F102-G102</f>
        <v>962.331726698018</v>
      </c>
      <c r="I102" s="180" t="n">
        <f aca="false">IF($A102=0,0,E102*$B$17/12)</f>
        <v>87.4530933292918</v>
      </c>
      <c r="J102" s="180" t="n">
        <f aca="false">H102*$B$19</f>
        <v>76.9865381358414</v>
      </c>
      <c r="K102" s="180" t="n">
        <f aca="false">IF($A102=0,0,E102*$B$18/12)</f>
        <v>145.75515554882</v>
      </c>
      <c r="L102" s="180" t="n">
        <f aca="false">MAX(0,H102-I102-J102)</f>
        <v>797.892095232884</v>
      </c>
      <c r="M102" s="180" t="n">
        <f aca="false">MAX(0,L102*IFERROR(INDEX(TAB_IRPF_ALIQ,MATCH(L102,TAB_IRPF_BASE,1)),0)-IFERROR(INDEX(TAB_IRPF_DED,MATCH(L102,TAB_IRPF_BASE,1)),0))</f>
        <v>0</v>
      </c>
      <c r="N102" s="180" t="n">
        <f aca="false">H102-I102-J102-K102-M102</f>
        <v>652.136939684065</v>
      </c>
      <c r="O102" s="180" t="n">
        <f aca="false">IF(OR($A102=0,$A102&gt;IN_PRAZO,$B$5=0),0,IF(APORTE_CORRIGIDO="Sim",IN_APORTE*$D102,IN_APORTE))</f>
        <v>0</v>
      </c>
      <c r="P102" s="180" t="n">
        <f aca="false">IF($B$25=1,MAX(0,N102),0)</f>
        <v>652.136939684065</v>
      </c>
      <c r="Q102" s="180" t="n">
        <f aca="false">R101*$B$27</f>
        <v>286.087202248026</v>
      </c>
      <c r="R102" s="180" t="n">
        <f aca="false">R101+Q102+O102+P102</f>
        <v>34621.4860835981</v>
      </c>
      <c r="S102" s="180" t="n">
        <f aca="false">S101+O102+P102</f>
        <v>28458.7720716187</v>
      </c>
      <c r="T102" s="180" t="n">
        <f aca="false">MAX(0,IFERROR(INDEX(TAB_IR,MATCH($C102,TAB_IR_DIAS,1),MATCH("RF_REGR",TAB_IR_REGIMES,0)),0)*MAX(0,R102-S102))</f>
        <v>924.407101796902</v>
      </c>
      <c r="U102" s="180" t="n">
        <f aca="false">E102*$B$22</f>
        <v>10494.371199515</v>
      </c>
      <c r="V102" s="180" t="n">
        <f aca="false">IF($B$23=1,0,MAX(0,ALIQ_GANHO_CAP*MAX(0,E102-U102-$B$30)))</f>
        <v>1374.27231886028</v>
      </c>
      <c r="W102" s="181" t="n">
        <f aca="false">IF($B$5=0,0,E102-U102-V102+R102-T102)</f>
        <v>196734.622122009</v>
      </c>
      <c r="X102" s="180" t="n">
        <f aca="false">W102/$D102</f>
        <v>168720.122953142</v>
      </c>
      <c r="Y102" s="180" t="n">
        <f aca="false">IF($B$25=1,0,MAX(0,N102))</f>
        <v>0</v>
      </c>
      <c r="Z102" s="180" t="n">
        <f aca="false">Z101+O102</f>
        <v>155250</v>
      </c>
    </row>
    <row r="103" customFormat="false" ht="12" hidden="false" customHeight="true" outlineLevel="0" collapsed="false">
      <c r="A103" s="177" t="n">
        <v>48</v>
      </c>
      <c r="B103" s="178" t="n">
        <f aca="false">EDATE(DATA_INICIO,$A103)</f>
        <v>47718</v>
      </c>
      <c r="C103" s="177" t="n">
        <f aca="false">$A103*30</f>
        <v>1440</v>
      </c>
      <c r="D103" s="179" t="n">
        <f aca="false">(1+$B$29)^$A103</f>
        <v>1.16985856</v>
      </c>
      <c r="E103" s="180" t="n">
        <f aca="false">$B$6*(1+$B$21)^$A103</f>
        <v>175478.784</v>
      </c>
      <c r="F103" s="180" t="n">
        <f aca="false">IF($A103=0,0,$B$13*(1+$B$16)^($A103-1))</f>
        <v>1049.4371199515</v>
      </c>
      <c r="G103" s="180" t="n">
        <f aca="false">F103*$B$14</f>
        <v>83.9549695961201</v>
      </c>
      <c r="H103" s="180" t="n">
        <f aca="false">F103-G103</f>
        <v>965.482150355381</v>
      </c>
      <c r="I103" s="180" t="n">
        <f aca="false">IF($A103=0,0,E103*$B$17/12)</f>
        <v>87.7393920000002</v>
      </c>
      <c r="J103" s="180" t="n">
        <f aca="false">H103*$B$19</f>
        <v>77.2385720284305</v>
      </c>
      <c r="K103" s="180" t="n">
        <f aca="false">IF($A103=0,0,E103*$B$18/12)</f>
        <v>146.23232</v>
      </c>
      <c r="L103" s="180" t="n">
        <f aca="false">MAX(0,H103-I103-J103)</f>
        <v>800.50418632695</v>
      </c>
      <c r="M103" s="180" t="n">
        <f aca="false">MAX(0,L103*IFERROR(INDEX(TAB_IRPF_ALIQ,MATCH(L103,TAB_IRPF_BASE,1)),0)-IFERROR(INDEX(TAB_IRPF_DED,MATCH(L103,TAB_IRPF_BASE,1)),0))</f>
        <v>0</v>
      </c>
      <c r="N103" s="180" t="n">
        <f aca="false">H103-I103-J103-K103-M103</f>
        <v>654.27186632695</v>
      </c>
      <c r="O103" s="180" t="n">
        <f aca="false">IF(OR($A103=0,$A103&gt;IN_PRAZO,$B$5=0),0,IF(APORTE_CORRIGIDO="Sim",IN_APORTE*$D103,IN_APORTE))</f>
        <v>0</v>
      </c>
      <c r="P103" s="180" t="n">
        <f aca="false">IF($B$25=1,MAX(0,N103),0)</f>
        <v>654.27186632695</v>
      </c>
      <c r="Q103" s="180" t="n">
        <f aca="false">R102*$B$27</f>
        <v>294.055964902658</v>
      </c>
      <c r="R103" s="180" t="n">
        <f aca="false">R102+Q103+O103+P103</f>
        <v>35569.8139148277</v>
      </c>
      <c r="S103" s="180" t="n">
        <f aca="false">S102+O103+P103</f>
        <v>29113.0439379457</v>
      </c>
      <c r="T103" s="180" t="n">
        <f aca="false">MAX(0,IFERROR(INDEX(TAB_IR,MATCH($C103,TAB_IR_DIAS,1),MATCH("RF_REGR",TAB_IR_REGIMES,0)),0)*MAX(0,R103-S103))</f>
        <v>968.515496532299</v>
      </c>
      <c r="U103" s="180" t="n">
        <f aca="false">E103*$B$22</f>
        <v>10528.72704</v>
      </c>
      <c r="V103" s="180" t="n">
        <f aca="false">IF($B$23=1,0,MAX(0,ALIQ_GANHO_CAP*MAX(0,E103-U103-$B$30)))</f>
        <v>1455.00854400006</v>
      </c>
      <c r="W103" s="181" t="n">
        <f aca="false">IF($B$5=0,0,E103-U103-V103+R103-T103)</f>
        <v>198096.346834296</v>
      </c>
      <c r="X103" s="180" t="n">
        <f aca="false">W103/$D103</f>
        <v>169333.587501634</v>
      </c>
      <c r="Y103" s="180" t="n">
        <f aca="false">IF($B$25=1,0,MAX(0,N103))</f>
        <v>0</v>
      </c>
      <c r="Z103" s="180" t="n">
        <f aca="false">Z102+O103</f>
        <v>155250</v>
      </c>
    </row>
    <row r="104" customFormat="false" ht="12" hidden="false" customHeight="true" outlineLevel="0" collapsed="false">
      <c r="A104" s="177" t="n">
        <v>49</v>
      </c>
      <c r="B104" s="178" t="n">
        <f aca="false">EDATE(DATA_INICIO,$A104)</f>
        <v>47749</v>
      </c>
      <c r="C104" s="177" t="n">
        <f aca="false">$A104*30</f>
        <v>1470</v>
      </c>
      <c r="D104" s="179" t="n">
        <f aca="false">(1+$B$29)^$A104</f>
        <v>1.17368837250742</v>
      </c>
      <c r="E104" s="180" t="n">
        <f aca="false">$B$6*(1+$B$21)^$A104</f>
        <v>176053.255876113</v>
      </c>
      <c r="F104" s="180" t="n">
        <f aca="false">IF($A104=0,0,$B$13*(1+$B$16)^($A104-1))</f>
        <v>1052.872704</v>
      </c>
      <c r="G104" s="180" t="n">
        <f aca="false">F104*$B$14</f>
        <v>84.2298163200002</v>
      </c>
      <c r="H104" s="180" t="n">
        <f aca="false">F104-G104</f>
        <v>968.642887680002</v>
      </c>
      <c r="I104" s="180" t="n">
        <f aca="false">IF($A104=0,0,E104*$B$17/12)</f>
        <v>88.0266279380566</v>
      </c>
      <c r="J104" s="180" t="n">
        <f aca="false">H104*$B$19</f>
        <v>77.4914310144002</v>
      </c>
      <c r="K104" s="180" t="n">
        <f aca="false">IF($A104=0,0,E104*$B$18/12)</f>
        <v>146.711046563428</v>
      </c>
      <c r="L104" s="180" t="n">
        <f aca="false">MAX(0,H104-I104-J104)</f>
        <v>803.124828727546</v>
      </c>
      <c r="M104" s="180" t="n">
        <f aca="false">MAX(0,L104*IFERROR(INDEX(TAB_IRPF_ALIQ,MATCH(L104,TAB_IRPF_BASE,1)),0)-IFERROR(INDEX(TAB_IRPF_DED,MATCH(L104,TAB_IRPF_BASE,1)),0))</f>
        <v>0</v>
      </c>
      <c r="N104" s="180" t="n">
        <f aca="false">H104-I104-J104-K104-M104</f>
        <v>656.413782164118</v>
      </c>
      <c r="O104" s="180" t="n">
        <f aca="false">IF(OR($A104=0,$A104&gt;IN_PRAZO,$B$5=0),0,IF(APORTE_CORRIGIDO="Sim",IN_APORTE*$D104,IN_APORTE))</f>
        <v>0</v>
      </c>
      <c r="P104" s="180" t="n">
        <f aca="false">IF($B$25=1,MAX(0,N104),0)</f>
        <v>656.413782164118</v>
      </c>
      <c r="Q104" s="180" t="n">
        <f aca="false">R103*$B$27</f>
        <v>302.110542767482</v>
      </c>
      <c r="R104" s="180" t="n">
        <f aca="false">R103+Q104+O104+P104</f>
        <v>36528.3382397593</v>
      </c>
      <c r="S104" s="180" t="n">
        <f aca="false">S103+O104+P104</f>
        <v>29769.4577201098</v>
      </c>
      <c r="T104" s="180" t="n">
        <f aca="false">MAX(0,IFERROR(INDEX(TAB_IR,MATCH($C104,TAB_IR_DIAS,1),MATCH("RF_REGR",TAB_IR_REGIMES,0)),0)*MAX(0,R104-S104))</f>
        <v>1013.83207794742</v>
      </c>
      <c r="U104" s="180" t="n">
        <f aca="false">E104*$B$22</f>
        <v>10563.1953525668</v>
      </c>
      <c r="V104" s="180" t="n">
        <f aca="false">IF($B$23=1,0,MAX(0,ALIQ_GANHO_CAP*MAX(0,E104-U104-$B$30)))</f>
        <v>1536.00907853195</v>
      </c>
      <c r="W104" s="181" t="n">
        <f aca="false">IF($B$5=0,0,E104-U104-V104+R104-T104)</f>
        <v>199468.557606826</v>
      </c>
      <c r="X104" s="180" t="n">
        <f aca="false">W104/$D104</f>
        <v>169950.186334972</v>
      </c>
      <c r="Y104" s="180" t="n">
        <f aca="false">IF($B$25=1,0,MAX(0,N104))</f>
        <v>0</v>
      </c>
      <c r="Z104" s="180" t="n">
        <f aca="false">Z103+O104</f>
        <v>155250</v>
      </c>
    </row>
    <row r="105" customFormat="false" ht="12" hidden="false" customHeight="true" outlineLevel="0" collapsed="false">
      <c r="A105" s="177" t="n">
        <v>50</v>
      </c>
      <c r="B105" s="178" t="n">
        <f aca="false">EDATE(DATA_INICIO,$A105)</f>
        <v>47779</v>
      </c>
      <c r="C105" s="177" t="n">
        <f aca="false">$A105*30</f>
        <v>1500</v>
      </c>
      <c r="D105" s="179" t="n">
        <f aca="false">(1+$B$29)^$A105</f>
        <v>1.1775307228244</v>
      </c>
      <c r="E105" s="180" t="n">
        <f aca="false">$B$6*(1+$B$21)^$A105</f>
        <v>176629.60842366</v>
      </c>
      <c r="F105" s="180" t="n">
        <f aca="false">IF($A105=0,0,$B$13*(1+$B$16)^($A105-1))</f>
        <v>1056.31953525668</v>
      </c>
      <c r="G105" s="180" t="n">
        <f aca="false">F105*$B$14</f>
        <v>84.5055628205343</v>
      </c>
      <c r="H105" s="180" t="n">
        <f aca="false">F105-G105</f>
        <v>971.813972436144</v>
      </c>
      <c r="I105" s="180" t="n">
        <f aca="false">IF($A105=0,0,E105*$B$17/12)</f>
        <v>88.3148042118302</v>
      </c>
      <c r="J105" s="180" t="n">
        <f aca="false">H105*$B$19</f>
        <v>77.7451177948915</v>
      </c>
      <c r="K105" s="180" t="n">
        <f aca="false">IF($A105=0,0,E105*$B$18/12)</f>
        <v>147.19134035305</v>
      </c>
      <c r="L105" s="180" t="n">
        <f aca="false">MAX(0,H105-I105-J105)</f>
        <v>805.754050429423</v>
      </c>
      <c r="M105" s="180" t="n">
        <f aca="false">MAX(0,L105*IFERROR(INDEX(TAB_IRPF_ALIQ,MATCH(L105,TAB_IRPF_BASE,1)),0)-IFERROR(INDEX(TAB_IRPF_DED,MATCH(L105,TAB_IRPF_BASE,1)),0))</f>
        <v>0</v>
      </c>
      <c r="N105" s="180" t="n">
        <f aca="false">H105-I105-J105-K105-M105</f>
        <v>658.562710076372</v>
      </c>
      <c r="O105" s="180" t="n">
        <f aca="false">IF(OR($A105=0,$A105&gt;IN_PRAZO,$B$5=0),0,IF(APORTE_CORRIGIDO="Sim",IN_APORTE*$D105,IN_APORTE))</f>
        <v>0</v>
      </c>
      <c r="P105" s="180" t="n">
        <f aca="false">IF($B$25=1,MAX(0,N105),0)</f>
        <v>658.562710076372</v>
      </c>
      <c r="Q105" s="180" t="n">
        <f aca="false">R104*$B$27</f>
        <v>310.251724072347</v>
      </c>
      <c r="R105" s="180" t="n">
        <f aca="false">R104+Q105+O105+P105</f>
        <v>37497.152673908</v>
      </c>
      <c r="S105" s="180" t="n">
        <f aca="false">S104+O105+P105</f>
        <v>30428.0204301862</v>
      </c>
      <c r="T105" s="180" t="n">
        <f aca="false">MAX(0,IFERROR(INDEX(TAB_IR,MATCH($C105,TAB_IR_DIAS,1),MATCH("RF_REGR",TAB_IR_REGIMES,0)),0)*MAX(0,R105-S105))</f>
        <v>1060.36983655827</v>
      </c>
      <c r="U105" s="180" t="n">
        <f aca="false">E105*$B$22</f>
        <v>10597.7765054196</v>
      </c>
      <c r="V105" s="180" t="n">
        <f aca="false">IF($B$23=1,0,MAX(0,ALIQ_GANHO_CAP*MAX(0,E105-U105-$B$30)))</f>
        <v>1617.27478773611</v>
      </c>
      <c r="W105" s="181" t="n">
        <f aca="false">IF($B$5=0,0,E105-U105-V105+R105-T105)</f>
        <v>200851.339967854</v>
      </c>
      <c r="X105" s="180" t="n">
        <f aca="false">W105/$D105</f>
        <v>170569.935947061</v>
      </c>
      <c r="Y105" s="180" t="n">
        <f aca="false">IF($B$25=1,0,MAX(0,N105))</f>
        <v>0</v>
      </c>
      <c r="Z105" s="180" t="n">
        <f aca="false">Z104+O105</f>
        <v>155250</v>
      </c>
    </row>
    <row r="106" customFormat="false" ht="12" hidden="false" customHeight="true" outlineLevel="0" collapsed="false">
      <c r="A106" s="177" t="n">
        <v>51</v>
      </c>
      <c r="B106" s="178" t="n">
        <f aca="false">EDATE(DATA_INICIO,$A106)</f>
        <v>47810</v>
      </c>
      <c r="C106" s="177" t="n">
        <f aca="false">$A106*30</f>
        <v>1530</v>
      </c>
      <c r="D106" s="179" t="n">
        <f aca="false">(1+$B$29)^$A106</f>
        <v>1.18138565199647</v>
      </c>
      <c r="E106" s="180" t="n">
        <f aca="false">$B$6*(1+$B$21)^$A106</f>
        <v>177207.847799471</v>
      </c>
      <c r="F106" s="180" t="n">
        <f aca="false">IF($A106=0,0,$B$13*(1+$B$16)^($A106-1))</f>
        <v>1059.77765054196</v>
      </c>
      <c r="G106" s="180" t="n">
        <f aca="false">F106*$B$14</f>
        <v>84.782212043357</v>
      </c>
      <c r="H106" s="180" t="n">
        <f aca="false">F106-G106</f>
        <v>974.995438498605</v>
      </c>
      <c r="I106" s="180" t="n">
        <f aca="false">IF($A106=0,0,E106*$B$17/12)</f>
        <v>88.6039238997356</v>
      </c>
      <c r="J106" s="180" t="n">
        <f aca="false">H106*$B$19</f>
        <v>77.9996350798884</v>
      </c>
      <c r="K106" s="180" t="n">
        <f aca="false">IF($A106=0,0,E106*$B$18/12)</f>
        <v>147.673206499559</v>
      </c>
      <c r="L106" s="180" t="n">
        <f aca="false">MAX(0,H106-I106-J106)</f>
        <v>808.391879518981</v>
      </c>
      <c r="M106" s="180" t="n">
        <f aca="false">MAX(0,L106*IFERROR(INDEX(TAB_IRPF_ALIQ,MATCH(L106,TAB_IRPF_BASE,1)),0)-IFERROR(INDEX(TAB_IRPF_DED,MATCH(L106,TAB_IRPF_BASE,1)),0))</f>
        <v>0</v>
      </c>
      <c r="N106" s="180" t="n">
        <f aca="false">H106-I106-J106-K106-M106</f>
        <v>660.718673019422</v>
      </c>
      <c r="O106" s="180" t="n">
        <f aca="false">IF(OR($A106=0,$A106&gt;IN_PRAZO,$B$5=0),0,IF(APORTE_CORRIGIDO="Sim",IN_APORTE*$D106,IN_APORTE))</f>
        <v>0</v>
      </c>
      <c r="P106" s="180" t="n">
        <f aca="false">IF($B$25=1,MAX(0,N106),0)</f>
        <v>660.718673019422</v>
      </c>
      <c r="Q106" s="180" t="n">
        <f aca="false">R105*$B$27</f>
        <v>318.48030393623</v>
      </c>
      <c r="R106" s="180" t="n">
        <f aca="false">R105+Q106+O106+P106</f>
        <v>38476.3516508637</v>
      </c>
      <c r="S106" s="180" t="n">
        <f aca="false">S105+O106+P106</f>
        <v>31088.7391032056</v>
      </c>
      <c r="T106" s="180" t="n">
        <f aca="false">MAX(0,IFERROR(INDEX(TAB_IR,MATCH($C106,TAB_IR_DIAS,1),MATCH("RF_REGR",TAB_IR_REGIMES,0)),0)*MAX(0,R106-S106))</f>
        <v>1108.14188214871</v>
      </c>
      <c r="U106" s="180" t="n">
        <f aca="false">E106*$B$22</f>
        <v>10632.4708679683</v>
      </c>
      <c r="V106" s="180" t="n">
        <f aca="false">IF($B$23=1,0,MAX(0,ALIQ_GANHO_CAP*MAX(0,E106-U106-$B$30)))</f>
        <v>1698.80653972543</v>
      </c>
      <c r="W106" s="181" t="n">
        <f aca="false">IF($B$5=0,0,E106-U106-V106+R106-T106)</f>
        <v>202244.780160492</v>
      </c>
      <c r="X106" s="180" t="n">
        <f aca="false">W106/$D106</f>
        <v>171192.852917005</v>
      </c>
      <c r="Y106" s="180" t="n">
        <f aca="false">IF($B$25=1,0,MAX(0,N106))</f>
        <v>0</v>
      </c>
      <c r="Z106" s="180" t="n">
        <f aca="false">Z105+O106</f>
        <v>155250</v>
      </c>
    </row>
    <row r="107" customFormat="false" ht="12" hidden="false" customHeight="true" outlineLevel="0" collapsed="false">
      <c r="A107" s="177" t="n">
        <v>52</v>
      </c>
      <c r="B107" s="178" t="n">
        <f aca="false">EDATE(DATA_INICIO,$A107)</f>
        <v>47840</v>
      </c>
      <c r="C107" s="177" t="n">
        <f aca="false">$A107*30</f>
        <v>1560</v>
      </c>
      <c r="D107" s="179" t="n">
        <f aca="false">(1+$B$29)^$A107</f>
        <v>1.18525320120353</v>
      </c>
      <c r="E107" s="180" t="n">
        <f aca="false">$B$6*(1+$B$21)^$A107</f>
        <v>177787.98018053</v>
      </c>
      <c r="F107" s="180" t="n">
        <f aca="false">IF($A107=0,0,$B$13*(1+$B$16)^($A107-1))</f>
        <v>1063.24708679683</v>
      </c>
      <c r="G107" s="180" t="n">
        <f aca="false">F107*$B$14</f>
        <v>85.0597669437461</v>
      </c>
      <c r="H107" s="180" t="n">
        <f aca="false">F107-G107</f>
        <v>978.187319853081</v>
      </c>
      <c r="I107" s="180" t="n">
        <f aca="false">IF($A107=0,0,E107*$B$17/12)</f>
        <v>88.8939900902651</v>
      </c>
      <c r="J107" s="180" t="n">
        <f aca="false">H107*$B$19</f>
        <v>78.2549855882465</v>
      </c>
      <c r="K107" s="180" t="n">
        <f aca="false">IF($A107=0,0,E107*$B$18/12)</f>
        <v>148.156650150442</v>
      </c>
      <c r="L107" s="180" t="n">
        <f aca="false">MAX(0,H107-I107-J107)</f>
        <v>811.038344174569</v>
      </c>
      <c r="M107" s="180" t="n">
        <f aca="false">MAX(0,L107*IFERROR(INDEX(TAB_IRPF_ALIQ,MATCH(L107,TAB_IRPF_BASE,1)),0)-IFERROR(INDEX(TAB_IRPF_DED,MATCH(L107,TAB_IRPF_BASE,1)),0))</f>
        <v>0</v>
      </c>
      <c r="N107" s="180" t="n">
        <f aca="false">H107-I107-J107-K107-M107</f>
        <v>662.881694024127</v>
      </c>
      <c r="O107" s="180" t="n">
        <f aca="false">IF(OR($A107=0,$A107&gt;IN_PRAZO,$B$5=0),0,IF(APORTE_CORRIGIDO="Sim",IN_APORTE*$D107,IN_APORTE))</f>
        <v>0</v>
      </c>
      <c r="P107" s="180" t="n">
        <f aca="false">IF($B$25=1,MAX(0,N107),0)</f>
        <v>662.881694024127</v>
      </c>
      <c r="Q107" s="180" t="n">
        <f aca="false">R106*$B$27</f>
        <v>326.79708442639</v>
      </c>
      <c r="R107" s="180" t="n">
        <f aca="false">R106+Q107+O107+P107</f>
        <v>39466.0304293142</v>
      </c>
      <c r="S107" s="180" t="n">
        <f aca="false">S106+O107+P107</f>
        <v>31751.6207972297</v>
      </c>
      <c r="T107" s="180" t="n">
        <f aca="false">MAX(0,IFERROR(INDEX(TAB_IR,MATCH($C107,TAB_IR_DIAS,1),MATCH("RF_REGR",TAB_IR_REGIMES,0)),0)*MAX(0,R107-S107))</f>
        <v>1157.16144481267</v>
      </c>
      <c r="U107" s="180" t="n">
        <f aca="false">E107*$B$22</f>
        <v>10667.2788108318</v>
      </c>
      <c r="V107" s="180" t="n">
        <f aca="false">IF($B$23=1,0,MAX(0,ALIQ_GANHO_CAP*MAX(0,E107-U107-$B$30)))</f>
        <v>1780.60520545475</v>
      </c>
      <c r="W107" s="181" t="n">
        <f aca="false">IF($B$5=0,0,E107-U107-V107+R107-T107)</f>
        <v>203648.965148745</v>
      </c>
      <c r="X107" s="180" t="n">
        <f aca="false">W107/$D107</f>
        <v>171818.953909557</v>
      </c>
      <c r="Y107" s="180" t="n">
        <f aca="false">IF($B$25=1,0,MAX(0,N107))</f>
        <v>0</v>
      </c>
      <c r="Z107" s="180" t="n">
        <f aca="false">Z106+O107</f>
        <v>155250</v>
      </c>
    </row>
    <row r="108" customFormat="false" ht="12" hidden="false" customHeight="true" outlineLevel="0" collapsed="false">
      <c r="A108" s="177" t="n">
        <v>53</v>
      </c>
      <c r="B108" s="178" t="n">
        <f aca="false">EDATE(DATA_INICIO,$A108)</f>
        <v>47871</v>
      </c>
      <c r="C108" s="177" t="n">
        <f aca="false">$A108*30</f>
        <v>1590</v>
      </c>
      <c r="D108" s="179" t="n">
        <f aca="false">(1+$B$29)^$A108</f>
        <v>1.18913341176029</v>
      </c>
      <c r="E108" s="180" t="n">
        <f aca="false">$B$6*(1+$B$21)^$A108</f>
        <v>178370.011764044</v>
      </c>
      <c r="F108" s="180" t="n">
        <f aca="false">IF($A108=0,0,$B$13*(1+$B$16)^($A108-1))</f>
        <v>1066.72788108318</v>
      </c>
      <c r="G108" s="180" t="n">
        <f aca="false">F108*$B$14</f>
        <v>85.3382304866545</v>
      </c>
      <c r="H108" s="180" t="n">
        <f aca="false">F108-G108</f>
        <v>981.389650596526</v>
      </c>
      <c r="I108" s="180" t="n">
        <f aca="false">IF($A108=0,0,E108*$B$17/12)</f>
        <v>89.185005882022</v>
      </c>
      <c r="J108" s="180" t="n">
        <f aca="false">H108*$B$19</f>
        <v>78.5111720477221</v>
      </c>
      <c r="K108" s="180" t="n">
        <f aca="false">IF($A108=0,0,E108*$B$18/12)</f>
        <v>148.641676470037</v>
      </c>
      <c r="L108" s="180" t="n">
        <f aca="false">MAX(0,H108-I108-J108)</f>
        <v>813.693472666782</v>
      </c>
      <c r="M108" s="180" t="n">
        <f aca="false">MAX(0,L108*IFERROR(INDEX(TAB_IRPF_ALIQ,MATCH(L108,TAB_IRPF_BASE,1)),0)-IFERROR(INDEX(TAB_IRPF_DED,MATCH(L108,TAB_IRPF_BASE,1)),0))</f>
        <v>0</v>
      </c>
      <c r="N108" s="180" t="n">
        <f aca="false">H108-I108-J108-K108-M108</f>
        <v>665.051796196746</v>
      </c>
      <c r="O108" s="180" t="n">
        <f aca="false">IF(OR($A108=0,$A108&gt;IN_PRAZO,$B$5=0),0,IF(APORTE_CORRIGIDO="Sim",IN_APORTE*$D108,IN_APORTE))</f>
        <v>0</v>
      </c>
      <c r="P108" s="180" t="n">
        <f aca="false">IF($B$25=1,MAX(0,N108),0)</f>
        <v>665.051796196746</v>
      </c>
      <c r="Q108" s="180" t="n">
        <f aca="false">R107*$B$27</f>
        <v>335.202874618013</v>
      </c>
      <c r="R108" s="180" t="n">
        <f aca="false">R107+Q108+O108+P108</f>
        <v>40466.285100129</v>
      </c>
      <c r="S108" s="180" t="n">
        <f aca="false">S107+O108+P108</f>
        <v>32416.6725934265</v>
      </c>
      <c r="T108" s="180" t="n">
        <f aca="false">MAX(0,IFERROR(INDEX(TAB_IR,MATCH($C108,TAB_IR_DIAS,1),MATCH("RF_REGR",TAB_IR_REGIMES,0)),0)*MAX(0,R108-S108))</f>
        <v>1207.44187600537</v>
      </c>
      <c r="U108" s="180" t="n">
        <f aca="false">E108*$B$22</f>
        <v>10702.2007058426</v>
      </c>
      <c r="V108" s="180" t="n">
        <f aca="false">IF($B$23=1,0,MAX(0,ALIQ_GANHO_CAP*MAX(0,E108-U108-$B$30)))</f>
        <v>1862.67165873019</v>
      </c>
      <c r="W108" s="181" t="n">
        <f aca="false">IF($B$5=0,0,E108-U108-V108+R108-T108)</f>
        <v>205063.982623595</v>
      </c>
      <c r="X108" s="180" t="n">
        <f aca="false">W108/$D108</f>
        <v>172448.255675564</v>
      </c>
      <c r="Y108" s="180" t="n">
        <f aca="false">IF($B$25=1,0,MAX(0,N108))</f>
        <v>0</v>
      </c>
      <c r="Z108" s="180" t="n">
        <f aca="false">Z107+O108</f>
        <v>155250</v>
      </c>
    </row>
    <row r="109" customFormat="false" ht="12" hidden="false" customHeight="true" outlineLevel="0" collapsed="false">
      <c r="A109" s="177" t="n">
        <v>54</v>
      </c>
      <c r="B109" s="178" t="n">
        <f aca="false">EDATE(DATA_INICIO,$A109)</f>
        <v>47902</v>
      </c>
      <c r="C109" s="177" t="n">
        <f aca="false">$A109*30</f>
        <v>1620</v>
      </c>
      <c r="D109" s="179" t="n">
        <f aca="false">(1+$B$29)^$A109</f>
        <v>1.19302632511671</v>
      </c>
      <c r="E109" s="180" t="n">
        <f aca="false">$B$6*(1+$B$21)^$A109</f>
        <v>178953.948767507</v>
      </c>
      <c r="F109" s="180" t="n">
        <f aca="false">IF($A109=0,0,$B$13*(1+$B$16)^($A109-1))</f>
        <v>1070.22007058426</v>
      </c>
      <c r="G109" s="180" t="n">
        <f aca="false">F109*$B$14</f>
        <v>85.6176056467411</v>
      </c>
      <c r="H109" s="180" t="n">
        <f aca="false">F109-G109</f>
        <v>984.602464937522</v>
      </c>
      <c r="I109" s="180" t="n">
        <f aca="false">IF($A109=0,0,E109*$B$17/12)</f>
        <v>89.4769743837536</v>
      </c>
      <c r="J109" s="180" t="n">
        <f aca="false">H109*$B$19</f>
        <v>78.7681971950018</v>
      </c>
      <c r="K109" s="180" t="n">
        <f aca="false">IF($A109=0,0,E109*$B$18/12)</f>
        <v>149.128290639589</v>
      </c>
      <c r="L109" s="180" t="n">
        <f aca="false">MAX(0,H109-I109-J109)</f>
        <v>816.357293358767</v>
      </c>
      <c r="M109" s="180" t="n">
        <f aca="false">MAX(0,L109*IFERROR(INDEX(TAB_IRPF_ALIQ,MATCH(L109,TAB_IRPF_BASE,1)),0)-IFERROR(INDEX(TAB_IRPF_DED,MATCH(L109,TAB_IRPF_BASE,1)),0))</f>
        <v>0</v>
      </c>
      <c r="N109" s="180" t="n">
        <f aca="false">H109-I109-J109-K109-M109</f>
        <v>667.229002719178</v>
      </c>
      <c r="O109" s="180" t="n">
        <f aca="false">IF(OR($A109=0,$A109&gt;IN_PRAZO,$B$5=0),0,IF(APORTE_CORRIGIDO="Sim",IN_APORTE*$D109,IN_APORTE))</f>
        <v>0</v>
      </c>
      <c r="P109" s="180" t="n">
        <f aca="false">IF($B$25=1,MAX(0,N109),0)</f>
        <v>667.229002719178</v>
      </c>
      <c r="Q109" s="180" t="n">
        <f aca="false">R108*$B$27</f>
        <v>343.698490654385</v>
      </c>
      <c r="R109" s="180" t="n">
        <f aca="false">R108+Q109+O109+P109</f>
        <v>41477.2125935025</v>
      </c>
      <c r="S109" s="180" t="n">
        <f aca="false">S108+O109+P109</f>
        <v>33083.9015961457</v>
      </c>
      <c r="T109" s="180" t="n">
        <f aca="false">MAX(0,IFERROR(INDEX(TAB_IR,MATCH($C109,TAB_IR_DIAS,1),MATCH("RF_REGR",TAB_IR_REGIMES,0)),0)*MAX(0,R109-S109))</f>
        <v>1258.99664960353</v>
      </c>
      <c r="U109" s="180" t="n">
        <f aca="false">E109*$B$22</f>
        <v>10737.2369260504</v>
      </c>
      <c r="V109" s="180" t="n">
        <f aca="false">IF($B$23=1,0,MAX(0,ALIQ_GANHO_CAP*MAX(0,E109-U109-$B$30)))</f>
        <v>1945.00677621851</v>
      </c>
      <c r="W109" s="181" t="n">
        <f aca="false">IF($B$5=0,0,E109-U109-V109+R109-T109)</f>
        <v>206489.921009137</v>
      </c>
      <c r="X109" s="180" t="n">
        <f aca="false">W109/$D109</f>
        <v>173080.775052417</v>
      </c>
      <c r="Y109" s="180" t="n">
        <f aca="false">IF($B$25=1,0,MAX(0,N109))</f>
        <v>0</v>
      </c>
      <c r="Z109" s="180" t="n">
        <f aca="false">Z108+O109</f>
        <v>155250</v>
      </c>
    </row>
    <row r="110" customFormat="false" ht="12" hidden="false" customHeight="true" outlineLevel="0" collapsed="false">
      <c r="A110" s="177" t="n">
        <v>55</v>
      </c>
      <c r="B110" s="178" t="n">
        <f aca="false">EDATE(DATA_INICIO,$A110)</f>
        <v>47930</v>
      </c>
      <c r="C110" s="177" t="n">
        <f aca="false">$A110*30</f>
        <v>1650</v>
      </c>
      <c r="D110" s="179" t="n">
        <f aca="false">(1+$B$29)^$A110</f>
        <v>1.19693198285846</v>
      </c>
      <c r="E110" s="180" t="n">
        <f aca="false">$B$6*(1+$B$21)^$A110</f>
        <v>179539.797428769</v>
      </c>
      <c r="F110" s="180" t="n">
        <f aca="false">IF($A110=0,0,$B$13*(1+$B$16)^($A110-1))</f>
        <v>1073.72369260504</v>
      </c>
      <c r="G110" s="180" t="n">
        <f aca="false">F110*$B$14</f>
        <v>85.8978954084034</v>
      </c>
      <c r="H110" s="180" t="n">
        <f aca="false">F110-G110</f>
        <v>987.82579719664</v>
      </c>
      <c r="I110" s="180" t="n">
        <f aca="false">IF($A110=0,0,E110*$B$17/12)</f>
        <v>89.7698987143845</v>
      </c>
      <c r="J110" s="180" t="n">
        <f aca="false">H110*$B$19</f>
        <v>79.0260637757312</v>
      </c>
      <c r="K110" s="180" t="n">
        <f aca="false">IF($A110=0,0,E110*$B$18/12)</f>
        <v>149.616497857307</v>
      </c>
      <c r="L110" s="180" t="n">
        <f aca="false">MAX(0,H110-I110-J110)</f>
        <v>819.029834706524</v>
      </c>
      <c r="M110" s="180" t="n">
        <f aca="false">MAX(0,L110*IFERROR(INDEX(TAB_IRPF_ALIQ,MATCH(L110,TAB_IRPF_BASE,1)),0)-IFERROR(INDEX(TAB_IRPF_DED,MATCH(L110,TAB_IRPF_BASE,1)),0))</f>
        <v>0</v>
      </c>
      <c r="N110" s="180" t="n">
        <f aca="false">H110-I110-J110-K110-M110</f>
        <v>669.413336849217</v>
      </c>
      <c r="O110" s="180" t="n">
        <f aca="false">IF(OR($A110=0,$A110&gt;IN_PRAZO,$B$5=0),0,IF(APORTE_CORRIGIDO="Sim",IN_APORTE*$D110,IN_APORTE))</f>
        <v>0</v>
      </c>
      <c r="P110" s="180" t="n">
        <f aca="false">IF($B$25=1,MAX(0,N110),0)</f>
        <v>669.413336849217</v>
      </c>
      <c r="Q110" s="180" t="n">
        <f aca="false">R109*$B$27</f>
        <v>352.284755807556</v>
      </c>
      <c r="R110" s="180" t="n">
        <f aca="false">R109+Q110+O110+P110</f>
        <v>42498.9106861593</v>
      </c>
      <c r="S110" s="180" t="n">
        <f aca="false">S109+O110+P110</f>
        <v>33753.3149329949</v>
      </c>
      <c r="T110" s="180" t="n">
        <f aca="false">MAX(0,IFERROR(INDEX(TAB_IR,MATCH($C110,TAB_IR_DIAS,1),MATCH("RF_REGR",TAB_IR_REGIMES,0)),0)*MAX(0,R110-S110))</f>
        <v>1311.83936297466</v>
      </c>
      <c r="U110" s="180" t="n">
        <f aca="false">E110*$B$22</f>
        <v>10772.3878457261</v>
      </c>
      <c r="V110" s="180" t="n">
        <f aca="false">IF($B$23=1,0,MAX(0,ALIQ_GANHO_CAP*MAX(0,E110-U110-$B$30)))</f>
        <v>2027.61143745642</v>
      </c>
      <c r="W110" s="181" t="n">
        <f aca="false">IF($B$5=0,0,E110-U110-V110+R110-T110)</f>
        <v>207926.869468771</v>
      </c>
      <c r="X110" s="180" t="n">
        <f aca="false">W110/$D110</f>
        <v>173716.528964503</v>
      </c>
      <c r="Y110" s="180" t="n">
        <f aca="false">IF($B$25=1,0,MAX(0,N110))</f>
        <v>0</v>
      </c>
      <c r="Z110" s="180" t="n">
        <f aca="false">Z109+O110</f>
        <v>155250</v>
      </c>
    </row>
    <row r="111" customFormat="false" ht="12" hidden="false" customHeight="true" outlineLevel="0" collapsed="false">
      <c r="A111" s="177" t="n">
        <v>56</v>
      </c>
      <c r="B111" s="178" t="n">
        <f aca="false">EDATE(DATA_INICIO,$A111)</f>
        <v>47961</v>
      </c>
      <c r="C111" s="177" t="n">
        <f aca="false">$A111*30</f>
        <v>1680</v>
      </c>
      <c r="D111" s="179" t="n">
        <f aca="false">(1+$B$29)^$A111</f>
        <v>1.20085042670733</v>
      </c>
      <c r="E111" s="180" t="n">
        <f aca="false">$B$6*(1+$B$21)^$A111</f>
        <v>180127.564006099</v>
      </c>
      <c r="F111" s="180" t="n">
        <f aca="false">IF($A111=0,0,$B$13*(1+$B$16)^($A111-1))</f>
        <v>1077.23878457261</v>
      </c>
      <c r="G111" s="180" t="n">
        <f aca="false">F111*$B$14</f>
        <v>86.1791027658091</v>
      </c>
      <c r="H111" s="180" t="n">
        <f aca="false">F111-G111</f>
        <v>991.059681806804</v>
      </c>
      <c r="I111" s="180" t="n">
        <f aca="false">IF($A111=0,0,E111*$B$17/12)</f>
        <v>90.0637820030497</v>
      </c>
      <c r="J111" s="180" t="n">
        <f aca="false">H111*$B$19</f>
        <v>79.2847745445444</v>
      </c>
      <c r="K111" s="180" t="n">
        <f aca="false">IF($A111=0,0,E111*$B$18/12)</f>
        <v>150.106303338416</v>
      </c>
      <c r="L111" s="180" t="n">
        <f aca="false">MAX(0,H111-I111-J111)</f>
        <v>821.71112525921</v>
      </c>
      <c r="M111" s="180" t="n">
        <f aca="false">MAX(0,L111*IFERROR(INDEX(TAB_IRPF_ALIQ,MATCH(L111,TAB_IRPF_BASE,1)),0)-IFERROR(INDEX(TAB_IRPF_DED,MATCH(L111,TAB_IRPF_BASE,1)),0))</f>
        <v>0</v>
      </c>
      <c r="N111" s="180" t="n">
        <f aca="false">H111-I111-J111-K111-M111</f>
        <v>671.604821920794</v>
      </c>
      <c r="O111" s="180" t="n">
        <f aca="false">IF(OR($A111=0,$A111&gt;IN_PRAZO,$B$5=0),0,IF(APORTE_CORRIGIDO="Sim",IN_APORTE*$D111,IN_APORTE))</f>
        <v>0</v>
      </c>
      <c r="P111" s="180" t="n">
        <f aca="false">IF($B$25=1,MAX(0,N111),0)</f>
        <v>671.604821920794</v>
      </c>
      <c r="Q111" s="180" t="n">
        <f aca="false">R110*$B$27</f>
        <v>360.962500539539</v>
      </c>
      <c r="R111" s="180" t="n">
        <f aca="false">R110+Q111+O111+P111</f>
        <v>43531.4780086196</v>
      </c>
      <c r="S111" s="180" t="n">
        <f aca="false">S110+O111+P111</f>
        <v>34424.9197549157</v>
      </c>
      <c r="T111" s="180" t="n">
        <f aca="false">MAX(0,IFERROR(INDEX(TAB_IR,MATCH($C111,TAB_IR_DIAS,1),MATCH("RF_REGR",TAB_IR_REGIMES,0)),0)*MAX(0,R111-S111))</f>
        <v>1365.98373805559</v>
      </c>
      <c r="U111" s="180" t="n">
        <f aca="false">E111*$B$22</f>
        <v>10807.653840366</v>
      </c>
      <c r="V111" s="180" t="n">
        <f aca="false">IF($B$23=1,0,MAX(0,ALIQ_GANHO_CAP*MAX(0,E111-U111-$B$30)))</f>
        <v>2110.48652486002</v>
      </c>
      <c r="W111" s="181" t="n">
        <f aca="false">IF($B$5=0,0,E111-U111-V111+R111-T111)</f>
        <v>209374.917911437</v>
      </c>
      <c r="X111" s="180" t="n">
        <f aca="false">W111/$D111</f>
        <v>174355.534423661</v>
      </c>
      <c r="Y111" s="180" t="n">
        <f aca="false">IF($B$25=1,0,MAX(0,N111))</f>
        <v>0</v>
      </c>
      <c r="Z111" s="180" t="n">
        <f aca="false">Z110+O111</f>
        <v>155250</v>
      </c>
    </row>
    <row r="112" customFormat="false" ht="12" hidden="false" customHeight="true" outlineLevel="0" collapsed="false">
      <c r="A112" s="177" t="n">
        <v>57</v>
      </c>
      <c r="B112" s="178" t="n">
        <f aca="false">EDATE(DATA_INICIO,$A112)</f>
        <v>47991</v>
      </c>
      <c r="C112" s="177" t="n">
        <f aca="false">$A112*30</f>
        <v>1710</v>
      </c>
      <c r="D112" s="179" t="n">
        <f aca="false">(1+$B$29)^$A112</f>
        <v>1.20478169852171</v>
      </c>
      <c r="E112" s="180" t="n">
        <f aca="false">$B$6*(1+$B$21)^$A112</f>
        <v>180717.254778257</v>
      </c>
      <c r="F112" s="180" t="n">
        <f aca="false">IF($A112=0,0,$B$13*(1+$B$16)^($A112-1))</f>
        <v>1080.7653840366</v>
      </c>
      <c r="G112" s="180" t="n">
        <f aca="false">F112*$B$14</f>
        <v>86.4612307229277</v>
      </c>
      <c r="H112" s="180" t="n">
        <f aca="false">F112-G112</f>
        <v>994.304153313669</v>
      </c>
      <c r="I112" s="180" t="n">
        <f aca="false">IF($A112=0,0,E112*$B$17/12)</f>
        <v>90.3586273891284</v>
      </c>
      <c r="J112" s="180" t="n">
        <f aca="false">H112*$B$19</f>
        <v>79.5443322650935</v>
      </c>
      <c r="K112" s="180" t="n">
        <f aca="false">IF($A112=0,0,E112*$B$18/12)</f>
        <v>150.597712315214</v>
      </c>
      <c r="L112" s="180" t="n">
        <f aca="false">MAX(0,H112-I112-J112)</f>
        <v>824.401193659447</v>
      </c>
      <c r="M112" s="180" t="n">
        <f aca="false">MAX(0,L112*IFERROR(INDEX(TAB_IRPF_ALIQ,MATCH(L112,TAB_IRPF_BASE,1)),0)-IFERROR(INDEX(TAB_IRPF_DED,MATCH(L112,TAB_IRPF_BASE,1)),0))</f>
        <v>0</v>
      </c>
      <c r="N112" s="180" t="n">
        <f aca="false">H112-I112-J112-K112-M112</f>
        <v>673.803481344233</v>
      </c>
      <c r="O112" s="180" t="n">
        <f aca="false">IF(OR($A112=0,$A112&gt;IN_PRAZO,$B$5=0),0,IF(APORTE_CORRIGIDO="Sim",IN_APORTE*$D112,IN_APORTE))</f>
        <v>0</v>
      </c>
      <c r="P112" s="180" t="n">
        <f aca="false">IF($B$25=1,MAX(0,N112),0)</f>
        <v>673.803481344233</v>
      </c>
      <c r="Q112" s="180" t="n">
        <f aca="false">R111*$B$27</f>
        <v>369.732562564025</v>
      </c>
      <c r="R112" s="180" t="n">
        <f aca="false">R111+Q112+O112+P112</f>
        <v>44575.0140525279</v>
      </c>
      <c r="S112" s="180" t="n">
        <f aca="false">S111+O112+P112</f>
        <v>35098.7232362599</v>
      </c>
      <c r="T112" s="180" t="n">
        <f aca="false">MAX(0,IFERROR(INDEX(TAB_IR,MATCH($C112,TAB_IR_DIAS,1),MATCH("RF_REGR",TAB_IR_REGIMES,0)),0)*MAX(0,R112-S112))</f>
        <v>1421.4436224402</v>
      </c>
      <c r="U112" s="180" t="n">
        <f aca="false">E112*$B$22</f>
        <v>10843.0352866954</v>
      </c>
      <c r="V112" s="180" t="n">
        <f aca="false">IF($B$23=1,0,MAX(0,ALIQ_GANHO_CAP*MAX(0,E112-U112-$B$30)))</f>
        <v>2193.63292373421</v>
      </c>
      <c r="W112" s="181" t="n">
        <f aca="false">IF($B$5=0,0,E112-U112-V112+R112-T112)</f>
        <v>210834.156997915</v>
      </c>
      <c r="X112" s="180" t="n">
        <f aca="false">W112/$D112</f>
        <v>174997.808529638</v>
      </c>
      <c r="Y112" s="180" t="n">
        <f aca="false">IF($B$25=1,0,MAX(0,N112))</f>
        <v>0</v>
      </c>
      <c r="Z112" s="180" t="n">
        <f aca="false">Z111+O112</f>
        <v>155250</v>
      </c>
    </row>
    <row r="113" customFormat="false" ht="12" hidden="false" customHeight="true" outlineLevel="0" collapsed="false">
      <c r="A113" s="177" t="n">
        <v>58</v>
      </c>
      <c r="B113" s="178" t="n">
        <f aca="false">EDATE(DATA_INICIO,$A113)</f>
        <v>48022</v>
      </c>
      <c r="C113" s="177" t="n">
        <f aca="false">$A113*30</f>
        <v>1740</v>
      </c>
      <c r="D113" s="179" t="n">
        <f aca="false">(1+$B$29)^$A113</f>
        <v>1.20872584029703</v>
      </c>
      <c r="E113" s="180" t="n">
        <f aca="false">$B$6*(1+$B$21)^$A113</f>
        <v>181308.876044554</v>
      </c>
      <c r="F113" s="180" t="n">
        <f aca="false">IF($A113=0,0,$B$13*(1+$B$16)^($A113-1))</f>
        <v>1084.30352866954</v>
      </c>
      <c r="G113" s="180" t="n">
        <f aca="false">F113*$B$14</f>
        <v>86.7442822935633</v>
      </c>
      <c r="H113" s="180" t="n">
        <f aca="false">F113-G113</f>
        <v>997.559246375978</v>
      </c>
      <c r="I113" s="180" t="n">
        <f aca="false">IF($A113=0,0,E113*$B$17/12)</f>
        <v>90.6544380222771</v>
      </c>
      <c r="J113" s="180" t="n">
        <f aca="false">H113*$B$19</f>
        <v>79.8047397100782</v>
      </c>
      <c r="K113" s="180" t="n">
        <f aca="false">IF($A113=0,0,E113*$B$18/12)</f>
        <v>151.090730037128</v>
      </c>
      <c r="L113" s="180" t="n">
        <f aca="false">MAX(0,H113-I113-J113)</f>
        <v>827.100068643622</v>
      </c>
      <c r="M113" s="180" t="n">
        <f aca="false">MAX(0,L113*IFERROR(INDEX(TAB_IRPF_ALIQ,MATCH(L113,TAB_IRPF_BASE,1)),0)-IFERROR(INDEX(TAB_IRPF_DED,MATCH(L113,TAB_IRPF_BASE,1)),0))</f>
        <v>0</v>
      </c>
      <c r="N113" s="180" t="n">
        <f aca="false">H113-I113-J113-K113-M113</f>
        <v>676.009338606494</v>
      </c>
      <c r="O113" s="180" t="n">
        <f aca="false">IF(OR($A113=0,$A113&gt;IN_PRAZO,$B$5=0),0,IF(APORTE_CORRIGIDO="Sim",IN_APORTE*$D113,IN_APORTE))</f>
        <v>0</v>
      </c>
      <c r="P113" s="180" t="n">
        <f aca="false">IF($B$25=1,MAX(0,N113),0)</f>
        <v>676.009338606494</v>
      </c>
      <c r="Q113" s="180" t="n">
        <f aca="false">R112*$B$27</f>
        <v>378.595786908619</v>
      </c>
      <c r="R113" s="180" t="n">
        <f aca="false">R112+Q113+O113+P113</f>
        <v>45629.619178043</v>
      </c>
      <c r="S113" s="180" t="n">
        <f aca="false">S112+O113+P113</f>
        <v>35774.7325748664</v>
      </c>
      <c r="T113" s="180" t="n">
        <f aca="false">MAX(0,IFERROR(INDEX(TAB_IR,MATCH($C113,TAB_IR_DIAS,1),MATCH("RF_REGR",TAB_IR_REGIMES,0)),0)*MAX(0,R113-S113))</f>
        <v>1478.23299047649</v>
      </c>
      <c r="U113" s="180" t="n">
        <f aca="false">E113*$B$22</f>
        <v>10878.5325626732</v>
      </c>
      <c r="V113" s="180" t="n">
        <f aca="false">IF($B$23=1,0,MAX(0,ALIQ_GANHO_CAP*MAX(0,E113-U113-$B$30)))</f>
        <v>2277.05152228214</v>
      </c>
      <c r="W113" s="181" t="n">
        <f aca="false">IF($B$5=0,0,E113-U113-V113+R113-T113)</f>
        <v>212304.678147165</v>
      </c>
      <c r="X113" s="180" t="n">
        <f aca="false">W113/$D113</f>
        <v>175643.368470549</v>
      </c>
      <c r="Y113" s="180" t="n">
        <f aca="false">IF($B$25=1,0,MAX(0,N113))</f>
        <v>0</v>
      </c>
      <c r="Z113" s="180" t="n">
        <f aca="false">Z112+O113</f>
        <v>155250</v>
      </c>
    </row>
    <row r="114" customFormat="false" ht="12" hidden="false" customHeight="true" outlineLevel="0" collapsed="false">
      <c r="A114" s="177" t="n">
        <v>59</v>
      </c>
      <c r="B114" s="178" t="n">
        <f aca="false">EDATE(DATA_INICIO,$A114)</f>
        <v>48052</v>
      </c>
      <c r="C114" s="177" t="n">
        <f aca="false">$A114*30</f>
        <v>1770</v>
      </c>
      <c r="D114" s="179" t="n">
        <f aca="false">(1+$B$29)^$A114</f>
        <v>1.21268289416618</v>
      </c>
      <c r="E114" s="180" t="n">
        <f aca="false">$B$6*(1+$B$21)^$A114</f>
        <v>181902.434124927</v>
      </c>
      <c r="F114" s="180" t="n">
        <f aca="false">IF($A114=0,0,$B$13*(1+$B$16)^($A114-1))</f>
        <v>1087.85325626732</v>
      </c>
      <c r="G114" s="180" t="n">
        <f aca="false">F114*$B$14</f>
        <v>87.028260501386</v>
      </c>
      <c r="H114" s="180" t="n">
        <f aca="false">F114-G114</f>
        <v>1000.82499576594</v>
      </c>
      <c r="I114" s="180" t="n">
        <f aca="false">IF($A114=0,0,E114*$B$17/12)</f>
        <v>90.9512170624635</v>
      </c>
      <c r="J114" s="180" t="n">
        <f aca="false">H114*$B$19</f>
        <v>80.0659996612751</v>
      </c>
      <c r="K114" s="180" t="n">
        <f aca="false">IF($A114=0,0,E114*$B$18/12)</f>
        <v>151.585361770773</v>
      </c>
      <c r="L114" s="180" t="n">
        <f aca="false">MAX(0,H114-I114-J114)</f>
        <v>829.8077790422</v>
      </c>
      <c r="M114" s="180" t="n">
        <f aca="false">MAX(0,L114*IFERROR(INDEX(TAB_IRPF_ALIQ,MATCH(L114,TAB_IRPF_BASE,1)),0)-IFERROR(INDEX(TAB_IRPF_DED,MATCH(L114,TAB_IRPF_BASE,1)),0))</f>
        <v>0</v>
      </c>
      <c r="N114" s="180" t="n">
        <f aca="false">H114-I114-J114-K114-M114</f>
        <v>678.222417271428</v>
      </c>
      <c r="O114" s="180" t="n">
        <f aca="false">IF(OR($A114=0,$A114&gt;IN_PRAZO,$B$5=0),0,IF(APORTE_CORRIGIDO="Sim",IN_APORTE*$D114,IN_APORTE))</f>
        <v>0</v>
      </c>
      <c r="P114" s="180" t="n">
        <f aca="false">IF($B$25=1,MAX(0,N114),0)</f>
        <v>678.222417271428</v>
      </c>
      <c r="Q114" s="180" t="n">
        <f aca="false">R113*$B$27</f>
        <v>387.553025977613</v>
      </c>
      <c r="R114" s="180" t="n">
        <f aca="false">R113+Q114+O114+P114</f>
        <v>46695.394621292</v>
      </c>
      <c r="S114" s="180" t="n">
        <f aca="false">S113+O114+P114</f>
        <v>36452.9549921378</v>
      </c>
      <c r="T114" s="180" t="n">
        <f aca="false">MAX(0,IFERROR(INDEX(TAB_IR,MATCH($C114,TAB_IR_DIAS,1),MATCH("RF_REGR",TAB_IR_REGIMES,0)),0)*MAX(0,R114-S114))</f>
        <v>1536.36594437313</v>
      </c>
      <c r="U114" s="180" t="n">
        <f aca="false">E114*$B$22</f>
        <v>10914.1460474956</v>
      </c>
      <c r="V114" s="180" t="n">
        <f aca="false">IF($B$23=1,0,MAX(0,ALIQ_GANHO_CAP*MAX(0,E114-U114-$B$30)))</f>
        <v>2360.7432116147</v>
      </c>
      <c r="W114" s="181" t="n">
        <f aca="false">IF($B$5=0,0,E114-U114-V114+R114-T114)</f>
        <v>213786.573542736</v>
      </c>
      <c r="X114" s="180" t="n">
        <f aca="false">W114/$D114</f>
        <v>176292.231523338</v>
      </c>
      <c r="Y114" s="180" t="n">
        <f aca="false">IF($B$25=1,0,MAX(0,N114))</f>
        <v>0</v>
      </c>
      <c r="Z114" s="180" t="n">
        <f aca="false">Z113+O114</f>
        <v>155250</v>
      </c>
    </row>
    <row r="115" customFormat="false" ht="12" hidden="false" customHeight="true" outlineLevel="0" collapsed="false">
      <c r="A115" s="177" t="n">
        <v>60</v>
      </c>
      <c r="B115" s="178" t="n">
        <f aca="false">EDATE(DATA_INICIO,$A115)</f>
        <v>48083</v>
      </c>
      <c r="C115" s="177" t="n">
        <f aca="false">$A115*30</f>
        <v>1800</v>
      </c>
      <c r="D115" s="179" t="n">
        <f aca="false">(1+$B$29)^$A115</f>
        <v>1.2166529024</v>
      </c>
      <c r="E115" s="180" t="n">
        <f aca="false">$B$6*(1+$B$21)^$A115</f>
        <v>182497.935360001</v>
      </c>
      <c r="F115" s="180" t="n">
        <f aca="false">IF($A115=0,0,$B$13*(1+$B$16)^($A115-1))</f>
        <v>1091.41460474956</v>
      </c>
      <c r="G115" s="180" t="n">
        <f aca="false">F115*$B$14</f>
        <v>87.313168379965</v>
      </c>
      <c r="H115" s="180" t="n">
        <f aca="false">F115-G115</f>
        <v>1004.1014363696</v>
      </c>
      <c r="I115" s="180" t="n">
        <f aca="false">IF($A115=0,0,E115*$B$17/12)</f>
        <v>91.2489676800003</v>
      </c>
      <c r="J115" s="180" t="n">
        <f aca="false">H115*$B$19</f>
        <v>80.3281149095678</v>
      </c>
      <c r="K115" s="180" t="n">
        <f aca="false">IF($A115=0,0,E115*$B$18/12)</f>
        <v>152.0816128</v>
      </c>
      <c r="L115" s="180" t="n">
        <f aca="false">MAX(0,H115-I115-J115)</f>
        <v>832.524353780029</v>
      </c>
      <c r="M115" s="180" t="n">
        <f aca="false">MAX(0,L115*IFERROR(INDEX(TAB_IRPF_ALIQ,MATCH(L115,TAB_IRPF_BASE,1)),0)-IFERROR(INDEX(TAB_IRPF_DED,MATCH(L115,TAB_IRPF_BASE,1)),0))</f>
        <v>0</v>
      </c>
      <c r="N115" s="180" t="n">
        <f aca="false">H115-I115-J115-K115-M115</f>
        <v>680.442740980029</v>
      </c>
      <c r="O115" s="180" t="n">
        <f aca="false">IF(OR($A115=0,$A115&gt;IN_PRAZO,$B$5=0),0,IF(APORTE_CORRIGIDO="Sim",IN_APORTE*$D115,IN_APORTE))</f>
        <v>0</v>
      </c>
      <c r="P115" s="180" t="n">
        <f aca="false">IF($B$25=1,MAX(0,N115),0)</f>
        <v>680.442740980029</v>
      </c>
      <c r="Q115" s="180" t="n">
        <f aca="false">R114*$B$27</f>
        <v>396.605139615294</v>
      </c>
      <c r="R115" s="180" t="n">
        <f aca="false">R114+Q115+O115+P115</f>
        <v>47772.4425018874</v>
      </c>
      <c r="S115" s="180" t="n">
        <f aca="false">S114+O115+P115</f>
        <v>37133.3977331179</v>
      </c>
      <c r="T115" s="180" t="n">
        <f aca="false">MAX(0,IFERROR(INDEX(TAB_IR,MATCH($C115,TAB_IR_DIAS,1),MATCH("RF_REGR",TAB_IR_REGIMES,0)),0)*MAX(0,R115-S115))</f>
        <v>1595.85671531543</v>
      </c>
      <c r="U115" s="180" t="n">
        <f aca="false">E115*$B$22</f>
        <v>10949.8761216</v>
      </c>
      <c r="V115" s="180" t="n">
        <f aca="false">IF($B$23=1,0,MAX(0,ALIQ_GANHO_CAP*MAX(0,E115-U115-$B$30)))</f>
        <v>2444.70888576008</v>
      </c>
      <c r="W115" s="181" t="n">
        <f aca="false">IF($B$5=0,0,E115-U115-V115+R115-T115)</f>
        <v>215279.936139212</v>
      </c>
      <c r="X115" s="180" t="n">
        <f aca="false">W115/$D115</f>
        <v>176944.41505424</v>
      </c>
      <c r="Y115" s="180" t="n">
        <f aca="false">IF($B$25=1,0,MAX(0,N115))</f>
        <v>0</v>
      </c>
      <c r="Z115" s="180" t="n">
        <f aca="false">Z114+O115</f>
        <v>155250</v>
      </c>
    </row>
    <row r="116" customFormat="false" ht="12" hidden="false" customHeight="true" outlineLevel="0" collapsed="false">
      <c r="A116" s="177" t="n">
        <v>61</v>
      </c>
      <c r="B116" s="178" t="n">
        <f aca="false">EDATE(DATA_INICIO,$A116)</f>
        <v>48114</v>
      </c>
      <c r="C116" s="177" t="n">
        <f aca="false">$A116*30</f>
        <v>1830</v>
      </c>
      <c r="D116" s="179" t="n">
        <f aca="false">(1+$B$29)^$A116</f>
        <v>1.22063590740772</v>
      </c>
      <c r="E116" s="180" t="n">
        <f aca="false">$B$6*(1+$B$21)^$A116</f>
        <v>183095.386111158</v>
      </c>
      <c r="F116" s="180" t="n">
        <f aca="false">IF($A116=0,0,$B$13*(1+$B$16)^($A116-1))</f>
        <v>1094.98761216</v>
      </c>
      <c r="G116" s="180" t="n">
        <f aca="false">F116*$B$14</f>
        <v>87.5990089728003</v>
      </c>
      <c r="H116" s="180" t="n">
        <f aca="false">F116-G116</f>
        <v>1007.3886031872</v>
      </c>
      <c r="I116" s="180" t="n">
        <f aca="false">IF($A116=0,0,E116*$B$17/12)</f>
        <v>91.5476930555789</v>
      </c>
      <c r="J116" s="180" t="n">
        <f aca="false">H116*$B$19</f>
        <v>80.5910882549762</v>
      </c>
      <c r="K116" s="180" t="n">
        <f aca="false">IF($A116=0,0,E116*$B$18/12)</f>
        <v>152.579488425965</v>
      </c>
      <c r="L116" s="180" t="n">
        <f aca="false">MAX(0,H116-I116-J116)</f>
        <v>835.249821876648</v>
      </c>
      <c r="M116" s="180" t="n">
        <f aca="false">MAX(0,L116*IFERROR(INDEX(TAB_IRPF_ALIQ,MATCH(L116,TAB_IRPF_BASE,1)),0)-IFERROR(INDEX(TAB_IRPF_DED,MATCH(L116,TAB_IRPF_BASE,1)),0))</f>
        <v>0</v>
      </c>
      <c r="N116" s="180" t="n">
        <f aca="false">H116-I116-J116-K116-M116</f>
        <v>682.670333450683</v>
      </c>
      <c r="O116" s="180" t="n">
        <f aca="false">IF(OR($A116=0,$A116&gt;IN_PRAZO,$B$5=0),0,IF(APORTE_CORRIGIDO="Sim",IN_APORTE*$D116,IN_APORTE))</f>
        <v>0</v>
      </c>
      <c r="P116" s="180" t="n">
        <f aca="false">IF($B$25=1,MAX(0,N116),0)</f>
        <v>682.670333450683</v>
      </c>
      <c r="Q116" s="180" t="n">
        <f aca="false">R115*$B$27</f>
        <v>405.752995169793</v>
      </c>
      <c r="R116" s="180" t="n">
        <f aca="false">R115+Q116+O116+P116</f>
        <v>48860.8658305078</v>
      </c>
      <c r="S116" s="180" t="n">
        <f aca="false">S115+O116+P116</f>
        <v>37816.0680665685</v>
      </c>
      <c r="T116" s="180" t="n">
        <f aca="false">MAX(0,IFERROR(INDEX(TAB_IR,MATCH($C116,TAB_IR_DIAS,1),MATCH("RF_REGR",TAB_IR_REGIMES,0)),0)*MAX(0,R116-S116))</f>
        <v>1656.7196645909</v>
      </c>
      <c r="U116" s="180" t="n">
        <f aca="false">E116*$B$22</f>
        <v>10985.7231666695</v>
      </c>
      <c r="V116" s="180" t="n">
        <f aca="false">IF($B$23=1,0,MAX(0,ALIQ_GANHO_CAP*MAX(0,E116-U116-$B$30)))</f>
        <v>2528.94944167325</v>
      </c>
      <c r="W116" s="181" t="n">
        <f aca="false">IF($B$5=0,0,E116-U116-V116+R116-T116)</f>
        <v>216784.859668732</v>
      </c>
      <c r="X116" s="180" t="n">
        <f aca="false">W116/$D116</f>
        <v>177599.936519253</v>
      </c>
      <c r="Y116" s="180" t="n">
        <f aca="false">IF($B$25=1,0,MAX(0,N116))</f>
        <v>0</v>
      </c>
      <c r="Z116" s="180" t="n">
        <f aca="false">Z115+O116</f>
        <v>155250</v>
      </c>
    </row>
    <row r="117" customFormat="false" ht="12" hidden="false" customHeight="true" outlineLevel="0" collapsed="false">
      <c r="A117" s="177" t="n">
        <v>62</v>
      </c>
      <c r="B117" s="178" t="n">
        <f aca="false">EDATE(DATA_INICIO,$A117)</f>
        <v>48144</v>
      </c>
      <c r="C117" s="177" t="n">
        <f aca="false">$A117*30</f>
        <v>1860</v>
      </c>
      <c r="D117" s="179" t="n">
        <f aca="false">(1+$B$29)^$A117</f>
        <v>1.22463195173738</v>
      </c>
      <c r="E117" s="180" t="n">
        <f aca="false">$B$6*(1+$B$21)^$A117</f>
        <v>183694.792760607</v>
      </c>
      <c r="F117" s="180" t="n">
        <f aca="false">IF($A117=0,0,$B$13*(1+$B$16)^($A117-1))</f>
        <v>1098.57231666695</v>
      </c>
      <c r="G117" s="180" t="n">
        <f aca="false">F117*$B$14</f>
        <v>87.8857853333557</v>
      </c>
      <c r="H117" s="180" t="n">
        <f aca="false">F117-G117</f>
        <v>1010.68653133359</v>
      </c>
      <c r="I117" s="180" t="n">
        <f aca="false">IF($A117=0,0,E117*$B$17/12)</f>
        <v>91.8473963803035</v>
      </c>
      <c r="J117" s="180" t="n">
        <f aca="false">H117*$B$19</f>
        <v>80.8549225066873</v>
      </c>
      <c r="K117" s="180" t="n">
        <f aca="false">IF($A117=0,0,E117*$B$18/12)</f>
        <v>153.078993967172</v>
      </c>
      <c r="L117" s="180" t="n">
        <f aca="false">MAX(0,H117-I117-J117)</f>
        <v>837.9842124466</v>
      </c>
      <c r="M117" s="180" t="n">
        <f aca="false">MAX(0,L117*IFERROR(INDEX(TAB_IRPF_ALIQ,MATCH(L117,TAB_IRPF_BASE,1)),0)-IFERROR(INDEX(TAB_IRPF_DED,MATCH(L117,TAB_IRPF_BASE,1)),0))</f>
        <v>0</v>
      </c>
      <c r="N117" s="180" t="n">
        <f aca="false">H117-I117-J117-K117-M117</f>
        <v>684.905218479428</v>
      </c>
      <c r="O117" s="180" t="n">
        <f aca="false">IF(OR($A117=0,$A117&gt;IN_PRAZO,$B$5=0),0,IF(APORTE_CORRIGIDO="Sim",IN_APORTE*$D117,IN_APORTE))</f>
        <v>0</v>
      </c>
      <c r="P117" s="180" t="n">
        <f aca="false">IF($B$25=1,MAX(0,N117),0)</f>
        <v>684.905218479428</v>
      </c>
      <c r="Q117" s="180" t="n">
        <f aca="false">R116*$B$27</f>
        <v>414.997467557466</v>
      </c>
      <c r="R117" s="180" t="n">
        <f aca="false">R116+Q117+O117+P117</f>
        <v>49960.7685165447</v>
      </c>
      <c r="S117" s="180" t="n">
        <f aca="false">S116+O117+P117</f>
        <v>38500.973285048</v>
      </c>
      <c r="T117" s="180" t="n">
        <f aca="false">MAX(0,IFERROR(INDEX(TAB_IR,MATCH($C117,TAB_IR_DIAS,1),MATCH("RF_REGR",TAB_IR_REGIMES,0)),0)*MAX(0,R117-S117))</f>
        <v>1718.96928472452</v>
      </c>
      <c r="U117" s="180" t="n">
        <f aca="false">E117*$B$22</f>
        <v>11021.6875656364</v>
      </c>
      <c r="V117" s="180" t="n">
        <f aca="false">IF($B$23=1,0,MAX(0,ALIQ_GANHO_CAP*MAX(0,E117-U117-$B$30)))</f>
        <v>2613.46577924558</v>
      </c>
      <c r="W117" s="181" t="n">
        <f aca="false">IF($B$5=0,0,E117-U117-V117+R117-T117)</f>
        <v>218301.438647545</v>
      </c>
      <c r="X117" s="180" t="n">
        <f aca="false">W117/$D117</f>
        <v>178258.813464602</v>
      </c>
      <c r="Y117" s="180" t="n">
        <f aca="false">IF($B$25=1,0,MAX(0,N117))</f>
        <v>0</v>
      </c>
      <c r="Z117" s="180" t="n">
        <f aca="false">Z116+O117</f>
        <v>155250</v>
      </c>
    </row>
    <row r="118" customFormat="false" ht="12" hidden="false" customHeight="true" outlineLevel="0" collapsed="false">
      <c r="A118" s="177" t="n">
        <v>63</v>
      </c>
      <c r="B118" s="178" t="n">
        <f aca="false">EDATE(DATA_INICIO,$A118)</f>
        <v>48175</v>
      </c>
      <c r="C118" s="177" t="n">
        <f aca="false">$A118*30</f>
        <v>1890</v>
      </c>
      <c r="D118" s="179" t="n">
        <f aca="false">(1+$B$29)^$A118</f>
        <v>1.22864107807633</v>
      </c>
      <c r="E118" s="180" t="n">
        <f aca="false">$B$6*(1+$B$21)^$A118</f>
        <v>184296.16171145</v>
      </c>
      <c r="F118" s="180" t="n">
        <f aca="false">IF($A118=0,0,$B$13*(1+$B$16)^($A118-1))</f>
        <v>1102.16875656364</v>
      </c>
      <c r="G118" s="180" t="n">
        <f aca="false">F118*$B$14</f>
        <v>88.1735005250913</v>
      </c>
      <c r="H118" s="180" t="n">
        <f aca="false">F118-G118</f>
        <v>1013.99525603855</v>
      </c>
      <c r="I118" s="180" t="n">
        <f aca="false">IF($A118=0,0,E118*$B$17/12)</f>
        <v>92.148080855725</v>
      </c>
      <c r="J118" s="180" t="n">
        <f aca="false">H118*$B$19</f>
        <v>81.119620483084</v>
      </c>
      <c r="K118" s="180" t="n">
        <f aca="false">IF($A118=0,0,E118*$B$18/12)</f>
        <v>153.580134759542</v>
      </c>
      <c r="L118" s="180" t="n">
        <f aca="false">MAX(0,H118-I118-J118)</f>
        <v>840.727554699741</v>
      </c>
      <c r="M118" s="180" t="n">
        <f aca="false">MAX(0,L118*IFERROR(INDEX(TAB_IRPF_ALIQ,MATCH(L118,TAB_IRPF_BASE,1)),0)-IFERROR(INDEX(TAB_IRPF_DED,MATCH(L118,TAB_IRPF_BASE,1)),0))</f>
        <v>0</v>
      </c>
      <c r="N118" s="180" t="n">
        <f aca="false">H118-I118-J118-K118-M118</f>
        <v>687.147419940199</v>
      </c>
      <c r="O118" s="180" t="n">
        <f aca="false">IF(OR($A118=0,$A118&gt;IN_PRAZO,$B$5=0),0,IF(APORTE_CORRIGIDO="Sim",IN_APORTE*$D118,IN_APORTE))</f>
        <v>0</v>
      </c>
      <c r="P118" s="180" t="n">
        <f aca="false">IF($B$25=1,MAX(0,N118),0)</f>
        <v>687.147419940199</v>
      </c>
      <c r="Q118" s="180" t="n">
        <f aca="false">R117*$B$27</f>
        <v>424.339439327847</v>
      </c>
      <c r="R118" s="180" t="n">
        <f aca="false">R117+Q118+O118+P118</f>
        <v>51072.2553758128</v>
      </c>
      <c r="S118" s="180" t="n">
        <f aca="false">S117+O118+P118</f>
        <v>39188.1207049882</v>
      </c>
      <c r="T118" s="180" t="n">
        <f aca="false">MAX(0,IFERROR(INDEX(TAB_IR,MATCH($C118,TAB_IR_DIAS,1),MATCH("RF_REGR",TAB_IR_REGIMES,0)),0)*MAX(0,R118-S118))</f>
        <v>1782.62020062369</v>
      </c>
      <c r="U118" s="180" t="n">
        <f aca="false">E118*$B$22</f>
        <v>11057.769702687</v>
      </c>
      <c r="V118" s="180" t="n">
        <f aca="false">IF($B$23=1,0,MAX(0,ALIQ_GANHO_CAP*MAX(0,E118-U118-$B$30)))</f>
        <v>2698.25880131446</v>
      </c>
      <c r="W118" s="181" t="n">
        <f aca="false">IF($B$5=0,0,E118-U118-V118+R118-T118)</f>
        <v>219829.768382638</v>
      </c>
      <c r="X118" s="180" t="n">
        <f aca="false">W118/$D118</f>
        <v>178921.063527212</v>
      </c>
      <c r="Y118" s="180" t="n">
        <f aca="false">IF($B$25=1,0,MAX(0,N118))</f>
        <v>0</v>
      </c>
      <c r="Z118" s="180" t="n">
        <f aca="false">Z117+O118</f>
        <v>155250</v>
      </c>
    </row>
    <row r="119" customFormat="false" ht="12" hidden="false" customHeight="true" outlineLevel="0" collapsed="false">
      <c r="A119" s="177" t="n">
        <v>64</v>
      </c>
      <c r="B119" s="178" t="n">
        <f aca="false">EDATE(DATA_INICIO,$A119)</f>
        <v>48205</v>
      </c>
      <c r="C119" s="177" t="n">
        <f aca="false">$A119*30</f>
        <v>1920</v>
      </c>
      <c r="D119" s="179" t="n">
        <f aca="false">(1+$B$29)^$A119</f>
        <v>1.23266332925168</v>
      </c>
      <c r="E119" s="180" t="n">
        <f aca="false">$B$6*(1+$B$21)^$A119</f>
        <v>184899.499387751</v>
      </c>
      <c r="F119" s="180" t="n">
        <f aca="false">IF($A119=0,0,$B$13*(1+$B$16)^($A119-1))</f>
        <v>1105.7769702687</v>
      </c>
      <c r="G119" s="180" t="n">
        <f aca="false">F119*$B$14</f>
        <v>88.4621576214961</v>
      </c>
      <c r="H119" s="180" t="n">
        <f aca="false">F119-G119</f>
        <v>1017.3148126472</v>
      </c>
      <c r="I119" s="180" t="n">
        <f aca="false">IF($A119=0,0,E119*$B$17/12)</f>
        <v>92.4497496938757</v>
      </c>
      <c r="J119" s="180" t="n">
        <f aca="false">H119*$B$19</f>
        <v>81.3851850117764</v>
      </c>
      <c r="K119" s="180" t="n">
        <f aca="false">IF($A119=0,0,E119*$B$18/12)</f>
        <v>154.08291615646</v>
      </c>
      <c r="L119" s="180" t="n">
        <f aca="false">MAX(0,H119-I119-J119)</f>
        <v>843.479877941552</v>
      </c>
      <c r="M119" s="180" t="n">
        <f aca="false">MAX(0,L119*IFERROR(INDEX(TAB_IRPF_ALIQ,MATCH(L119,TAB_IRPF_BASE,1)),0)-IFERROR(INDEX(TAB_IRPF_DED,MATCH(L119,TAB_IRPF_BASE,1)),0))</f>
        <v>0</v>
      </c>
      <c r="N119" s="180" t="n">
        <f aca="false">H119-I119-J119-K119-M119</f>
        <v>689.396961785093</v>
      </c>
      <c r="O119" s="180" t="n">
        <f aca="false">IF(OR($A119=0,$A119&gt;IN_PRAZO,$B$5=0),0,IF(APORTE_CORRIGIDO="Sim",IN_APORTE*$D119,IN_APORTE))</f>
        <v>0</v>
      </c>
      <c r="P119" s="180" t="n">
        <f aca="false">IF($B$25=1,MAX(0,N119),0)</f>
        <v>689.396961785093</v>
      </c>
      <c r="Q119" s="180" t="n">
        <f aca="false">R118*$B$27</f>
        <v>433.779800729131</v>
      </c>
      <c r="R119" s="180" t="n">
        <f aca="false">R118+Q119+O119+P119</f>
        <v>52195.432138327</v>
      </c>
      <c r="S119" s="180" t="n">
        <f aca="false">S118+O119+P119</f>
        <v>39877.5176667733</v>
      </c>
      <c r="T119" s="180" t="n">
        <f aca="false">MAX(0,IFERROR(INDEX(TAB_IR,MATCH($C119,TAB_IR_DIAS,1),MATCH("RF_REGR",TAB_IR_REGIMES,0)),0)*MAX(0,R119-S119))</f>
        <v>1847.68717073306</v>
      </c>
      <c r="U119" s="180" t="n">
        <f aca="false">E119*$B$22</f>
        <v>11093.9699632651</v>
      </c>
      <c r="V119" s="180" t="n">
        <f aca="false">IF($B$23=1,0,MAX(0,ALIQ_GANHO_CAP*MAX(0,E119-U119-$B$30)))</f>
        <v>2783.32941367295</v>
      </c>
      <c r="W119" s="181" t="n">
        <f aca="false">IF($B$5=0,0,E119-U119-V119+R119-T119)</f>
        <v>221369.944978407</v>
      </c>
      <c r="X119" s="180" t="n">
        <f aca="false">W119/$D119</f>
        <v>179586.704435181</v>
      </c>
      <c r="Y119" s="180" t="n">
        <f aca="false">IF($B$25=1,0,MAX(0,N119))</f>
        <v>0</v>
      </c>
      <c r="Z119" s="180" t="n">
        <f aca="false">Z118+O119</f>
        <v>155250</v>
      </c>
    </row>
    <row r="120" customFormat="false" ht="12" hidden="false" customHeight="true" outlineLevel="0" collapsed="false">
      <c r="A120" s="177" t="n">
        <v>65</v>
      </c>
      <c r="B120" s="178" t="n">
        <f aca="false">EDATE(DATA_INICIO,$A120)</f>
        <v>48236</v>
      </c>
      <c r="C120" s="177" t="n">
        <f aca="false">$A120*30</f>
        <v>1950</v>
      </c>
      <c r="D120" s="179" t="n">
        <f aca="false">(1+$B$29)^$A120</f>
        <v>1.23669874823071</v>
      </c>
      <c r="E120" s="180" t="n">
        <f aca="false">$B$6*(1+$B$21)^$A120</f>
        <v>185504.812234606</v>
      </c>
      <c r="F120" s="180" t="n">
        <f aca="false">IF($A120=0,0,$B$13*(1+$B$16)^($A120-1))</f>
        <v>1109.39699632651</v>
      </c>
      <c r="G120" s="180" t="n">
        <f aca="false">F120*$B$14</f>
        <v>88.7517597061207</v>
      </c>
      <c r="H120" s="180" t="n">
        <f aca="false">F120-G120</f>
        <v>1020.64523662039</v>
      </c>
      <c r="I120" s="180" t="n">
        <f aca="false">IF($A120=0,0,E120*$B$17/12)</f>
        <v>92.7524061173029</v>
      </c>
      <c r="J120" s="180" t="n">
        <f aca="false">H120*$B$19</f>
        <v>81.651618929631</v>
      </c>
      <c r="K120" s="180" t="n">
        <f aca="false">IF($A120=0,0,E120*$B$18/12)</f>
        <v>154.587343528838</v>
      </c>
      <c r="L120" s="180" t="n">
        <f aca="false">MAX(0,H120-I120-J120)</f>
        <v>846.241211573454</v>
      </c>
      <c r="M120" s="180" t="n">
        <f aca="false">MAX(0,L120*IFERROR(INDEX(TAB_IRPF_ALIQ,MATCH(L120,TAB_IRPF_BASE,1)),0)-IFERROR(INDEX(TAB_IRPF_DED,MATCH(L120,TAB_IRPF_BASE,1)),0))</f>
        <v>0</v>
      </c>
      <c r="N120" s="180" t="n">
        <f aca="false">H120-I120-J120-K120-M120</f>
        <v>691.653868044616</v>
      </c>
      <c r="O120" s="180" t="n">
        <f aca="false">IF(OR($A120=0,$A120&gt;IN_PRAZO,$B$5=0),0,IF(APORTE_CORRIGIDO="Sim",IN_APORTE*$D120,IN_APORTE))</f>
        <v>0</v>
      </c>
      <c r="P120" s="180" t="n">
        <f aca="false">IF($B$25=1,MAX(0,N120),0)</f>
        <v>691.653868044616</v>
      </c>
      <c r="Q120" s="180" t="n">
        <f aca="false">R119*$B$27</f>
        <v>443.319449774232</v>
      </c>
      <c r="R120" s="180" t="n">
        <f aca="false">R119+Q120+O120+P120</f>
        <v>53330.4054561459</v>
      </c>
      <c r="S120" s="180" t="n">
        <f aca="false">S119+O120+P120</f>
        <v>40569.1715348179</v>
      </c>
      <c r="T120" s="180" t="n">
        <f aca="false">MAX(0,IFERROR(INDEX(TAB_IR,MATCH($C120,TAB_IR_DIAS,1),MATCH("RF_REGR",TAB_IR_REGIMES,0)),0)*MAX(0,R120-S120))</f>
        <v>1914.1850881992</v>
      </c>
      <c r="U120" s="180" t="n">
        <f aca="false">E120*$B$22</f>
        <v>11130.2887340763</v>
      </c>
      <c r="V120" s="180" t="n">
        <f aca="false">IF($B$23=1,0,MAX(0,ALIQ_GANHO_CAP*MAX(0,E120-U120-$B$30)))</f>
        <v>2868.67852507942</v>
      </c>
      <c r="W120" s="181" t="n">
        <f aca="false">IF($B$5=0,0,E120-U120-V120+R120-T120)</f>
        <v>222922.065343397</v>
      </c>
      <c r="X120" s="180" t="n">
        <f aca="false">W120/$D120</f>
        <v>180255.75400826</v>
      </c>
      <c r="Y120" s="180" t="n">
        <f aca="false">IF($B$25=1,0,MAX(0,N120))</f>
        <v>0</v>
      </c>
      <c r="Z120" s="180" t="n">
        <f aca="false">Z119+O120</f>
        <v>155250</v>
      </c>
    </row>
    <row r="121" customFormat="false" ht="12" hidden="false" customHeight="true" outlineLevel="0" collapsed="false">
      <c r="A121" s="177" t="n">
        <v>66</v>
      </c>
      <c r="B121" s="178" t="n">
        <f aca="false">EDATE(DATA_INICIO,$A121)</f>
        <v>48267</v>
      </c>
      <c r="C121" s="177" t="n">
        <f aca="false">$A121*30</f>
        <v>1980</v>
      </c>
      <c r="D121" s="179" t="n">
        <f aca="false">(1+$B$29)^$A121</f>
        <v>1.24074737812138</v>
      </c>
      <c r="E121" s="180" t="n">
        <f aca="false">$B$6*(1+$B$21)^$A121</f>
        <v>186112.106718208</v>
      </c>
      <c r="F121" s="180" t="n">
        <f aca="false">IF($A121=0,0,$B$13*(1+$B$16)^($A121-1))</f>
        <v>1113.02887340763</v>
      </c>
      <c r="G121" s="180" t="n">
        <f aca="false">F121*$B$14</f>
        <v>89.0423098726108</v>
      </c>
      <c r="H121" s="180" t="n">
        <f aca="false">F121-G121</f>
        <v>1023.98656353502</v>
      </c>
      <c r="I121" s="180" t="n">
        <f aca="false">IF($A121=0,0,E121*$B$17/12)</f>
        <v>93.0560533591038</v>
      </c>
      <c r="J121" s="180" t="n">
        <f aca="false">H121*$B$19</f>
        <v>81.9189250828019</v>
      </c>
      <c r="K121" s="180" t="n">
        <f aca="false">IF($A121=0,0,E121*$B$18/12)</f>
        <v>155.093422265173</v>
      </c>
      <c r="L121" s="180" t="n">
        <f aca="false">MAX(0,H121-I121-J121)</f>
        <v>849.011585093118</v>
      </c>
      <c r="M121" s="180" t="n">
        <f aca="false">MAX(0,L121*IFERROR(INDEX(TAB_IRPF_ALIQ,MATCH(L121,TAB_IRPF_BASE,1)),0)-IFERROR(INDEX(TAB_IRPF_DED,MATCH(L121,TAB_IRPF_BASE,1)),0))</f>
        <v>0</v>
      </c>
      <c r="N121" s="180" t="n">
        <f aca="false">H121-I121-J121-K121-M121</f>
        <v>693.918162827945</v>
      </c>
      <c r="O121" s="180" t="n">
        <f aca="false">IF(OR($A121=0,$A121&gt;IN_PRAZO,$B$5=0),0,IF(APORTE_CORRIGIDO="Sim",IN_APORTE*$D121,IN_APORTE))</f>
        <v>0</v>
      </c>
      <c r="P121" s="180" t="n">
        <f aca="false">IF($B$25=1,MAX(0,N121),0)</f>
        <v>693.918162827945</v>
      </c>
      <c r="Q121" s="180" t="n">
        <f aca="false">R120*$B$27</f>
        <v>452.959292307395</v>
      </c>
      <c r="R121" s="180" t="n">
        <f aca="false">R120+Q121+O121+P121</f>
        <v>54477.2829112812</v>
      </c>
      <c r="S121" s="180" t="n">
        <f aca="false">S120+O121+P121</f>
        <v>41263.0896976458</v>
      </c>
      <c r="T121" s="180" t="n">
        <f aca="false">MAX(0,IFERROR(INDEX(TAB_IR,MATCH($C121,TAB_IR_DIAS,1),MATCH("RF_REGR",TAB_IR_REGIMES,0)),0)*MAX(0,R121-S121))</f>
        <v>1982.12898204531</v>
      </c>
      <c r="U121" s="180" t="n">
        <f aca="false">E121*$B$22</f>
        <v>11166.7264030925</v>
      </c>
      <c r="V121" s="180" t="n">
        <f aca="false">IF($B$23=1,0,MAX(0,ALIQ_GANHO_CAP*MAX(0,E121-U121-$B$30)))</f>
        <v>2954.30704726727</v>
      </c>
      <c r="W121" s="181" t="n">
        <f aca="false">IF($B$5=0,0,E121-U121-V121+R121-T121)</f>
        <v>224486.227197084</v>
      </c>
      <c r="X121" s="180" t="n">
        <f aca="false">W121/$D121</f>
        <v>180928.230158325</v>
      </c>
      <c r="Y121" s="180" t="n">
        <f aca="false">IF($B$25=1,0,MAX(0,N121))</f>
        <v>0</v>
      </c>
      <c r="Z121" s="180" t="n">
        <f aca="false">Z120+O121</f>
        <v>155250</v>
      </c>
    </row>
    <row r="122" customFormat="false" ht="12" hidden="false" customHeight="true" outlineLevel="0" collapsed="false">
      <c r="A122" s="177" t="n">
        <v>67</v>
      </c>
      <c r="B122" s="178" t="n">
        <f aca="false">EDATE(DATA_INICIO,$A122)</f>
        <v>48296</v>
      </c>
      <c r="C122" s="177" t="n">
        <f aca="false">$A122*30</f>
        <v>2010</v>
      </c>
      <c r="D122" s="179" t="n">
        <f aca="false">(1+$B$29)^$A122</f>
        <v>1.2448092621728</v>
      </c>
      <c r="E122" s="180" t="n">
        <f aca="false">$B$6*(1+$B$21)^$A122</f>
        <v>186721.38932592</v>
      </c>
      <c r="F122" s="180" t="n">
        <f aca="false">IF($A122=0,0,$B$13*(1+$B$16)^($A122-1))</f>
        <v>1116.67264030925</v>
      </c>
      <c r="G122" s="180" t="n">
        <f aca="false">F122*$B$14</f>
        <v>89.3338112247396</v>
      </c>
      <c r="H122" s="180" t="n">
        <f aca="false">F122-G122</f>
        <v>1027.33882908451</v>
      </c>
      <c r="I122" s="180" t="n">
        <f aca="false">IF($A122=0,0,E122*$B$17/12)</f>
        <v>93.3606946629599</v>
      </c>
      <c r="J122" s="180" t="n">
        <f aca="false">H122*$B$19</f>
        <v>82.1871063267605</v>
      </c>
      <c r="K122" s="180" t="n">
        <f aca="false">IF($A122=0,0,E122*$B$18/12)</f>
        <v>155.6011577716</v>
      </c>
      <c r="L122" s="180" t="n">
        <f aca="false">MAX(0,H122-I122-J122)</f>
        <v>851.791028094786</v>
      </c>
      <c r="M122" s="180" t="n">
        <f aca="false">MAX(0,L122*IFERROR(INDEX(TAB_IRPF_ALIQ,MATCH(L122,TAB_IRPF_BASE,1)),0)-IFERROR(INDEX(TAB_IRPF_DED,MATCH(L122,TAB_IRPF_BASE,1)),0))</f>
        <v>0</v>
      </c>
      <c r="N122" s="180" t="n">
        <f aca="false">H122-I122-J122-K122-M122</f>
        <v>696.189870323186</v>
      </c>
      <c r="O122" s="180" t="n">
        <f aca="false">IF(OR($A122=0,$A122&gt;IN_PRAZO,$B$5=0),0,IF(APORTE_CORRIGIDO="Sim",IN_APORTE*$D122,IN_APORTE))</f>
        <v>0</v>
      </c>
      <c r="P122" s="180" t="n">
        <f aca="false">IF($B$25=1,MAX(0,N122),0)</f>
        <v>696.189870323186</v>
      </c>
      <c r="Q122" s="180" t="n">
        <f aca="false">R121*$B$27</f>
        <v>462.700242071383</v>
      </c>
      <c r="R122" s="180" t="n">
        <f aca="false">R121+Q122+O122+P122</f>
        <v>55636.1730236758</v>
      </c>
      <c r="S122" s="180" t="n">
        <f aca="false">S121+O122+P122</f>
        <v>41959.279567969</v>
      </c>
      <c r="T122" s="180" t="n">
        <f aca="false">MAX(0,IFERROR(INDEX(TAB_IR,MATCH($C122,TAB_IR_DIAS,1),MATCH("RF_REGR",TAB_IR_REGIMES,0)),0)*MAX(0,R122-S122))</f>
        <v>2051.53401835601</v>
      </c>
      <c r="U122" s="180" t="n">
        <f aca="false">E122*$B$22</f>
        <v>11203.2833595552</v>
      </c>
      <c r="V122" s="180" t="n">
        <f aca="false">IF($B$23=1,0,MAX(0,ALIQ_GANHO_CAP*MAX(0,E122-U122-$B$30)))</f>
        <v>3040.21589495469</v>
      </c>
      <c r="W122" s="181" t="n">
        <f aca="false">IF($B$5=0,0,E122-U122-V122+R122-T122)</f>
        <v>226062.52907673</v>
      </c>
      <c r="X122" s="180" t="n">
        <f aca="false">W122/$D122</f>
        <v>181604.150889864</v>
      </c>
      <c r="Y122" s="180" t="n">
        <f aca="false">IF($B$25=1,0,MAX(0,N122))</f>
        <v>0</v>
      </c>
      <c r="Z122" s="180" t="n">
        <f aca="false">Z121+O122</f>
        <v>155250</v>
      </c>
    </row>
    <row r="123" customFormat="false" ht="12" hidden="false" customHeight="true" outlineLevel="0" collapsed="false">
      <c r="A123" s="177" t="n">
        <v>68</v>
      </c>
      <c r="B123" s="178" t="n">
        <f aca="false">EDATE(DATA_INICIO,$A123)</f>
        <v>48327</v>
      </c>
      <c r="C123" s="177" t="n">
        <f aca="false">$A123*30</f>
        <v>2040</v>
      </c>
      <c r="D123" s="179" t="n">
        <f aca="false">(1+$B$29)^$A123</f>
        <v>1.24888444377562</v>
      </c>
      <c r="E123" s="180" t="n">
        <f aca="false">$B$6*(1+$B$21)^$A123</f>
        <v>187332.666566344</v>
      </c>
      <c r="F123" s="180" t="n">
        <f aca="false">IF($A123=0,0,$B$13*(1+$B$16)^($A123-1))</f>
        <v>1120.32833595552</v>
      </c>
      <c r="G123" s="180" t="n">
        <f aca="false">F123*$B$14</f>
        <v>89.6262668764415</v>
      </c>
      <c r="H123" s="180" t="n">
        <f aca="false">F123-G123</f>
        <v>1030.70206907908</v>
      </c>
      <c r="I123" s="180" t="n">
        <f aca="false">IF($A123=0,0,E123*$B$17/12)</f>
        <v>93.6663332831718</v>
      </c>
      <c r="J123" s="180" t="n">
        <f aca="false">H123*$B$19</f>
        <v>82.4561655263262</v>
      </c>
      <c r="K123" s="180" t="n">
        <f aca="false">IF($A123=0,0,E123*$B$18/12)</f>
        <v>156.110555471953</v>
      </c>
      <c r="L123" s="180" t="n">
        <f aca="false">MAX(0,H123-I123-J123)</f>
        <v>854.579570269579</v>
      </c>
      <c r="M123" s="180" t="n">
        <f aca="false">MAX(0,L123*IFERROR(INDEX(TAB_IRPF_ALIQ,MATCH(L123,TAB_IRPF_BASE,1)),0)-IFERROR(INDEX(TAB_IRPF_DED,MATCH(L123,TAB_IRPF_BASE,1)),0))</f>
        <v>0</v>
      </c>
      <c r="N123" s="180" t="n">
        <f aca="false">H123-I123-J123-K123-M123</f>
        <v>698.469014797626</v>
      </c>
      <c r="O123" s="180" t="n">
        <f aca="false">IF(OR($A123=0,$A123&gt;IN_PRAZO,$B$5=0),0,IF(APORTE_CORRIGIDO="Sim",IN_APORTE*$D123,IN_APORTE))</f>
        <v>0</v>
      </c>
      <c r="P123" s="180" t="n">
        <f aca="false">IF($B$25=1,MAX(0,N123),0)</f>
        <v>698.469014797626</v>
      </c>
      <c r="Q123" s="180" t="n">
        <f aca="false">R122*$B$27</f>
        <v>472.543220775228</v>
      </c>
      <c r="R123" s="180" t="n">
        <f aca="false">R122+Q123+O123+P123</f>
        <v>56807.1852592486</v>
      </c>
      <c r="S123" s="180" t="n">
        <f aca="false">S122+O123+P123</f>
        <v>42657.7485827666</v>
      </c>
      <c r="T123" s="180" t="n">
        <f aca="false">MAX(0,IFERROR(INDEX(TAB_IR,MATCH($C123,TAB_IR_DIAS,1),MATCH("RF_REGR",TAB_IR_REGIMES,0)),0)*MAX(0,R123-S123))</f>
        <v>2122.4155014723</v>
      </c>
      <c r="U123" s="180" t="n">
        <f aca="false">E123*$B$22</f>
        <v>11239.9599939806</v>
      </c>
      <c r="V123" s="180" t="n">
        <f aca="false">IF($B$23=1,0,MAX(0,ALIQ_GANHO_CAP*MAX(0,E123-U123-$B$30)))</f>
        <v>3126.40598585443</v>
      </c>
      <c r="W123" s="181" t="n">
        <f aca="false">IF($B$5=0,0,E123-U123-V123+R123-T123)</f>
        <v>227651.070344285</v>
      </c>
      <c r="X123" s="180" t="n">
        <f aca="false">W123/$D123</f>
        <v>182283.53430046</v>
      </c>
      <c r="Y123" s="180" t="n">
        <f aca="false">IF($B$25=1,0,MAX(0,N123))</f>
        <v>0</v>
      </c>
      <c r="Z123" s="180" t="n">
        <f aca="false">Z122+O123</f>
        <v>155250</v>
      </c>
    </row>
    <row r="124" customFormat="false" ht="12" hidden="false" customHeight="true" outlineLevel="0" collapsed="false">
      <c r="A124" s="177" t="n">
        <v>69</v>
      </c>
      <c r="B124" s="178" t="n">
        <f aca="false">EDATE(DATA_INICIO,$A124)</f>
        <v>48357</v>
      </c>
      <c r="C124" s="177" t="n">
        <f aca="false">$A124*30</f>
        <v>2070</v>
      </c>
      <c r="D124" s="179" t="n">
        <f aca="false">(1+$B$29)^$A124</f>
        <v>1.25297296646258</v>
      </c>
      <c r="E124" s="180" t="n">
        <f aca="false">$B$6*(1+$B$21)^$A124</f>
        <v>187945.944969387</v>
      </c>
      <c r="F124" s="180" t="n">
        <f aca="false">IF($A124=0,0,$B$13*(1+$B$16)^($A124-1))</f>
        <v>1123.99599939806</v>
      </c>
      <c r="G124" s="180" t="n">
        <f aca="false">F124*$B$14</f>
        <v>89.9196799518449</v>
      </c>
      <c r="H124" s="180" t="n">
        <f aca="false">F124-G124</f>
        <v>1034.07631944622</v>
      </c>
      <c r="I124" s="180" t="n">
        <f aca="false">IF($A124=0,0,E124*$B$17/12)</f>
        <v>93.9729724846936</v>
      </c>
      <c r="J124" s="180" t="n">
        <f aca="false">H124*$B$19</f>
        <v>82.7261055556973</v>
      </c>
      <c r="K124" s="180" t="n">
        <f aca="false">IF($A124=0,0,E124*$B$18/12)</f>
        <v>156.621620807823</v>
      </c>
      <c r="L124" s="180" t="n">
        <f aca="false">MAX(0,H124-I124-J124)</f>
        <v>857.377241405825</v>
      </c>
      <c r="M124" s="180" t="n">
        <f aca="false">MAX(0,L124*IFERROR(INDEX(TAB_IRPF_ALIQ,MATCH(L124,TAB_IRPF_BASE,1)),0)-IFERROR(INDEX(TAB_IRPF_DED,MATCH(L124,TAB_IRPF_BASE,1)),0))</f>
        <v>0</v>
      </c>
      <c r="N124" s="180" t="n">
        <f aca="false">H124-I124-J124-K124-M124</f>
        <v>700.755620598003</v>
      </c>
      <c r="O124" s="180" t="n">
        <f aca="false">IF(OR($A124=0,$A124&gt;IN_PRAZO,$B$5=0),0,IF(APORTE_CORRIGIDO="Sim",IN_APORTE*$D124,IN_APORTE))</f>
        <v>0</v>
      </c>
      <c r="P124" s="180" t="n">
        <f aca="false">IF($B$25=1,MAX(0,N124),0)</f>
        <v>700.755620598003</v>
      </c>
      <c r="Q124" s="180" t="n">
        <f aca="false">R123*$B$27</f>
        <v>482.48915816257</v>
      </c>
      <c r="R124" s="180" t="n">
        <f aca="false">R123+Q124+O124+P124</f>
        <v>57990.4300380092</v>
      </c>
      <c r="S124" s="180" t="n">
        <f aca="false">S123+O124+P124</f>
        <v>43358.5042033646</v>
      </c>
      <c r="T124" s="180" t="n">
        <f aca="false">MAX(0,IFERROR(INDEX(TAB_IR,MATCH($C124,TAB_IR_DIAS,1),MATCH("RF_REGR",TAB_IR_REGIMES,0)),0)*MAX(0,R124-S124))</f>
        <v>2194.78887519668</v>
      </c>
      <c r="U124" s="180" t="n">
        <f aca="false">E124*$B$22</f>
        <v>11276.7566981632</v>
      </c>
      <c r="V124" s="180" t="n">
        <f aca="false">IF($B$23=1,0,MAX(0,ALIQ_GANHO_CAP*MAX(0,E124-U124-$B$30)))</f>
        <v>3212.87824068359</v>
      </c>
      <c r="W124" s="181" t="n">
        <f aca="false">IF($B$5=0,0,E124-U124-V124+R124-T124)</f>
        <v>229251.951193353</v>
      </c>
      <c r="X124" s="180" t="n">
        <f aca="false">W124/$D124</f>
        <v>182966.398581273</v>
      </c>
      <c r="Y124" s="180" t="n">
        <f aca="false">IF($B$25=1,0,MAX(0,N124))</f>
        <v>0</v>
      </c>
      <c r="Z124" s="180" t="n">
        <f aca="false">Z123+O124</f>
        <v>155250</v>
      </c>
    </row>
    <row r="125" customFormat="false" ht="12" hidden="false" customHeight="true" outlineLevel="0" collapsed="false">
      <c r="A125" s="177" t="n">
        <v>70</v>
      </c>
      <c r="B125" s="178" t="n">
        <f aca="false">EDATE(DATA_INICIO,$A125)</f>
        <v>48388</v>
      </c>
      <c r="C125" s="177" t="n">
        <f aca="false">$A125*30</f>
        <v>2100</v>
      </c>
      <c r="D125" s="179" t="n">
        <f aca="false">(1+$B$29)^$A125</f>
        <v>1.25707487390891</v>
      </c>
      <c r="E125" s="180" t="n">
        <f aca="false">$B$6*(1+$B$21)^$A125</f>
        <v>188561.231086336</v>
      </c>
      <c r="F125" s="180" t="n">
        <f aca="false">IF($A125=0,0,$B$13*(1+$B$16)^($A125-1))</f>
        <v>1127.67566981632</v>
      </c>
      <c r="G125" s="180" t="n">
        <f aca="false">F125*$B$14</f>
        <v>90.2140535853058</v>
      </c>
      <c r="H125" s="180" t="n">
        <f aca="false">F125-G125</f>
        <v>1037.46161623102</v>
      </c>
      <c r="I125" s="180" t="n">
        <f aca="false">IF($A125=0,0,E125*$B$17/12)</f>
        <v>94.2806155431682</v>
      </c>
      <c r="J125" s="180" t="n">
        <f aca="false">H125*$B$19</f>
        <v>82.9969292984814</v>
      </c>
      <c r="K125" s="180" t="n">
        <f aca="false">IF($A125=0,0,E125*$B$18/12)</f>
        <v>157.134359238614</v>
      </c>
      <c r="L125" s="180" t="n">
        <f aca="false">MAX(0,H125-I125-J125)</f>
        <v>860.184071389367</v>
      </c>
      <c r="M125" s="180" t="n">
        <f aca="false">MAX(0,L125*IFERROR(INDEX(TAB_IRPF_ALIQ,MATCH(L125,TAB_IRPF_BASE,1)),0)-IFERROR(INDEX(TAB_IRPF_DED,MATCH(L125,TAB_IRPF_BASE,1)),0))</f>
        <v>0</v>
      </c>
      <c r="N125" s="180" t="n">
        <f aca="false">H125-I125-J125-K125-M125</f>
        <v>703.049712150754</v>
      </c>
      <c r="O125" s="180" t="n">
        <f aca="false">IF(OR($A125=0,$A125&gt;IN_PRAZO,$B$5=0),0,IF(APORTE_CORRIGIDO="Sim",IN_APORTE*$D125,IN_APORTE))</f>
        <v>0</v>
      </c>
      <c r="P125" s="180" t="n">
        <f aca="false">IF($B$25=1,MAX(0,N125),0)</f>
        <v>703.049712150754</v>
      </c>
      <c r="Q125" s="180" t="n">
        <f aca="false">R124*$B$27</f>
        <v>492.538992080569</v>
      </c>
      <c r="R125" s="180" t="n">
        <f aca="false">R124+Q125+O125+P125</f>
        <v>59186.0187422405</v>
      </c>
      <c r="S125" s="180" t="n">
        <f aca="false">S124+O125+P125</f>
        <v>44061.5539155154</v>
      </c>
      <c r="T125" s="180" t="n">
        <f aca="false">MAX(0,IFERROR(INDEX(TAB_IR,MATCH($C125,TAB_IR_DIAS,1),MATCH("RF_REGR",TAB_IR_REGIMES,0)),0)*MAX(0,R125-S125))</f>
        <v>2268.66972400877</v>
      </c>
      <c r="U125" s="180" t="n">
        <f aca="false">E125*$B$22</f>
        <v>11313.6738651802</v>
      </c>
      <c r="V125" s="180" t="n">
        <f aca="false">IF($B$23=1,0,MAX(0,ALIQ_GANHO_CAP*MAX(0,E125-U125-$B$30)))</f>
        <v>3299.63358317344</v>
      </c>
      <c r="W125" s="181" t="n">
        <f aca="false">IF($B$5=0,0,E125-U125-V125+R125-T125)</f>
        <v>230865.272656215</v>
      </c>
      <c r="X125" s="180" t="n">
        <f aca="false">W125/$D125</f>
        <v>183652.762017534</v>
      </c>
      <c r="Y125" s="180" t="n">
        <f aca="false">IF($B$25=1,0,MAX(0,N125))</f>
        <v>0</v>
      </c>
      <c r="Z125" s="180" t="n">
        <f aca="false">Z124+O125</f>
        <v>155250</v>
      </c>
    </row>
    <row r="126" customFormat="false" ht="12" hidden="false" customHeight="true" outlineLevel="0" collapsed="false">
      <c r="A126" s="177" t="n">
        <v>71</v>
      </c>
      <c r="B126" s="178" t="n">
        <f aca="false">EDATE(DATA_INICIO,$A126)</f>
        <v>48418</v>
      </c>
      <c r="C126" s="177" t="n">
        <f aca="false">$A126*30</f>
        <v>2130</v>
      </c>
      <c r="D126" s="179" t="n">
        <f aca="false">(1+$B$29)^$A126</f>
        <v>1.26119020993283</v>
      </c>
      <c r="E126" s="180" t="n">
        <f aca="false">$B$6*(1+$B$21)^$A126</f>
        <v>189178.531489924</v>
      </c>
      <c r="F126" s="180" t="n">
        <f aca="false">IF($A126=0,0,$B$13*(1+$B$16)^($A126-1))</f>
        <v>1131.36738651802</v>
      </c>
      <c r="G126" s="180" t="n">
        <f aca="false">F126*$B$14</f>
        <v>90.5093909214415</v>
      </c>
      <c r="H126" s="180" t="n">
        <f aca="false">F126-G126</f>
        <v>1040.85799559658</v>
      </c>
      <c r="I126" s="180" t="n">
        <f aca="false">IF($A126=0,0,E126*$B$17/12)</f>
        <v>94.5892657449621</v>
      </c>
      <c r="J126" s="180" t="n">
        <f aca="false">H126*$B$19</f>
        <v>83.2686396477262</v>
      </c>
      <c r="K126" s="180" t="n">
        <f aca="false">IF($A126=0,0,E126*$B$18/12)</f>
        <v>157.648776241603</v>
      </c>
      <c r="L126" s="180" t="n">
        <f aca="false">MAX(0,H126-I126-J126)</f>
        <v>863.000090203889</v>
      </c>
      <c r="M126" s="180" t="n">
        <f aca="false">MAX(0,L126*IFERROR(INDEX(TAB_IRPF_ALIQ,MATCH(L126,TAB_IRPF_BASE,1)),0)-IFERROR(INDEX(TAB_IRPF_DED,MATCH(L126,TAB_IRPF_BASE,1)),0))</f>
        <v>0</v>
      </c>
      <c r="N126" s="180" t="n">
        <f aca="false">H126-I126-J126-K126-M126</f>
        <v>705.351313962285</v>
      </c>
      <c r="O126" s="180" t="n">
        <f aca="false">IF(OR($A126=0,$A126&gt;IN_PRAZO,$B$5=0),0,IF(APORTE_CORRIGIDO="Sim",IN_APORTE*$D126,IN_APORTE))</f>
        <v>0</v>
      </c>
      <c r="P126" s="180" t="n">
        <f aca="false">IF($B$25=1,MAX(0,N126),0)</f>
        <v>705.351313962285</v>
      </c>
      <c r="Q126" s="180" t="n">
        <f aca="false">R125*$B$27</f>
        <v>502.693668549411</v>
      </c>
      <c r="R126" s="180" t="n">
        <f aca="false">R125+Q126+O126+P126</f>
        <v>60394.0637247522</v>
      </c>
      <c r="S126" s="180" t="n">
        <f aca="false">S125+O126+P126</f>
        <v>44766.9052294777</v>
      </c>
      <c r="T126" s="180" t="n">
        <f aca="false">MAX(0,IFERROR(INDEX(TAB_IR,MATCH($C126,TAB_IR_DIAS,1),MATCH("RF_REGR",TAB_IR_REGIMES,0)),0)*MAX(0,R126-S126))</f>
        <v>2344.07377429118</v>
      </c>
      <c r="U126" s="180" t="n">
        <f aca="false">E126*$B$22</f>
        <v>11350.7118893954</v>
      </c>
      <c r="V126" s="180" t="n">
        <f aca="false">IF($B$23=1,0,MAX(0,ALIQ_GANHO_CAP*MAX(0,E126-U126-$B$30)))</f>
        <v>3386.6729400793</v>
      </c>
      <c r="W126" s="181" t="n">
        <f aca="false">IF($B$5=0,0,E126-U126-V126+R126-T126)</f>
        <v>232491.13661091</v>
      </c>
      <c r="X126" s="180" t="n">
        <f aca="false">W126/$D126</f>
        <v>184342.642989033</v>
      </c>
      <c r="Y126" s="180" t="n">
        <f aca="false">IF($B$25=1,0,MAX(0,N126))</f>
        <v>0</v>
      </c>
      <c r="Z126" s="180" t="n">
        <f aca="false">Z125+O126</f>
        <v>155250</v>
      </c>
    </row>
    <row r="127" customFormat="false" ht="12" hidden="false" customHeight="true" outlineLevel="0" collapsed="false">
      <c r="A127" s="177" t="n">
        <v>72</v>
      </c>
      <c r="B127" s="178" t="n">
        <f aca="false">EDATE(DATA_INICIO,$A127)</f>
        <v>48449</v>
      </c>
      <c r="C127" s="177" t="n">
        <f aca="false">$A127*30</f>
        <v>2160</v>
      </c>
      <c r="D127" s="179" t="n">
        <f aca="false">(1+$B$29)^$A127</f>
        <v>1.265319018496</v>
      </c>
      <c r="E127" s="180" t="n">
        <f aca="false">$B$6*(1+$B$21)^$A127</f>
        <v>189797.852774401</v>
      </c>
      <c r="F127" s="180" t="n">
        <f aca="false">IF($A127=0,0,$B$13*(1+$B$16)^($A127-1))</f>
        <v>1135.07118893954</v>
      </c>
      <c r="G127" s="180" t="n">
        <f aca="false">F127*$B$14</f>
        <v>90.8056951151636</v>
      </c>
      <c r="H127" s="180" t="n">
        <f aca="false">F127-G127</f>
        <v>1044.26549382438</v>
      </c>
      <c r="I127" s="180" t="n">
        <f aca="false">IF($A127=0,0,E127*$B$17/12)</f>
        <v>94.8989263872004</v>
      </c>
      <c r="J127" s="180" t="n">
        <f aca="false">H127*$B$19</f>
        <v>83.5412395059505</v>
      </c>
      <c r="K127" s="180" t="n">
        <f aca="false">IF($A127=0,0,E127*$B$18/12)</f>
        <v>158.164877312001</v>
      </c>
      <c r="L127" s="180" t="n">
        <f aca="false">MAX(0,H127-I127-J127)</f>
        <v>865.82532793123</v>
      </c>
      <c r="M127" s="180" t="n">
        <f aca="false">MAX(0,L127*IFERROR(INDEX(TAB_IRPF_ALIQ,MATCH(L127,TAB_IRPF_BASE,1)),0)-IFERROR(INDEX(TAB_IRPF_DED,MATCH(L127,TAB_IRPF_BASE,1)),0))</f>
        <v>0</v>
      </c>
      <c r="N127" s="180" t="n">
        <f aca="false">H127-I127-J127-K127-M127</f>
        <v>707.66045061923</v>
      </c>
      <c r="O127" s="180" t="n">
        <f aca="false">IF(OR($A127=0,$A127&gt;IN_PRAZO,$B$5=0),0,IF(APORTE_CORRIGIDO="Sim",IN_APORTE*$D127,IN_APORTE))</f>
        <v>0</v>
      </c>
      <c r="P127" s="180" t="n">
        <f aca="false">IF($B$25=1,MAX(0,N127),0)</f>
        <v>707.66045061923</v>
      </c>
      <c r="Q127" s="180" t="n">
        <f aca="false">R126*$B$27</f>
        <v>512.954141832405</v>
      </c>
      <c r="R127" s="180" t="n">
        <f aca="false">R126+Q127+O127+P127</f>
        <v>61614.6783172039</v>
      </c>
      <c r="S127" s="180" t="n">
        <f aca="false">S126+O127+P127</f>
        <v>45474.5656800969</v>
      </c>
      <c r="T127" s="180" t="n">
        <f aca="false">MAX(0,IFERROR(INDEX(TAB_IR,MATCH($C127,TAB_IR_DIAS,1),MATCH("RF_REGR",TAB_IR_REGIMES,0)),0)*MAX(0,R127-S127))</f>
        <v>2421.01689556604</v>
      </c>
      <c r="U127" s="180" t="n">
        <f aca="false">E127*$B$22</f>
        <v>11387.871166464</v>
      </c>
      <c r="V127" s="180" t="n">
        <f aca="false">IF($B$23=1,0,MAX(0,ALIQ_GANHO_CAP*MAX(0,E127-U127-$B$30)))</f>
        <v>3473.9972411905</v>
      </c>
      <c r="W127" s="181" t="n">
        <f aca="false">IF($B$5=0,0,E127-U127-V127+R127-T127)</f>
        <v>234129.645788384</v>
      </c>
      <c r="X127" s="180" t="n">
        <f aca="false">W127/$D127</f>
        <v>185036.059970613</v>
      </c>
      <c r="Y127" s="180" t="n">
        <f aca="false">IF($B$25=1,0,MAX(0,N127))</f>
        <v>0</v>
      </c>
      <c r="Z127" s="180" t="n">
        <f aca="false">Z126+O127</f>
        <v>155250</v>
      </c>
    </row>
    <row r="128" customFormat="false" ht="12" hidden="false" customHeight="true" outlineLevel="0" collapsed="false">
      <c r="A128" s="177" t="n">
        <v>73</v>
      </c>
      <c r="B128" s="178" t="n">
        <f aca="false">EDATE(DATA_INICIO,$A128)</f>
        <v>48480</v>
      </c>
      <c r="C128" s="177" t="n">
        <f aca="false">$A128*30</f>
        <v>2190</v>
      </c>
      <c r="D128" s="179" t="n">
        <f aca="false">(1+$B$29)^$A128</f>
        <v>1.26946134370403</v>
      </c>
      <c r="E128" s="180" t="n">
        <f aca="false">$B$6*(1+$B$21)^$A128</f>
        <v>190419.201555604</v>
      </c>
      <c r="F128" s="180" t="n">
        <f aca="false">IF($A128=0,0,$B$13*(1+$B$16)^($A128-1))</f>
        <v>1138.7871166464</v>
      </c>
      <c r="G128" s="180" t="n">
        <f aca="false">F128*$B$14</f>
        <v>91.1029693317123</v>
      </c>
      <c r="H128" s="180" t="n">
        <f aca="false">F128-G128</f>
        <v>1047.68414731469</v>
      </c>
      <c r="I128" s="180" t="n">
        <f aca="false">IF($A128=0,0,E128*$B$17/12)</f>
        <v>95.2096007778021</v>
      </c>
      <c r="J128" s="180" t="n">
        <f aca="false">H128*$B$19</f>
        <v>83.8147317851754</v>
      </c>
      <c r="K128" s="180" t="n">
        <f aca="false">IF($A128=0,0,E128*$B$18/12)</f>
        <v>158.682667963003</v>
      </c>
      <c r="L128" s="180" t="n">
        <f aca="false">MAX(0,H128-I128-J128)</f>
        <v>868.659814751715</v>
      </c>
      <c r="M128" s="180" t="n">
        <f aca="false">MAX(0,L128*IFERROR(INDEX(TAB_IRPF_ALIQ,MATCH(L128,TAB_IRPF_BASE,1)),0)-IFERROR(INDEX(TAB_IRPF_DED,MATCH(L128,TAB_IRPF_BASE,1)),0))</f>
        <v>0</v>
      </c>
      <c r="N128" s="180" t="n">
        <f aca="false">H128-I128-J128-K128-M128</f>
        <v>709.977146788711</v>
      </c>
      <c r="O128" s="180" t="n">
        <f aca="false">IF(OR($A128=0,$A128&gt;IN_PRAZO,$B$5=0),0,IF(APORTE_CORRIGIDO="Sim",IN_APORTE*$D128,IN_APORTE))</f>
        <v>0</v>
      </c>
      <c r="P128" s="180" t="n">
        <f aca="false">IF($B$25=1,MAX(0,N128),0)</f>
        <v>709.977146788711</v>
      </c>
      <c r="Q128" s="180" t="n">
        <f aca="false">R127*$B$27</f>
        <v>523.321374506674</v>
      </c>
      <c r="R128" s="180" t="n">
        <f aca="false">R127+Q128+O128+P128</f>
        <v>62847.9768384992</v>
      </c>
      <c r="S128" s="180" t="n">
        <f aca="false">S127+O128+P128</f>
        <v>46184.5428268856</v>
      </c>
      <c r="T128" s="180" t="n">
        <f aca="false">MAX(0,IFERROR(INDEX(TAB_IR,MATCH($C128,TAB_IR_DIAS,1),MATCH("RF_REGR",TAB_IR_REGIMES,0)),0)*MAX(0,R128-S128))</f>
        <v>2499.51510174204</v>
      </c>
      <c r="U128" s="180" t="n">
        <f aca="false">E128*$B$22</f>
        <v>11425.1520933363</v>
      </c>
      <c r="V128" s="180" t="n">
        <f aca="false">IF($B$23=1,0,MAX(0,ALIQ_GANHO_CAP*MAX(0,E128-U128-$B$30)))</f>
        <v>3561.60741934019</v>
      </c>
      <c r="W128" s="181" t="n">
        <f aca="false">IF($B$5=0,0,E128-U128-V128+R128-T128)</f>
        <v>235780.903779685</v>
      </c>
      <c r="X128" s="180" t="n">
        <f aca="false">W128/$D128</f>
        <v>185733.031532669</v>
      </c>
      <c r="Y128" s="180" t="n">
        <f aca="false">IF($B$25=1,0,MAX(0,N128))</f>
        <v>0</v>
      </c>
      <c r="Z128" s="180" t="n">
        <f aca="false">Z127+O128</f>
        <v>155250</v>
      </c>
    </row>
    <row r="129" customFormat="false" ht="12" hidden="false" customHeight="true" outlineLevel="0" collapsed="false">
      <c r="A129" s="177" t="n">
        <v>74</v>
      </c>
      <c r="B129" s="178" t="n">
        <f aca="false">EDATE(DATA_INICIO,$A129)</f>
        <v>48510</v>
      </c>
      <c r="C129" s="177" t="n">
        <f aca="false">$A129*30</f>
        <v>2220</v>
      </c>
      <c r="D129" s="179" t="n">
        <f aca="false">(1+$B$29)^$A129</f>
        <v>1.27361722980688</v>
      </c>
      <c r="E129" s="180" t="n">
        <f aca="false">$B$6*(1+$B$21)^$A129</f>
        <v>191042.584471031</v>
      </c>
      <c r="F129" s="180" t="n">
        <f aca="false">IF($A129=0,0,$B$13*(1+$B$16)^($A129-1))</f>
        <v>1142.51520933363</v>
      </c>
      <c r="G129" s="180" t="n">
        <f aca="false">F129*$B$14</f>
        <v>91.40121674669</v>
      </c>
      <c r="H129" s="180" t="n">
        <f aca="false">F129-G129</f>
        <v>1051.11399258694</v>
      </c>
      <c r="I129" s="180" t="n">
        <f aca="false">IF($A129=0,0,E129*$B$17/12)</f>
        <v>95.5212922355157</v>
      </c>
      <c r="J129" s="180" t="n">
        <f aca="false">H129*$B$19</f>
        <v>84.0891194069548</v>
      </c>
      <c r="K129" s="180" t="n">
        <f aca="false">IF($A129=0,0,E129*$B$18/12)</f>
        <v>159.202153725859</v>
      </c>
      <c r="L129" s="180" t="n">
        <f aca="false">MAX(0,H129-I129-J129)</f>
        <v>871.503580944465</v>
      </c>
      <c r="M129" s="180" t="n">
        <f aca="false">MAX(0,L129*IFERROR(INDEX(TAB_IRPF_ALIQ,MATCH(L129,TAB_IRPF_BASE,1)),0)-IFERROR(INDEX(TAB_IRPF_DED,MATCH(L129,TAB_IRPF_BASE,1)),0))</f>
        <v>0</v>
      </c>
      <c r="N129" s="180" t="n">
        <f aca="false">H129-I129-J129-K129-M129</f>
        <v>712.301427218605</v>
      </c>
      <c r="O129" s="180" t="n">
        <f aca="false">IF(OR($A129=0,$A129&gt;IN_PRAZO,$B$5=0),0,IF(APORTE_CORRIGIDO="Sim",IN_APORTE*$D129,IN_APORTE))</f>
        <v>0</v>
      </c>
      <c r="P129" s="180" t="n">
        <f aca="false">IF($B$25=1,MAX(0,N129),0)</f>
        <v>712.301427218605</v>
      </c>
      <c r="Q129" s="180" t="n">
        <f aca="false">R128*$B$27</f>
        <v>533.796337534455</v>
      </c>
      <c r="R129" s="180" t="n">
        <f aca="false">R128+Q129+O129+P129</f>
        <v>64094.0746032523</v>
      </c>
      <c r="S129" s="180" t="n">
        <f aca="false">S128+O129+P129</f>
        <v>46896.8442541042</v>
      </c>
      <c r="T129" s="180" t="n">
        <f aca="false">MAX(0,IFERROR(INDEX(TAB_IR,MATCH($C129,TAB_IR_DIAS,1),MATCH("RF_REGR",TAB_IR_REGIMES,0)),0)*MAX(0,R129-S129))</f>
        <v>2579.58455237221</v>
      </c>
      <c r="U129" s="180" t="n">
        <f aca="false">E129*$B$22</f>
        <v>11462.5550682619</v>
      </c>
      <c r="V129" s="180" t="n">
        <f aca="false">IF($B$23=1,0,MAX(0,ALIQ_GANHO_CAP*MAX(0,E129-U129-$B$30)))</f>
        <v>3649.50441041541</v>
      </c>
      <c r="W129" s="181" t="n">
        <f aca="false">IF($B$5=0,0,E129-U129-V129+R129-T129)</f>
        <v>237445.015043234</v>
      </c>
      <c r="X129" s="180" t="n">
        <f aca="false">W129/$D129</f>
        <v>186433.576341645</v>
      </c>
      <c r="Y129" s="180" t="n">
        <f aca="false">IF($B$25=1,0,MAX(0,N129))</f>
        <v>0</v>
      </c>
      <c r="Z129" s="180" t="n">
        <f aca="false">Z128+O129</f>
        <v>155250</v>
      </c>
    </row>
    <row r="130" customFormat="false" ht="12" hidden="false" customHeight="true" outlineLevel="0" collapsed="false">
      <c r="A130" s="177" t="n">
        <v>75</v>
      </c>
      <c r="B130" s="178" t="n">
        <f aca="false">EDATE(DATA_INICIO,$A130)</f>
        <v>48541</v>
      </c>
      <c r="C130" s="177" t="n">
        <f aca="false">$A130*30</f>
        <v>2250</v>
      </c>
      <c r="D130" s="179" t="n">
        <f aca="false">(1+$B$29)^$A130</f>
        <v>1.27778672119939</v>
      </c>
      <c r="E130" s="180" t="n">
        <f aca="false">$B$6*(1+$B$21)^$A130</f>
        <v>191668.008179908</v>
      </c>
      <c r="F130" s="180" t="n">
        <f aca="false">IF($A130=0,0,$B$13*(1+$B$16)^($A130-1))</f>
        <v>1146.25550682619</v>
      </c>
      <c r="G130" s="180" t="n">
        <f aca="false">F130*$B$14</f>
        <v>91.700440546095</v>
      </c>
      <c r="H130" s="180" t="n">
        <f aca="false">F130-G130</f>
        <v>1054.55506628009</v>
      </c>
      <c r="I130" s="180" t="n">
        <f aca="false">IF($A130=0,0,E130*$B$17/12)</f>
        <v>95.8340040899541</v>
      </c>
      <c r="J130" s="180" t="n">
        <f aca="false">H130*$B$19</f>
        <v>84.3644053024074</v>
      </c>
      <c r="K130" s="180" t="n">
        <f aca="false">IF($A130=0,0,E130*$B$18/12)</f>
        <v>159.723340149924</v>
      </c>
      <c r="L130" s="180" t="n">
        <f aca="false">MAX(0,H130-I130-J130)</f>
        <v>874.356656887731</v>
      </c>
      <c r="M130" s="180" t="n">
        <f aca="false">MAX(0,L130*IFERROR(INDEX(TAB_IRPF_ALIQ,MATCH(L130,TAB_IRPF_BASE,1)),0)-IFERROR(INDEX(TAB_IRPF_DED,MATCH(L130,TAB_IRPF_BASE,1)),0))</f>
        <v>0</v>
      </c>
      <c r="N130" s="180" t="n">
        <f aca="false">H130-I130-J130-K130-M130</f>
        <v>714.633316737808</v>
      </c>
      <c r="O130" s="180" t="n">
        <f aca="false">IF(OR($A130=0,$A130&gt;IN_PRAZO,$B$5=0),0,IF(APORTE_CORRIGIDO="Sim",IN_APORTE*$D130,IN_APORTE))</f>
        <v>0</v>
      </c>
      <c r="P130" s="180" t="n">
        <f aca="false">IF($B$25=1,MAX(0,N130),0)</f>
        <v>714.633316737808</v>
      </c>
      <c r="Q130" s="180" t="n">
        <f aca="false">R129*$B$27</f>
        <v>544.380010335002</v>
      </c>
      <c r="R130" s="180" t="n">
        <f aca="false">R129+Q130+O130+P130</f>
        <v>65353.0879303251</v>
      </c>
      <c r="S130" s="180" t="n">
        <f aca="false">S129+O130+P130</f>
        <v>47611.477570842</v>
      </c>
      <c r="T130" s="180" t="n">
        <f aca="false">MAX(0,IFERROR(INDEX(TAB_IR,MATCH($C130,TAB_IR_DIAS,1),MATCH("RF_REGR",TAB_IR_REGIMES,0)),0)*MAX(0,R130-S130))</f>
        <v>2661.24155392246</v>
      </c>
      <c r="U130" s="180" t="n">
        <f aca="false">E130*$B$22</f>
        <v>11500.0804907945</v>
      </c>
      <c r="V130" s="180" t="n">
        <f aca="false">IF($B$23=1,0,MAX(0,ALIQ_GANHO_CAP*MAX(0,E130-U130-$B$30)))</f>
        <v>3737.68915336706</v>
      </c>
      <c r="W130" s="181" t="n">
        <f aca="false">IF($B$5=0,0,E130-U130-V130+R130-T130)</f>
        <v>239122.084912149</v>
      </c>
      <c r="X130" s="180" t="n">
        <f aca="false">W130/$D130</f>
        <v>187137.713160533</v>
      </c>
      <c r="Y130" s="180" t="n">
        <f aca="false">IF($B$25=1,0,MAX(0,N130))</f>
        <v>0</v>
      </c>
      <c r="Z130" s="180" t="n">
        <f aca="false">Z129+O130</f>
        <v>155250</v>
      </c>
    </row>
    <row r="131" customFormat="false" ht="12" hidden="false" customHeight="true" outlineLevel="0" collapsed="false">
      <c r="A131" s="177" t="n">
        <v>76</v>
      </c>
      <c r="B131" s="178" t="n">
        <f aca="false">EDATE(DATA_INICIO,$A131)</f>
        <v>48571</v>
      </c>
      <c r="C131" s="177" t="n">
        <f aca="false">$A131*30</f>
        <v>2280</v>
      </c>
      <c r="D131" s="179" t="n">
        <f aca="false">(1+$B$29)^$A131</f>
        <v>1.28196986242174</v>
      </c>
      <c r="E131" s="180" t="n">
        <f aca="false">$B$6*(1+$B$21)^$A131</f>
        <v>192295.479363262</v>
      </c>
      <c r="F131" s="180" t="n">
        <f aca="false">IF($A131=0,0,$B$13*(1+$B$16)^($A131-1))</f>
        <v>1150.00804907945</v>
      </c>
      <c r="G131" s="180" t="n">
        <f aca="false">F131*$B$14</f>
        <v>92.0006439263559</v>
      </c>
      <c r="H131" s="180" t="n">
        <f aca="false">F131-G131</f>
        <v>1058.00740515309</v>
      </c>
      <c r="I131" s="180" t="n">
        <f aca="false">IF($A131=0,0,E131*$B$17/12)</f>
        <v>96.1477396816308</v>
      </c>
      <c r="J131" s="180" t="n">
        <f aca="false">H131*$B$19</f>
        <v>84.6405924122475</v>
      </c>
      <c r="K131" s="180" t="n">
        <f aca="false">IF($A131=0,0,E131*$B$18/12)</f>
        <v>160.246232802718</v>
      </c>
      <c r="L131" s="180" t="n">
        <f aca="false">MAX(0,H131-I131-J131)</f>
        <v>877.219073059215</v>
      </c>
      <c r="M131" s="180" t="n">
        <f aca="false">MAX(0,L131*IFERROR(INDEX(TAB_IRPF_ALIQ,MATCH(L131,TAB_IRPF_BASE,1)),0)-IFERROR(INDEX(TAB_IRPF_DED,MATCH(L131,TAB_IRPF_BASE,1)),0))</f>
        <v>0</v>
      </c>
      <c r="N131" s="180" t="n">
        <f aca="false">H131-I131-J131-K131-M131</f>
        <v>716.972840256497</v>
      </c>
      <c r="O131" s="180" t="n">
        <f aca="false">IF(OR($A131=0,$A131&gt;IN_PRAZO,$B$5=0),0,IF(APORTE_CORRIGIDO="Sim",IN_APORTE*$D131,IN_APORTE))</f>
        <v>0</v>
      </c>
      <c r="P131" s="180" t="n">
        <f aca="false">IF($B$25=1,MAX(0,N131),0)</f>
        <v>716.972840256497</v>
      </c>
      <c r="Q131" s="180" t="n">
        <f aca="false">R130*$B$27</f>
        <v>555.073380857104</v>
      </c>
      <c r="R131" s="180" t="n">
        <f aca="false">R130+Q131+O131+P131</f>
        <v>66625.1341514387</v>
      </c>
      <c r="S131" s="180" t="n">
        <f aca="false">S130+O131+P131</f>
        <v>48328.4504110985</v>
      </c>
      <c r="T131" s="180" t="n">
        <f aca="false">MAX(0,IFERROR(INDEX(TAB_IR,MATCH($C131,TAB_IR_DIAS,1),MATCH("RF_REGR",TAB_IR_REGIMES,0)),0)*MAX(0,R131-S131))</f>
        <v>2744.50256105103</v>
      </c>
      <c r="U131" s="180" t="n">
        <f aca="false">E131*$B$22</f>
        <v>11537.7287617957</v>
      </c>
      <c r="V131" s="180" t="n">
        <f aca="false">IF($B$23=1,0,MAX(0,ALIQ_GANHO_CAP*MAX(0,E131-U131-$B$30)))</f>
        <v>3826.16259021989</v>
      </c>
      <c r="W131" s="181" t="n">
        <f aca="false">IF($B$5=0,0,E131-U131-V131+R131-T131)</f>
        <v>240812.219601634</v>
      </c>
      <c r="X131" s="180" t="n">
        <f aca="false">W131/$D131</f>
        <v>187845.460849384</v>
      </c>
      <c r="Y131" s="180" t="n">
        <f aca="false">IF($B$25=1,0,MAX(0,N131))</f>
        <v>0</v>
      </c>
      <c r="Z131" s="180" t="n">
        <f aca="false">Z130+O131</f>
        <v>155250</v>
      </c>
    </row>
    <row r="132" customFormat="false" ht="12" hidden="false" customHeight="true" outlineLevel="0" collapsed="false">
      <c r="A132" s="177" t="n">
        <v>77</v>
      </c>
      <c r="B132" s="178" t="n">
        <f aca="false">EDATE(DATA_INICIO,$A132)</f>
        <v>48602</v>
      </c>
      <c r="C132" s="177" t="n">
        <f aca="false">$A132*30</f>
        <v>2310</v>
      </c>
      <c r="D132" s="179" t="n">
        <f aca="false">(1+$B$29)^$A132</f>
        <v>1.28616669815993</v>
      </c>
      <c r="E132" s="180" t="n">
        <f aca="false">$B$6*(1+$B$21)^$A132</f>
        <v>192925.00472399</v>
      </c>
      <c r="F132" s="180" t="n">
        <f aca="false">IF($A132=0,0,$B$13*(1+$B$16)^($A132-1))</f>
        <v>1153.77287617957</v>
      </c>
      <c r="G132" s="180" t="n">
        <f aca="false">F132*$B$14</f>
        <v>92.3018300943656</v>
      </c>
      <c r="H132" s="180" t="n">
        <f aca="false">F132-G132</f>
        <v>1061.4710460852</v>
      </c>
      <c r="I132" s="180" t="n">
        <f aca="false">IF($A132=0,0,E132*$B$17/12)</f>
        <v>96.4625023619951</v>
      </c>
      <c r="J132" s="180" t="n">
        <f aca="false">H132*$B$19</f>
        <v>84.9176836868163</v>
      </c>
      <c r="K132" s="180" t="n">
        <f aca="false">IF($A132=0,0,E132*$B$18/12)</f>
        <v>160.770837269992</v>
      </c>
      <c r="L132" s="180" t="n">
        <f aca="false">MAX(0,H132-I132-J132)</f>
        <v>880.090860036393</v>
      </c>
      <c r="M132" s="180" t="n">
        <f aca="false">MAX(0,L132*IFERROR(INDEX(TAB_IRPF_ALIQ,MATCH(L132,TAB_IRPF_BASE,1)),0)-IFERROR(INDEX(TAB_IRPF_DED,MATCH(L132,TAB_IRPF_BASE,1)),0))</f>
        <v>0</v>
      </c>
      <c r="N132" s="180" t="n">
        <f aca="false">H132-I132-J132-K132-M132</f>
        <v>719.320022766401</v>
      </c>
      <c r="O132" s="180" t="n">
        <f aca="false">IF(OR($A132=0,$A132&gt;IN_PRAZO,$B$5=0),0,IF(APORTE_CORRIGIDO="Sim",IN_APORTE*$D132,IN_APORTE))</f>
        <v>0</v>
      </c>
      <c r="P132" s="180" t="n">
        <f aca="false">IF($B$25=1,MAX(0,N132),0)</f>
        <v>719.320022766401</v>
      </c>
      <c r="Q132" s="180" t="n">
        <f aca="false">R131*$B$27</f>
        <v>565.877445652218</v>
      </c>
      <c r="R132" s="180" t="n">
        <f aca="false">R131+Q132+O132+P132</f>
        <v>67910.3316198573</v>
      </c>
      <c r="S132" s="180" t="n">
        <f aca="false">S131+O132+P132</f>
        <v>49047.7704338649</v>
      </c>
      <c r="T132" s="180" t="n">
        <f aca="false">MAX(0,IFERROR(INDEX(TAB_IR,MATCH($C132,TAB_IR_DIAS,1),MATCH("RF_REGR",TAB_IR_REGIMES,0)),0)*MAX(0,R132-S132))</f>
        <v>2829.38417789886</v>
      </c>
      <c r="U132" s="180" t="n">
        <f aca="false">E132*$B$22</f>
        <v>11575.5002834394</v>
      </c>
      <c r="V132" s="180" t="n">
        <f aca="false">IF($B$23=1,0,MAX(0,ALIQ_GANHO_CAP*MAX(0,E132-U132-$B$30)))</f>
        <v>3914.92566608261</v>
      </c>
      <c r="W132" s="181" t="n">
        <f aca="false">IF($B$5=0,0,E132-U132-V132+R132-T132)</f>
        <v>242515.526216427</v>
      </c>
      <c r="X132" s="180" t="n">
        <f aca="false">W132/$D132</f>
        <v>188556.838365807</v>
      </c>
      <c r="Y132" s="180" t="n">
        <f aca="false">IF($B$25=1,0,MAX(0,N132))</f>
        <v>0</v>
      </c>
      <c r="Z132" s="180" t="n">
        <f aca="false">Z131+O132</f>
        <v>155250</v>
      </c>
    </row>
    <row r="133" customFormat="false" ht="12" hidden="false" customHeight="true" outlineLevel="0" collapsed="false">
      <c r="A133" s="177" t="n">
        <v>78</v>
      </c>
      <c r="B133" s="178" t="n">
        <f aca="false">EDATE(DATA_INICIO,$A133)</f>
        <v>48633</v>
      </c>
      <c r="C133" s="177" t="n">
        <f aca="false">$A133*30</f>
        <v>2340</v>
      </c>
      <c r="D133" s="179" t="n">
        <f aca="false">(1+$B$29)^$A133</f>
        <v>1.29037727324624</v>
      </c>
      <c r="E133" s="180" t="n">
        <f aca="false">$B$6*(1+$B$21)^$A133</f>
        <v>193556.590986936</v>
      </c>
      <c r="F133" s="180" t="n">
        <f aca="false">IF($A133=0,0,$B$13*(1+$B$16)^($A133-1))</f>
        <v>1157.55002834394</v>
      </c>
      <c r="G133" s="180" t="n">
        <f aca="false">F133*$B$14</f>
        <v>92.6040022675153</v>
      </c>
      <c r="H133" s="180" t="n">
        <f aca="false">F133-G133</f>
        <v>1064.94602607643</v>
      </c>
      <c r="I133" s="180" t="n">
        <f aca="false">IF($A133=0,0,E133*$B$17/12)</f>
        <v>96.778295493468</v>
      </c>
      <c r="J133" s="180" t="n">
        <f aca="false">H133*$B$19</f>
        <v>85.1956820861141</v>
      </c>
      <c r="K133" s="180" t="n">
        <f aca="false">IF($A133=0,0,E133*$B$18/12)</f>
        <v>161.29715915578</v>
      </c>
      <c r="L133" s="180" t="n">
        <f aca="false">MAX(0,H133-I133-J133)</f>
        <v>882.972048496844</v>
      </c>
      <c r="M133" s="180" t="n">
        <f aca="false">MAX(0,L133*IFERROR(INDEX(TAB_IRPF_ALIQ,MATCH(L133,TAB_IRPF_BASE,1)),0)-IFERROR(INDEX(TAB_IRPF_DED,MATCH(L133,TAB_IRPF_BASE,1)),0))</f>
        <v>0</v>
      </c>
      <c r="N133" s="180" t="n">
        <f aca="false">H133-I133-J133-K133-M133</f>
        <v>721.674889341064</v>
      </c>
      <c r="O133" s="180" t="n">
        <f aca="false">IF(OR($A133=0,$A133&gt;IN_PRAZO,$B$5=0),0,IF(APORTE_CORRIGIDO="Sim",IN_APORTE*$D133,IN_APORTE))</f>
        <v>0</v>
      </c>
      <c r="P133" s="180" t="n">
        <f aca="false">IF($B$25=1,MAX(0,N133),0)</f>
        <v>721.674889341064</v>
      </c>
      <c r="Q133" s="180" t="n">
        <f aca="false">R132*$B$27</f>
        <v>576.793209948232</v>
      </c>
      <c r="R133" s="180" t="n">
        <f aca="false">R132+Q133+O133+P133</f>
        <v>69208.7997191466</v>
      </c>
      <c r="S133" s="180" t="n">
        <f aca="false">S132+O133+P133</f>
        <v>49769.445323206</v>
      </c>
      <c r="T133" s="180" t="n">
        <f aca="false">MAX(0,IFERROR(INDEX(TAB_IR,MATCH($C133,TAB_IR_DIAS,1),MATCH("RF_REGR",TAB_IR_REGIMES,0)),0)*MAX(0,R133-S133))</f>
        <v>2915.9031593911</v>
      </c>
      <c r="U133" s="180" t="n">
        <f aca="false">E133*$B$22</f>
        <v>11613.3954592162</v>
      </c>
      <c r="V133" s="180" t="n">
        <f aca="false">IF($B$23=1,0,MAX(0,ALIQ_GANHO_CAP*MAX(0,E133-U133-$B$30)))</f>
        <v>4003.97932915797</v>
      </c>
      <c r="W133" s="181" t="n">
        <f aca="false">IF($B$5=0,0,E133-U133-V133+R133-T133)</f>
        <v>244232.112758317</v>
      </c>
      <c r="X133" s="180" t="n">
        <f aca="false">W133/$D133</f>
        <v>189271.864765485</v>
      </c>
      <c r="Y133" s="180" t="n">
        <f aca="false">IF($B$25=1,0,MAX(0,N133))</f>
        <v>0</v>
      </c>
      <c r="Z133" s="180" t="n">
        <f aca="false">Z132+O133</f>
        <v>155250</v>
      </c>
    </row>
    <row r="134" customFormat="false" ht="12" hidden="false" customHeight="true" outlineLevel="0" collapsed="false">
      <c r="A134" s="177" t="n">
        <v>79</v>
      </c>
      <c r="B134" s="178" t="n">
        <f aca="false">EDATE(DATA_INICIO,$A134)</f>
        <v>48661</v>
      </c>
      <c r="C134" s="177" t="n">
        <f aca="false">$A134*30</f>
        <v>2370</v>
      </c>
      <c r="D134" s="179" t="n">
        <f aca="false">(1+$B$29)^$A134</f>
        <v>1.29460163265971</v>
      </c>
      <c r="E134" s="180" t="n">
        <f aca="false">$B$6*(1+$B$21)^$A134</f>
        <v>194190.244898957</v>
      </c>
      <c r="F134" s="180" t="n">
        <f aca="false">IF($A134=0,0,$B$13*(1+$B$16)^($A134-1))</f>
        <v>1161.33954592162</v>
      </c>
      <c r="G134" s="180" t="n">
        <f aca="false">F134*$B$14</f>
        <v>92.9071636737293</v>
      </c>
      <c r="H134" s="180" t="n">
        <f aca="false">F134-G134</f>
        <v>1068.43238224789</v>
      </c>
      <c r="I134" s="180" t="n">
        <f aca="false">IF($A134=0,0,E134*$B$17/12)</f>
        <v>97.0951224494784</v>
      </c>
      <c r="J134" s="180" t="n">
        <f aca="false">H134*$B$19</f>
        <v>85.4745905798309</v>
      </c>
      <c r="K134" s="180" t="n">
        <f aca="false">IF($A134=0,0,E134*$B$18/12)</f>
        <v>161.825204082464</v>
      </c>
      <c r="L134" s="180" t="n">
        <f aca="false">MAX(0,H134-I134-J134)</f>
        <v>885.862669218577</v>
      </c>
      <c r="M134" s="180" t="n">
        <f aca="false">MAX(0,L134*IFERROR(INDEX(TAB_IRPF_ALIQ,MATCH(L134,TAB_IRPF_BASE,1)),0)-IFERROR(INDEX(TAB_IRPF_DED,MATCH(L134,TAB_IRPF_BASE,1)),0))</f>
        <v>0</v>
      </c>
      <c r="N134" s="180" t="n">
        <f aca="false">H134-I134-J134-K134-M134</f>
        <v>724.037465136114</v>
      </c>
      <c r="O134" s="180" t="n">
        <f aca="false">IF(OR($A134=0,$A134&gt;IN_PRAZO,$B$5=0),0,IF(APORTE_CORRIGIDO="Sim",IN_APORTE*$D134,IN_APORTE))</f>
        <v>0</v>
      </c>
      <c r="P134" s="180" t="n">
        <f aca="false">IF($B$25=1,MAX(0,N134),0)</f>
        <v>724.037465136114</v>
      </c>
      <c r="Q134" s="180" t="n">
        <f aca="false">R133*$B$27</f>
        <v>587.821687723851</v>
      </c>
      <c r="R134" s="180" t="n">
        <f aca="false">R133+Q134+O134+P134</f>
        <v>70520.6588720066</v>
      </c>
      <c r="S134" s="180" t="n">
        <f aca="false">S133+O134+P134</f>
        <v>50493.4827883421</v>
      </c>
      <c r="T134" s="180" t="n">
        <f aca="false">MAX(0,IFERROR(INDEX(TAB_IR,MATCH($C134,TAB_IR_DIAS,1),MATCH("RF_REGR",TAB_IR_REGIMES,0)),0)*MAX(0,R134-S134))</f>
        <v>3004.07641254967</v>
      </c>
      <c r="U134" s="180" t="n">
        <f aca="false">E134*$B$22</f>
        <v>11651.4146939374</v>
      </c>
      <c r="V134" s="180" t="n">
        <f aca="false">IF($B$23=1,0,MAX(0,ALIQ_GANHO_CAP*MAX(0,E134-U134-$B$30)))</f>
        <v>4093.3245307529</v>
      </c>
      <c r="W134" s="181" t="n">
        <f aca="false">IF($B$5=0,0,E134-U134-V134+R134-T134)</f>
        <v>245962.088133723</v>
      </c>
      <c r="X134" s="180" t="n">
        <f aca="false">W134/$D134</f>
        <v>189990.559202682</v>
      </c>
      <c r="Y134" s="180" t="n">
        <f aca="false">IF($B$25=1,0,MAX(0,N134))</f>
        <v>0</v>
      </c>
      <c r="Z134" s="180" t="n">
        <f aca="false">Z133+O134</f>
        <v>155250</v>
      </c>
    </row>
    <row r="135" customFormat="false" ht="12" hidden="false" customHeight="true" outlineLevel="0" collapsed="false">
      <c r="A135" s="177" t="n">
        <v>80</v>
      </c>
      <c r="B135" s="178" t="n">
        <f aca="false">EDATE(DATA_INICIO,$A135)</f>
        <v>48692</v>
      </c>
      <c r="C135" s="177" t="n">
        <f aca="false">$A135*30</f>
        <v>2400</v>
      </c>
      <c r="D135" s="179" t="n">
        <f aca="false">(1+$B$29)^$A135</f>
        <v>1.29883982152665</v>
      </c>
      <c r="E135" s="180" t="n">
        <f aca="false">$B$6*(1+$B$21)^$A135</f>
        <v>194825.973228997</v>
      </c>
      <c r="F135" s="180" t="n">
        <f aca="false">IF($A135=0,0,$B$13*(1+$B$16)^($A135-1))</f>
        <v>1165.14146939374</v>
      </c>
      <c r="G135" s="180" t="n">
        <f aca="false">F135*$B$14</f>
        <v>93.2113175514992</v>
      </c>
      <c r="H135" s="180" t="n">
        <f aca="false">F135-G135</f>
        <v>1071.93015184224</v>
      </c>
      <c r="I135" s="180" t="n">
        <f aca="false">IF($A135=0,0,E135*$B$17/12)</f>
        <v>97.4129866144987</v>
      </c>
      <c r="J135" s="180" t="n">
        <f aca="false">H135*$B$19</f>
        <v>85.7544121473793</v>
      </c>
      <c r="K135" s="180" t="n">
        <f aca="false">IF($A135=0,0,E135*$B$18/12)</f>
        <v>162.354977690831</v>
      </c>
      <c r="L135" s="180" t="n">
        <f aca="false">MAX(0,H135-I135-J135)</f>
        <v>888.762753080363</v>
      </c>
      <c r="M135" s="180" t="n">
        <f aca="false">MAX(0,L135*IFERROR(INDEX(TAB_IRPF_ALIQ,MATCH(L135,TAB_IRPF_BASE,1)),0)-IFERROR(INDEX(TAB_IRPF_DED,MATCH(L135,TAB_IRPF_BASE,1)),0))</f>
        <v>0</v>
      </c>
      <c r="N135" s="180" t="n">
        <f aca="false">H135-I135-J135-K135-M135</f>
        <v>726.407775389532</v>
      </c>
      <c r="O135" s="180" t="n">
        <f aca="false">IF(OR($A135=0,$A135&gt;IN_PRAZO,$B$5=0),0,IF(APORTE_CORRIGIDO="Sim",IN_APORTE*$D135,IN_APORTE))</f>
        <v>0</v>
      </c>
      <c r="P135" s="180" t="n">
        <f aca="false">IF($B$25=1,MAX(0,N135),0)</f>
        <v>726.407775389532</v>
      </c>
      <c r="Q135" s="180" t="n">
        <f aca="false">R134*$B$27</f>
        <v>598.963901783615</v>
      </c>
      <c r="R135" s="180" t="n">
        <f aca="false">R134+Q135+O135+P135</f>
        <v>71846.0305491797</v>
      </c>
      <c r="S135" s="180" t="n">
        <f aca="false">S134+O135+P135</f>
        <v>51219.8905637316</v>
      </c>
      <c r="T135" s="180" t="n">
        <f aca="false">MAX(0,IFERROR(INDEX(TAB_IR,MATCH($C135,TAB_IR_DIAS,1),MATCH("RF_REGR",TAB_IR_REGIMES,0)),0)*MAX(0,R135-S135))</f>
        <v>3093.92099781722</v>
      </c>
      <c r="U135" s="180" t="n">
        <f aca="false">E135*$B$22</f>
        <v>11689.5583937398</v>
      </c>
      <c r="V135" s="180" t="n">
        <f aca="false">IF($B$23=1,0,MAX(0,ALIQ_GANHO_CAP*MAX(0,E135-U135-$B$30)))</f>
        <v>4182.96222528863</v>
      </c>
      <c r="W135" s="181" t="n">
        <f aca="false">IF($B$5=0,0,E135-U135-V135+R135-T135)</f>
        <v>247705.562161331</v>
      </c>
      <c r="X135" s="180" t="n">
        <f aca="false">W135/$D135</f>
        <v>190712.940930761</v>
      </c>
      <c r="Y135" s="180" t="n">
        <f aca="false">IF($B$25=1,0,MAX(0,N135))</f>
        <v>0</v>
      </c>
      <c r="Z135" s="180" t="n">
        <f aca="false">Z134+O135</f>
        <v>155250</v>
      </c>
    </row>
    <row r="136" customFormat="false" ht="12" hidden="false" customHeight="true" outlineLevel="0" collapsed="false">
      <c r="A136" s="177" t="n">
        <v>81</v>
      </c>
      <c r="B136" s="178" t="n">
        <f aca="false">EDATE(DATA_INICIO,$A136)</f>
        <v>48722</v>
      </c>
      <c r="C136" s="177" t="n">
        <f aca="false">$A136*30</f>
        <v>2430</v>
      </c>
      <c r="D136" s="179" t="n">
        <f aca="false">(1+$B$29)^$A136</f>
        <v>1.30309188512109</v>
      </c>
      <c r="E136" s="180" t="n">
        <f aca="false">$B$6*(1+$B$21)^$A136</f>
        <v>195463.782768163</v>
      </c>
      <c r="F136" s="180" t="n">
        <f aca="false">IF($A136=0,0,$B$13*(1+$B$16)^($A136-1))</f>
        <v>1168.95583937398</v>
      </c>
      <c r="G136" s="180" t="n">
        <f aca="false">F136*$B$14</f>
        <v>93.5164671499188</v>
      </c>
      <c r="H136" s="180" t="n">
        <f aca="false">F136-G136</f>
        <v>1075.43937222407</v>
      </c>
      <c r="I136" s="180" t="n">
        <f aca="false">IF($A136=0,0,E136*$B$17/12)</f>
        <v>97.7318913840814</v>
      </c>
      <c r="J136" s="180" t="n">
        <f aca="false">H136*$B$19</f>
        <v>86.0351497779253</v>
      </c>
      <c r="K136" s="180" t="n">
        <f aca="false">IF($A136=0,0,E136*$B$18/12)</f>
        <v>162.886485640136</v>
      </c>
      <c r="L136" s="180" t="n">
        <f aca="false">MAX(0,H136-I136-J136)</f>
        <v>891.672331062059</v>
      </c>
      <c r="M136" s="180" t="n">
        <f aca="false">MAX(0,L136*IFERROR(INDEX(TAB_IRPF_ALIQ,MATCH(L136,TAB_IRPF_BASE,1)),0)-IFERROR(INDEX(TAB_IRPF_DED,MATCH(L136,TAB_IRPF_BASE,1)),0))</f>
        <v>0</v>
      </c>
      <c r="N136" s="180" t="n">
        <f aca="false">H136-I136-J136-K136-M136</f>
        <v>728.785845421924</v>
      </c>
      <c r="O136" s="180" t="n">
        <f aca="false">IF(OR($A136=0,$A136&gt;IN_PRAZO,$B$5=0),0,IF(APORTE_CORRIGIDO="Sim",IN_APORTE*$D136,IN_APORTE))</f>
        <v>0</v>
      </c>
      <c r="P136" s="180" t="n">
        <f aca="false">IF($B$25=1,MAX(0,N136),0)</f>
        <v>728.785845421924</v>
      </c>
      <c r="Q136" s="180" t="n">
        <f aca="false">R135*$B$27</f>
        <v>610.22088383357</v>
      </c>
      <c r="R136" s="180" t="n">
        <f aca="false">R135+Q136+O136+P136</f>
        <v>73185.0372784352</v>
      </c>
      <c r="S136" s="180" t="n">
        <f aca="false">S135+O136+P136</f>
        <v>51948.6764091536</v>
      </c>
      <c r="T136" s="180" t="n">
        <f aca="false">MAX(0,IFERROR(INDEX(TAB_IR,MATCH($C136,TAB_IR_DIAS,1),MATCH("RF_REGR",TAB_IR_REGIMES,0)),0)*MAX(0,R136-S136))</f>
        <v>3185.45413039225</v>
      </c>
      <c r="U136" s="180" t="n">
        <f aca="false">E136*$B$22</f>
        <v>11727.8269660898</v>
      </c>
      <c r="V136" s="180" t="n">
        <f aca="false">IF($B$23=1,0,MAX(0,ALIQ_GANHO_CAP*MAX(0,E136-U136-$B$30)))</f>
        <v>4272.89337031095</v>
      </c>
      <c r="W136" s="181" t="n">
        <f aca="false">IF($B$5=0,0,E136-U136-V136+R136-T136)</f>
        <v>249462.645579805</v>
      </c>
      <c r="X136" s="180" t="n">
        <f aca="false">W136/$D136</f>
        <v>191439.029302699</v>
      </c>
      <c r="Y136" s="180" t="n">
        <f aca="false">IF($B$25=1,0,MAX(0,N136))</f>
        <v>0</v>
      </c>
      <c r="Z136" s="180" t="n">
        <f aca="false">Z135+O136</f>
        <v>155250</v>
      </c>
    </row>
    <row r="137" customFormat="false" ht="12" hidden="false" customHeight="true" outlineLevel="0" collapsed="false">
      <c r="A137" s="177" t="n">
        <v>82</v>
      </c>
      <c r="B137" s="178" t="n">
        <f aca="false">EDATE(DATA_INICIO,$A137)</f>
        <v>48753</v>
      </c>
      <c r="C137" s="177" t="n">
        <f aca="false">$A137*30</f>
        <v>2460</v>
      </c>
      <c r="D137" s="179" t="n">
        <f aca="false">(1+$B$29)^$A137</f>
        <v>1.30735786886527</v>
      </c>
      <c r="E137" s="180" t="n">
        <f aca="false">$B$6*(1+$B$21)^$A137</f>
        <v>196103.68032979</v>
      </c>
      <c r="F137" s="180" t="n">
        <f aca="false">IF($A137=0,0,$B$13*(1+$B$16)^($A137-1))</f>
        <v>1172.78269660898</v>
      </c>
      <c r="G137" s="180" t="n">
        <f aca="false">F137*$B$14</f>
        <v>93.8226157287181</v>
      </c>
      <c r="H137" s="180" t="n">
        <f aca="false">F137-G137</f>
        <v>1078.96008088026</v>
      </c>
      <c r="I137" s="180" t="n">
        <f aca="false">IF($A137=0,0,E137*$B$17/12)</f>
        <v>98.051840164895</v>
      </c>
      <c r="J137" s="180" t="n">
        <f aca="false">H137*$B$19</f>
        <v>86.3168064704207</v>
      </c>
      <c r="K137" s="180" t="n">
        <f aca="false">IF($A137=0,0,E137*$B$18/12)</f>
        <v>163.419733608158</v>
      </c>
      <c r="L137" s="180" t="n">
        <f aca="false">MAX(0,H137-I137-J137)</f>
        <v>894.591434244943</v>
      </c>
      <c r="M137" s="180" t="n">
        <f aca="false">MAX(0,L137*IFERROR(INDEX(TAB_IRPF_ALIQ,MATCH(L137,TAB_IRPF_BASE,1)),0)-IFERROR(INDEX(TAB_IRPF_DED,MATCH(L137,TAB_IRPF_BASE,1)),0))</f>
        <v>0</v>
      </c>
      <c r="N137" s="180" t="n">
        <f aca="false">H137-I137-J137-K137-M137</f>
        <v>731.171700636784</v>
      </c>
      <c r="O137" s="180" t="n">
        <f aca="false">IF(OR($A137=0,$A137&gt;IN_PRAZO,$B$5=0),0,IF(APORTE_CORRIGIDO="Sim",IN_APORTE*$D137,IN_APORTE))</f>
        <v>0</v>
      </c>
      <c r="P137" s="180" t="n">
        <f aca="false">IF($B$25=1,MAX(0,N137),0)</f>
        <v>731.171700636784</v>
      </c>
      <c r="Q137" s="180" t="n">
        <f aca="false">R136*$B$27</f>
        <v>621.593674557562</v>
      </c>
      <c r="R137" s="180" t="n">
        <f aca="false">R136+Q137+O137+P137</f>
        <v>74537.8026536296</v>
      </c>
      <c r="S137" s="180" t="n">
        <f aca="false">S136+O137+P137</f>
        <v>52679.8481097903</v>
      </c>
      <c r="T137" s="180" t="n">
        <f aca="false">MAX(0,IFERROR(INDEX(TAB_IR,MATCH($C137,TAB_IR_DIAS,1),MATCH("RF_REGR",TAB_IR_REGIMES,0)),0)*MAX(0,R137-S137))</f>
        <v>3278.69318157588</v>
      </c>
      <c r="U137" s="180" t="n">
        <f aca="false">E137*$B$22</f>
        <v>11766.2208197874</v>
      </c>
      <c r="V137" s="180" t="n">
        <f aca="false">IF($B$23=1,0,MAX(0,ALIQ_GANHO_CAP*MAX(0,E137-U137-$B$30)))</f>
        <v>4363.11892650039</v>
      </c>
      <c r="W137" s="181" t="n">
        <f aca="false">IF($B$5=0,0,E137-U137-V137+R137-T137)</f>
        <v>251233.450055556</v>
      </c>
      <c r="X137" s="180" t="n">
        <f aca="false">W137/$D137</f>
        <v>192168.843771611</v>
      </c>
      <c r="Y137" s="180" t="n">
        <f aca="false">IF($B$25=1,0,MAX(0,N137))</f>
        <v>0</v>
      </c>
      <c r="Z137" s="180" t="n">
        <f aca="false">Z136+O137</f>
        <v>155250</v>
      </c>
    </row>
    <row r="138" customFormat="false" ht="12" hidden="false" customHeight="true" outlineLevel="0" collapsed="false">
      <c r="A138" s="177" t="n">
        <v>83</v>
      </c>
      <c r="B138" s="178" t="n">
        <f aca="false">EDATE(DATA_INICIO,$A138)</f>
        <v>48783</v>
      </c>
      <c r="C138" s="177" t="n">
        <f aca="false">$A138*30</f>
        <v>2490</v>
      </c>
      <c r="D138" s="179" t="n">
        <f aca="false">(1+$B$29)^$A138</f>
        <v>1.31163781833014</v>
      </c>
      <c r="E138" s="180" t="n">
        <f aca="false">$B$6*(1+$B$21)^$A138</f>
        <v>196745.672749521</v>
      </c>
      <c r="F138" s="180" t="n">
        <f aca="false">IF($A138=0,0,$B$13*(1+$B$16)^($A138-1))</f>
        <v>1176.62208197874</v>
      </c>
      <c r="G138" s="180" t="n">
        <f aca="false">F138*$B$14</f>
        <v>94.1297665582992</v>
      </c>
      <c r="H138" s="180" t="n">
        <f aca="false">F138-G138</f>
        <v>1082.49231542044</v>
      </c>
      <c r="I138" s="180" t="n">
        <f aca="false">IF($A138=0,0,E138*$B$17/12)</f>
        <v>98.3728363747606</v>
      </c>
      <c r="J138" s="180" t="n">
        <f aca="false">H138*$B$19</f>
        <v>86.5993852336353</v>
      </c>
      <c r="K138" s="180" t="n">
        <f aca="false">IF($A138=0,0,E138*$B$18/12)</f>
        <v>163.954727291268</v>
      </c>
      <c r="L138" s="180" t="n">
        <f aca="false">MAX(0,H138-I138-J138)</f>
        <v>897.520093812045</v>
      </c>
      <c r="M138" s="180" t="n">
        <f aca="false">MAX(0,L138*IFERROR(INDEX(TAB_IRPF_ALIQ,MATCH(L138,TAB_IRPF_BASE,1)),0)-IFERROR(INDEX(TAB_IRPF_DED,MATCH(L138,TAB_IRPF_BASE,1)),0))</f>
        <v>0</v>
      </c>
      <c r="N138" s="180" t="n">
        <f aca="false">H138-I138-J138-K138-M138</f>
        <v>733.565366520777</v>
      </c>
      <c r="O138" s="180" t="n">
        <f aca="false">IF(OR($A138=0,$A138&gt;IN_PRAZO,$B$5=0),0,IF(APORTE_CORRIGIDO="Sim",IN_APORTE*$D138,IN_APORTE))</f>
        <v>0</v>
      </c>
      <c r="P138" s="180" t="n">
        <f aca="false">IF($B$25=1,MAX(0,N138),0)</f>
        <v>733.565366520777</v>
      </c>
      <c r="Q138" s="180" t="n">
        <f aca="false">R137*$B$27</f>
        <v>633.083323694204</v>
      </c>
      <c r="R138" s="180" t="n">
        <f aca="false">R137+Q138+O138+P138</f>
        <v>75904.4513438445</v>
      </c>
      <c r="S138" s="180" t="n">
        <f aca="false">S137+O138+P138</f>
        <v>53413.4134763111</v>
      </c>
      <c r="T138" s="180" t="n">
        <f aca="false">MAX(0,IFERROR(INDEX(TAB_IR,MATCH($C138,TAB_IR_DIAS,1),MATCH("RF_REGR",TAB_IR_REGIMES,0)),0)*MAX(0,R138-S138))</f>
        <v>3373.65568013001</v>
      </c>
      <c r="U138" s="180" t="n">
        <f aca="false">E138*$B$22</f>
        <v>11804.7403649713</v>
      </c>
      <c r="V138" s="180" t="n">
        <f aca="false">IF($B$23=1,0,MAX(0,ALIQ_GANHO_CAP*MAX(0,E138-U138-$B$30)))</f>
        <v>4453.63985768249</v>
      </c>
      <c r="W138" s="181" t="n">
        <f aca="false">IF($B$5=0,0,E138-U138-V138+R138-T138)</f>
        <v>253018.088190582</v>
      </c>
      <c r="X138" s="180" t="n">
        <f aca="false">W138/$D138</f>
        <v>192902.403891268</v>
      </c>
      <c r="Y138" s="180" t="n">
        <f aca="false">IF($B$25=1,0,MAX(0,N138))</f>
        <v>0</v>
      </c>
      <c r="Z138" s="180" t="n">
        <f aca="false">Z137+O138</f>
        <v>155250</v>
      </c>
    </row>
    <row r="139" customFormat="false" ht="12" hidden="false" customHeight="true" outlineLevel="0" collapsed="false">
      <c r="A139" s="177" t="n">
        <v>84</v>
      </c>
      <c r="B139" s="178" t="n">
        <f aca="false">EDATE(DATA_INICIO,$A139)</f>
        <v>48814</v>
      </c>
      <c r="C139" s="177" t="n">
        <f aca="false">$A139*30</f>
        <v>2520</v>
      </c>
      <c r="D139" s="179" t="n">
        <f aca="false">(1+$B$29)^$A139</f>
        <v>1.31593177923585</v>
      </c>
      <c r="E139" s="180" t="n">
        <f aca="false">$B$6*(1+$B$21)^$A139</f>
        <v>197389.766885377</v>
      </c>
      <c r="F139" s="180" t="n">
        <f aca="false">IF($A139=0,0,$B$13*(1+$B$16)^($A139-1))</f>
        <v>1180.47403649713</v>
      </c>
      <c r="G139" s="180" t="n">
        <f aca="false">F139*$B$14</f>
        <v>94.4379229197702</v>
      </c>
      <c r="H139" s="180" t="n">
        <f aca="false">F139-G139</f>
        <v>1086.03611357736</v>
      </c>
      <c r="I139" s="180" t="n">
        <f aca="false">IF($A139=0,0,E139*$B$17/12)</f>
        <v>98.6948834426884</v>
      </c>
      <c r="J139" s="180" t="n">
        <f aca="false">H139*$B$19</f>
        <v>86.8828890861886</v>
      </c>
      <c r="K139" s="180" t="n">
        <f aca="false">IF($A139=0,0,E139*$B$18/12)</f>
        <v>164.491472404481</v>
      </c>
      <c r="L139" s="180" t="n">
        <f aca="false">MAX(0,H139-I139-J139)</f>
        <v>900.45834104848</v>
      </c>
      <c r="M139" s="180" t="n">
        <f aca="false">MAX(0,L139*IFERROR(INDEX(TAB_IRPF_ALIQ,MATCH(L139,TAB_IRPF_BASE,1)),0)-IFERROR(INDEX(TAB_IRPF_DED,MATCH(L139,TAB_IRPF_BASE,1)),0))</f>
        <v>0</v>
      </c>
      <c r="N139" s="180" t="n">
        <f aca="false">H139-I139-J139-K139-M139</f>
        <v>735.966868643999</v>
      </c>
      <c r="O139" s="180" t="n">
        <f aca="false">IF(OR($A139=0,$A139&gt;IN_PRAZO,$B$5=0),0,IF(APORTE_CORRIGIDO="Sim",IN_APORTE*$D139,IN_APORTE))</f>
        <v>0</v>
      </c>
      <c r="P139" s="180" t="n">
        <f aca="false">IF($B$25=1,MAX(0,N139),0)</f>
        <v>735.966868643999</v>
      </c>
      <c r="Q139" s="180" t="n">
        <f aca="false">R138*$B$27</f>
        <v>644.690890114483</v>
      </c>
      <c r="R139" s="180" t="n">
        <f aca="false">R138+Q139+O139+P139</f>
        <v>77285.109102603</v>
      </c>
      <c r="S139" s="180" t="n">
        <f aca="false">S138+O139+P139</f>
        <v>54149.3803449551</v>
      </c>
      <c r="T139" s="180" t="n">
        <f aca="false">MAX(0,IFERROR(INDEX(TAB_IR,MATCH($C139,TAB_IR_DIAS,1),MATCH("RF_REGR",TAB_IR_REGIMES,0)),0)*MAX(0,R139-S139))</f>
        <v>3470.35931364719</v>
      </c>
      <c r="U139" s="180" t="n">
        <f aca="false">E139*$B$22</f>
        <v>11843.3860131226</v>
      </c>
      <c r="V139" s="180" t="n">
        <f aca="false">IF($B$23=1,0,MAX(0,ALIQ_GANHO_CAP*MAX(0,E139-U139-$B$30)))</f>
        <v>4544.45713083814</v>
      </c>
      <c r="W139" s="181" t="n">
        <f aca="false">IF($B$5=0,0,E139-U139-V139+R139-T139)</f>
        <v>254816.673530372</v>
      </c>
      <c r="X139" s="180" t="n">
        <f aca="false">W139/$D139</f>
        <v>193639.729316624</v>
      </c>
      <c r="Y139" s="180" t="n">
        <f aca="false">IF($B$25=1,0,MAX(0,N139))</f>
        <v>0</v>
      </c>
      <c r="Z139" s="180" t="n">
        <f aca="false">Z138+O139</f>
        <v>155250</v>
      </c>
    </row>
    <row r="140" customFormat="false" ht="12" hidden="false" customHeight="true" outlineLevel="0" collapsed="false">
      <c r="A140" s="177" t="n">
        <v>85</v>
      </c>
      <c r="B140" s="178" t="n">
        <f aca="false">EDATE(DATA_INICIO,$A140)</f>
        <v>48845</v>
      </c>
      <c r="C140" s="177" t="n">
        <f aca="false">$A140*30</f>
        <v>2550</v>
      </c>
      <c r="D140" s="179" t="n">
        <f aca="false">(1+$B$29)^$A140</f>
        <v>1.32023979745219</v>
      </c>
      <c r="E140" s="180" t="n">
        <f aca="false">$B$6*(1+$B$21)^$A140</f>
        <v>198035.969617828</v>
      </c>
      <c r="F140" s="180" t="n">
        <f aca="false">IF($A140=0,0,$B$13*(1+$B$16)^($A140-1))</f>
        <v>1184.33860131226</v>
      </c>
      <c r="G140" s="180" t="n">
        <f aca="false">F140*$B$14</f>
        <v>94.7470881049809</v>
      </c>
      <c r="H140" s="180" t="n">
        <f aca="false">F140-G140</f>
        <v>1089.59151320728</v>
      </c>
      <c r="I140" s="180" t="n">
        <f aca="false">IF($A140=0,0,E140*$B$17/12)</f>
        <v>99.0179848089142</v>
      </c>
      <c r="J140" s="180" t="n">
        <f aca="false">H140*$B$19</f>
        <v>87.1673210565824</v>
      </c>
      <c r="K140" s="180" t="n">
        <f aca="false">IF($A140=0,0,E140*$B$18/12)</f>
        <v>165.029974681524</v>
      </c>
      <c r="L140" s="180" t="n">
        <f aca="false">MAX(0,H140-I140-J140)</f>
        <v>903.406207341783</v>
      </c>
      <c r="M140" s="180" t="n">
        <f aca="false">MAX(0,L140*IFERROR(INDEX(TAB_IRPF_ALIQ,MATCH(L140,TAB_IRPF_BASE,1)),0)-IFERROR(INDEX(TAB_IRPF_DED,MATCH(L140,TAB_IRPF_BASE,1)),0))</f>
        <v>0</v>
      </c>
      <c r="N140" s="180" t="n">
        <f aca="false">H140-I140-J140-K140-M140</f>
        <v>738.37623266026</v>
      </c>
      <c r="O140" s="180" t="n">
        <f aca="false">IF(OR($A140=0,$A140&gt;IN_PRAZO,$B$5=0),0,IF(APORTE_CORRIGIDO="Sim",IN_APORTE*$D140,IN_APORTE))</f>
        <v>0</v>
      </c>
      <c r="P140" s="180" t="n">
        <f aca="false">IF($B$25=1,MAX(0,N140),0)</f>
        <v>738.37623266026</v>
      </c>
      <c r="Q140" s="180" t="n">
        <f aca="false">R139*$B$27</f>
        <v>656.417441900034</v>
      </c>
      <c r="R140" s="180" t="n">
        <f aca="false">R139+Q140+O140+P140</f>
        <v>78679.9027771633</v>
      </c>
      <c r="S140" s="180" t="n">
        <f aca="false">S139+O140+P140</f>
        <v>54887.7565776154</v>
      </c>
      <c r="T140" s="180" t="n">
        <f aca="false">MAX(0,IFERROR(INDEX(TAB_IR,MATCH($C140,TAB_IR_DIAS,1),MATCH("RF_REGR",TAB_IR_REGIMES,0)),0)*MAX(0,R140-S140))</f>
        <v>3568.82192993219</v>
      </c>
      <c r="U140" s="180" t="n">
        <f aca="false">E140*$B$22</f>
        <v>11882.1581770697</v>
      </c>
      <c r="V140" s="180" t="n">
        <f aca="false">IF($B$23=1,0,MAX(0,ALIQ_GANHO_CAP*MAX(0,E140-U140-$B$30)))</f>
        <v>4635.57171611381</v>
      </c>
      <c r="W140" s="181" t="n">
        <f aca="false">IF($B$5=0,0,E140-U140-V140+R140-T140)</f>
        <v>256629.320571876</v>
      </c>
      <c r="X140" s="180" t="n">
        <f aca="false">W140/$D140</f>
        <v>194380.839804346</v>
      </c>
      <c r="Y140" s="180" t="n">
        <f aca="false">IF($B$25=1,0,MAX(0,N140))</f>
        <v>0</v>
      </c>
      <c r="Z140" s="180" t="n">
        <f aca="false">Z139+O140</f>
        <v>155250</v>
      </c>
    </row>
    <row r="141" customFormat="false" ht="12" hidden="false" customHeight="true" outlineLevel="0" collapsed="false">
      <c r="A141" s="177" t="n">
        <v>86</v>
      </c>
      <c r="B141" s="178" t="n">
        <f aca="false">EDATE(DATA_INICIO,$A141)</f>
        <v>48875</v>
      </c>
      <c r="C141" s="177" t="n">
        <f aca="false">$A141*30</f>
        <v>2580</v>
      </c>
      <c r="D141" s="179" t="n">
        <f aca="false">(1+$B$29)^$A141</f>
        <v>1.32456191899915</v>
      </c>
      <c r="E141" s="180" t="n">
        <f aca="false">$B$6*(1+$B$21)^$A141</f>
        <v>198684.287849873</v>
      </c>
      <c r="F141" s="180" t="n">
        <f aca="false">IF($A141=0,0,$B$13*(1+$B$16)^($A141-1))</f>
        <v>1188.21581770697</v>
      </c>
      <c r="G141" s="180" t="n">
        <f aca="false">F141*$B$14</f>
        <v>95.0572654165577</v>
      </c>
      <c r="H141" s="180" t="n">
        <f aca="false">F141-G141</f>
        <v>1093.15855229041</v>
      </c>
      <c r="I141" s="180" t="n">
        <f aca="false">IF($A141=0,0,E141*$B$17/12)</f>
        <v>99.3421439249364</v>
      </c>
      <c r="J141" s="180" t="n">
        <f aca="false">H141*$B$19</f>
        <v>87.4526841832331</v>
      </c>
      <c r="K141" s="180" t="n">
        <f aca="false">IF($A141=0,0,E141*$B$18/12)</f>
        <v>165.570239874894</v>
      </c>
      <c r="L141" s="180" t="n">
        <f aca="false">MAX(0,H141-I141-J141)</f>
        <v>906.363724182244</v>
      </c>
      <c r="M141" s="180" t="n">
        <f aca="false">MAX(0,L141*IFERROR(INDEX(TAB_IRPF_ALIQ,MATCH(L141,TAB_IRPF_BASE,1)),0)-IFERROR(INDEX(TAB_IRPF_DED,MATCH(L141,TAB_IRPF_BASE,1)),0))</f>
        <v>0</v>
      </c>
      <c r="N141" s="180" t="n">
        <f aca="false">H141-I141-J141-K141-M141</f>
        <v>740.79348430735</v>
      </c>
      <c r="O141" s="180" t="n">
        <f aca="false">IF(OR($A141=0,$A141&gt;IN_PRAZO,$B$5=0),0,IF(APORTE_CORRIGIDO="Sim",IN_APORTE*$D141,IN_APORTE))</f>
        <v>0</v>
      </c>
      <c r="P141" s="180" t="n">
        <f aca="false">IF($B$25=1,MAX(0,N141),0)</f>
        <v>740.79348430735</v>
      </c>
      <c r="Q141" s="180" t="n">
        <f aca="false">R140*$B$27</f>
        <v>668.264056422085</v>
      </c>
      <c r="R141" s="180" t="n">
        <f aca="false">R140+Q141+O141+P141</f>
        <v>80088.9603178927</v>
      </c>
      <c r="S141" s="180" t="n">
        <f aca="false">S140+O141+P141</f>
        <v>55628.5500619227</v>
      </c>
      <c r="T141" s="180" t="n">
        <f aca="false">MAX(0,IFERROR(INDEX(TAB_IR,MATCH($C141,TAB_IR_DIAS,1),MATCH("RF_REGR",TAB_IR_REGIMES,0)),0)*MAX(0,R141-S141))</f>
        <v>3669.0615383955</v>
      </c>
      <c r="U141" s="180" t="n">
        <f aca="false">E141*$B$22</f>
        <v>11921.0572709924</v>
      </c>
      <c r="V141" s="180" t="n">
        <f aca="false">IF($B$23=1,0,MAX(0,ALIQ_GANHO_CAP*MAX(0,E141-U141-$B$30)))</f>
        <v>4726.98458683205</v>
      </c>
      <c r="W141" s="181" t="n">
        <f aca="false">IF($B$5=0,0,E141-U141-V141+R141-T141)</f>
        <v>258456.144771546</v>
      </c>
      <c r="X141" s="180" t="n">
        <f aca="false">W141/$D141</f>
        <v>195125.755213344</v>
      </c>
      <c r="Y141" s="180" t="n">
        <f aca="false">IF($B$25=1,0,MAX(0,N141))</f>
        <v>0</v>
      </c>
      <c r="Z141" s="180" t="n">
        <f aca="false">Z140+O141</f>
        <v>155250</v>
      </c>
    </row>
    <row r="142" customFormat="false" ht="12" hidden="false" customHeight="true" outlineLevel="0" collapsed="false">
      <c r="A142" s="177" t="n">
        <v>87</v>
      </c>
      <c r="B142" s="178" t="n">
        <f aca="false">EDATE(DATA_INICIO,$A142)</f>
        <v>48906</v>
      </c>
      <c r="C142" s="177" t="n">
        <f aca="false">$A142*30</f>
        <v>2610</v>
      </c>
      <c r="D142" s="179" t="n">
        <f aca="false">(1+$B$29)^$A142</f>
        <v>1.32889819004736</v>
      </c>
      <c r="E142" s="180" t="n">
        <f aca="false">$B$6*(1+$B$21)^$A142</f>
        <v>199334.728507105</v>
      </c>
      <c r="F142" s="180" t="n">
        <f aca="false">IF($A142=0,0,$B$13*(1+$B$16)^($A142-1))</f>
        <v>1192.10572709924</v>
      </c>
      <c r="G142" s="180" t="n">
        <f aca="false">F142*$B$14</f>
        <v>95.3684581679389</v>
      </c>
      <c r="H142" s="180" t="n">
        <f aca="false">F142-G142</f>
        <v>1096.7372689313</v>
      </c>
      <c r="I142" s="180" t="n">
        <f aca="false">IF($A142=0,0,E142*$B$17/12)</f>
        <v>99.6673642535523</v>
      </c>
      <c r="J142" s="180" t="n">
        <f aca="false">H142*$B$19</f>
        <v>87.7389815145038</v>
      </c>
      <c r="K142" s="180" t="n">
        <f aca="false">IF($A142=0,0,E142*$B$18/12)</f>
        <v>166.112273755921</v>
      </c>
      <c r="L142" s="180" t="n">
        <f aca="false">MAX(0,H142-I142-J142)</f>
        <v>909.330923163241</v>
      </c>
      <c r="M142" s="180" t="n">
        <f aca="false">MAX(0,L142*IFERROR(INDEX(TAB_IRPF_ALIQ,MATCH(L142,TAB_IRPF_BASE,1)),0)-IFERROR(INDEX(TAB_IRPF_DED,MATCH(L142,TAB_IRPF_BASE,1)),0))</f>
        <v>0</v>
      </c>
      <c r="N142" s="180" t="n">
        <f aca="false">H142-I142-J142-K142-M142</f>
        <v>743.218649407321</v>
      </c>
      <c r="O142" s="180" t="n">
        <f aca="false">IF(OR($A142=0,$A142&gt;IN_PRAZO,$B$5=0),0,IF(APORTE_CORRIGIDO="Sim",IN_APORTE*$D142,IN_APORTE))</f>
        <v>0</v>
      </c>
      <c r="P142" s="180" t="n">
        <f aca="false">IF($B$25=1,MAX(0,N142),0)</f>
        <v>743.218649407321</v>
      </c>
      <c r="Q142" s="180" t="n">
        <f aca="false">R141*$B$27</f>
        <v>680.231820421068</v>
      </c>
      <c r="R142" s="180" t="n">
        <f aca="false">R141+Q142+O142+P142</f>
        <v>81512.4107877211</v>
      </c>
      <c r="S142" s="180" t="n">
        <f aca="false">S141+O142+P142</f>
        <v>56371.7687113301</v>
      </c>
      <c r="T142" s="180" t="n">
        <f aca="false">MAX(0,IFERROR(INDEX(TAB_IR,MATCH($C142,TAB_IR_DIAS,1),MATCH("RF_REGR",TAB_IR_REGIMES,0)),0)*MAX(0,R142-S142))</f>
        <v>3771.09631145866</v>
      </c>
      <c r="U142" s="180" t="n">
        <f aca="false">E142*$B$22</f>
        <v>11960.0837104263</v>
      </c>
      <c r="V142" s="180" t="n">
        <f aca="false">IF($B$23=1,0,MAX(0,ALIQ_GANHO_CAP*MAX(0,E142-U142-$B$30)))</f>
        <v>4818.69671950175</v>
      </c>
      <c r="W142" s="181" t="n">
        <f aca="false">IF($B$5=0,0,E142-U142-V142+R142-T142)</f>
        <v>260297.262553439</v>
      </c>
      <c r="X142" s="180" t="n">
        <f aca="false">W142/$D142</f>
        <v>195874.495505304</v>
      </c>
      <c r="Y142" s="180" t="n">
        <f aca="false">IF($B$25=1,0,MAX(0,N142))</f>
        <v>0</v>
      </c>
      <c r="Z142" s="180" t="n">
        <f aca="false">Z141+O142</f>
        <v>155250</v>
      </c>
    </row>
    <row r="143" customFormat="false" ht="12" hidden="false" customHeight="true" outlineLevel="0" collapsed="false">
      <c r="A143" s="177" t="n">
        <v>88</v>
      </c>
      <c r="B143" s="178" t="n">
        <f aca="false">EDATE(DATA_INICIO,$A143)</f>
        <v>48936</v>
      </c>
      <c r="C143" s="177" t="n">
        <f aca="false">$A143*30</f>
        <v>2640</v>
      </c>
      <c r="D143" s="179" t="n">
        <f aca="false">(1+$B$29)^$A143</f>
        <v>1.33324865691861</v>
      </c>
      <c r="E143" s="180" t="n">
        <f aca="false">$B$6*(1+$B$21)^$A143</f>
        <v>199987.298537792</v>
      </c>
      <c r="F143" s="180" t="n">
        <f aca="false">IF($A143=0,0,$B$13*(1+$B$16)^($A143-1))</f>
        <v>1196.00837104263</v>
      </c>
      <c r="G143" s="180" t="n">
        <f aca="false">F143*$B$14</f>
        <v>95.6806696834102</v>
      </c>
      <c r="H143" s="180" t="n">
        <f aca="false">F143-G143</f>
        <v>1100.32770135922</v>
      </c>
      <c r="I143" s="180" t="n">
        <f aca="false">IF($A143=0,0,E143*$B$17/12)</f>
        <v>99.9936492688961</v>
      </c>
      <c r="J143" s="180" t="n">
        <f aca="false">H143*$B$19</f>
        <v>88.0262161087374</v>
      </c>
      <c r="K143" s="180" t="n">
        <f aca="false">IF($A143=0,0,E143*$B$18/12)</f>
        <v>166.656082114827</v>
      </c>
      <c r="L143" s="180" t="n">
        <f aca="false">MAX(0,H143-I143-J143)</f>
        <v>912.307835981584</v>
      </c>
      <c r="M143" s="180" t="n">
        <f aca="false">MAX(0,L143*IFERROR(INDEX(TAB_IRPF_ALIQ,MATCH(L143,TAB_IRPF_BASE,1)),0)-IFERROR(INDEX(TAB_IRPF_DED,MATCH(L143,TAB_IRPF_BASE,1)),0))</f>
        <v>0</v>
      </c>
      <c r="N143" s="180" t="n">
        <f aca="false">H143-I143-J143-K143-M143</f>
        <v>745.651753866757</v>
      </c>
      <c r="O143" s="180" t="n">
        <f aca="false">IF(OR($A143=0,$A143&gt;IN_PRAZO,$B$5=0),0,IF(APORTE_CORRIGIDO="Sim",IN_APORTE*$D143,IN_APORTE))</f>
        <v>0</v>
      </c>
      <c r="P143" s="180" t="n">
        <f aca="false">IF($B$25=1,MAX(0,N143),0)</f>
        <v>745.651753866757</v>
      </c>
      <c r="Q143" s="180" t="n">
        <f aca="false">R142*$B$27</f>
        <v>692.32183008691</v>
      </c>
      <c r="R143" s="180" t="n">
        <f aca="false">R142+Q143+O143+P143</f>
        <v>82950.3843716748</v>
      </c>
      <c r="S143" s="180" t="n">
        <f aca="false">S142+O143+P143</f>
        <v>57117.4204651968</v>
      </c>
      <c r="T143" s="180" t="n">
        <f aca="false">MAX(0,IFERROR(INDEX(TAB_IR,MATCH($C143,TAB_IR_DIAS,1),MATCH("RF_REGR",TAB_IR_REGIMES,0)),0)*MAX(0,R143-S143))</f>
        <v>3874.9445859717</v>
      </c>
      <c r="U143" s="180" t="n">
        <f aca="false">E143*$B$22</f>
        <v>11999.2379122675</v>
      </c>
      <c r="V143" s="180" t="n">
        <f aca="false">IF($B$23=1,0,MAX(0,ALIQ_GANHO_CAP*MAX(0,E143-U143-$B$30)))</f>
        <v>4910.7090938287</v>
      </c>
      <c r="W143" s="181" t="n">
        <f aca="false">IF($B$5=0,0,E143-U143-V143+R143-T143)</f>
        <v>262152.791317399</v>
      </c>
      <c r="X143" s="180" t="n">
        <f aca="false">W143/$D143</f>
        <v>196627.080745225</v>
      </c>
      <c r="Y143" s="180" t="n">
        <f aca="false">IF($B$25=1,0,MAX(0,N143))</f>
        <v>0</v>
      </c>
      <c r="Z143" s="180" t="n">
        <f aca="false">Z142+O143</f>
        <v>155250</v>
      </c>
    </row>
    <row r="144" customFormat="false" ht="12" hidden="false" customHeight="true" outlineLevel="0" collapsed="false">
      <c r="A144" s="177" t="n">
        <v>89</v>
      </c>
      <c r="B144" s="178" t="n">
        <f aca="false">EDATE(DATA_INICIO,$A144)</f>
        <v>48967</v>
      </c>
      <c r="C144" s="177" t="n">
        <f aca="false">$A144*30</f>
        <v>2670</v>
      </c>
      <c r="D144" s="179" t="n">
        <f aca="false">(1+$B$29)^$A144</f>
        <v>1.33761336608633</v>
      </c>
      <c r="E144" s="180" t="n">
        <f aca="false">$B$6*(1+$B$21)^$A144</f>
        <v>200642.00491295</v>
      </c>
      <c r="F144" s="180" t="n">
        <f aca="false">IF($A144=0,0,$B$13*(1+$B$16)^($A144-1))</f>
        <v>1199.92379122675</v>
      </c>
      <c r="G144" s="180" t="n">
        <f aca="false">F144*$B$14</f>
        <v>95.9939032981403</v>
      </c>
      <c r="H144" s="180" t="n">
        <f aca="false">F144-G144</f>
        <v>1103.92988792861</v>
      </c>
      <c r="I144" s="180" t="n">
        <f aca="false">IF($A144=0,0,E144*$B$17/12)</f>
        <v>100.321002456475</v>
      </c>
      <c r="J144" s="180" t="n">
        <f aca="false">H144*$B$19</f>
        <v>88.3143910342891</v>
      </c>
      <c r="K144" s="180" t="n">
        <f aca="false">IF($A144=0,0,E144*$B$18/12)</f>
        <v>167.201670760792</v>
      </c>
      <c r="L144" s="180" t="n">
        <f aca="false">MAX(0,H144-I144-J144)</f>
        <v>915.294494437849</v>
      </c>
      <c r="M144" s="180" t="n">
        <f aca="false">MAX(0,L144*IFERROR(INDEX(TAB_IRPF_ALIQ,MATCH(L144,TAB_IRPF_BASE,1)),0)-IFERROR(INDEX(TAB_IRPF_DED,MATCH(L144,TAB_IRPF_BASE,1)),0))</f>
        <v>0</v>
      </c>
      <c r="N144" s="180" t="n">
        <f aca="false">H144-I144-J144-K144-M144</f>
        <v>748.092823677057</v>
      </c>
      <c r="O144" s="180" t="n">
        <f aca="false">IF(OR($A144=0,$A144&gt;IN_PRAZO,$B$5=0),0,IF(APORTE_CORRIGIDO="Sim",IN_APORTE*$D144,IN_APORTE))</f>
        <v>0</v>
      </c>
      <c r="P144" s="180" t="n">
        <f aca="false">IF($B$25=1,MAX(0,N144),0)</f>
        <v>748.092823677057</v>
      </c>
      <c r="Q144" s="180" t="n">
        <f aca="false">R143*$B$27</f>
        <v>704.535191140015</v>
      </c>
      <c r="R144" s="180" t="n">
        <f aca="false">R143+Q144+O144+P144</f>
        <v>84403.0123864919</v>
      </c>
      <c r="S144" s="180" t="n">
        <f aca="false">S143+O144+P144</f>
        <v>57865.5132888739</v>
      </c>
      <c r="T144" s="180" t="n">
        <f aca="false">MAX(0,IFERROR(INDEX(TAB_IR,MATCH($C144,TAB_IR_DIAS,1),MATCH("RF_REGR",TAB_IR_REGIMES,0)),0)*MAX(0,R144-S144))</f>
        <v>3980.6248646427</v>
      </c>
      <c r="U144" s="180" t="n">
        <f aca="false">E144*$B$22</f>
        <v>12038.520294777</v>
      </c>
      <c r="V144" s="180" t="n">
        <f aca="false">IF($B$23=1,0,MAX(0,ALIQ_GANHO_CAP*MAX(0,E144-U144-$B$30)))</f>
        <v>5003.02269272593</v>
      </c>
      <c r="W144" s="181" t="n">
        <f aca="false">IF($B$5=0,0,E144-U144-V144+R144-T144)</f>
        <v>264022.849447296</v>
      </c>
      <c r="X144" s="180" t="n">
        <f aca="false">W144/$D144</f>
        <v>197383.531101958</v>
      </c>
      <c r="Y144" s="180" t="n">
        <f aca="false">IF($B$25=1,0,MAX(0,N144))</f>
        <v>0</v>
      </c>
      <c r="Z144" s="180" t="n">
        <f aca="false">Z143+O144</f>
        <v>155250</v>
      </c>
    </row>
    <row r="145" customFormat="false" ht="12" hidden="false" customHeight="true" outlineLevel="0" collapsed="false">
      <c r="A145" s="177" t="n">
        <v>90</v>
      </c>
      <c r="B145" s="178" t="n">
        <f aca="false">EDATE(DATA_INICIO,$A145)</f>
        <v>48998</v>
      </c>
      <c r="C145" s="177" t="n">
        <f aca="false">$A145*30</f>
        <v>2700</v>
      </c>
      <c r="D145" s="179" t="n">
        <f aca="false">(1+$B$29)^$A145</f>
        <v>1.34199236417609</v>
      </c>
      <c r="E145" s="180" t="n">
        <f aca="false">$B$6*(1+$B$21)^$A145</f>
        <v>201298.854626414</v>
      </c>
      <c r="F145" s="180" t="n">
        <f aca="false">IF($A145=0,0,$B$13*(1+$B$16)^($A145-1))</f>
        <v>1203.8520294777</v>
      </c>
      <c r="G145" s="180" t="n">
        <f aca="false">F145*$B$14</f>
        <v>96.3081623582159</v>
      </c>
      <c r="H145" s="180" t="n">
        <f aca="false">F145-G145</f>
        <v>1107.54386711948</v>
      </c>
      <c r="I145" s="180" t="n">
        <f aca="false">IF($A145=0,0,E145*$B$17/12)</f>
        <v>100.649427313207</v>
      </c>
      <c r="J145" s="180" t="n">
        <f aca="false">H145*$B$19</f>
        <v>88.6035093695587</v>
      </c>
      <c r="K145" s="180" t="n">
        <f aca="false">IF($A145=0,0,E145*$B$18/12)</f>
        <v>167.749045522011</v>
      </c>
      <c r="L145" s="180" t="n">
        <f aca="false">MAX(0,H145-I145-J145)</f>
        <v>918.290930436718</v>
      </c>
      <c r="M145" s="180" t="n">
        <f aca="false">MAX(0,L145*IFERROR(INDEX(TAB_IRPF_ALIQ,MATCH(L145,TAB_IRPF_BASE,1)),0)-IFERROR(INDEX(TAB_IRPF_DED,MATCH(L145,TAB_IRPF_BASE,1)),0))</f>
        <v>0</v>
      </c>
      <c r="N145" s="180" t="n">
        <f aca="false">H145-I145-J145-K145-M145</f>
        <v>750.541884914707</v>
      </c>
      <c r="O145" s="180" t="n">
        <f aca="false">IF(OR($A145=0,$A145&gt;IN_PRAZO,$B$5=0),0,IF(APORTE_CORRIGIDO="Sim",IN_APORTE*$D145,IN_APORTE))</f>
        <v>0</v>
      </c>
      <c r="P145" s="180" t="n">
        <f aca="false">IF($B$25=1,MAX(0,N145),0)</f>
        <v>750.541884914707</v>
      </c>
      <c r="Q145" s="180" t="n">
        <f aca="false">R144*$B$27</f>
        <v>716.873018912926</v>
      </c>
      <c r="R145" s="180" t="n">
        <f aca="false">R144+Q145+O145+P145</f>
        <v>85870.4272903195</v>
      </c>
      <c r="S145" s="180" t="n">
        <f aca="false">S144+O145+P145</f>
        <v>58616.0551737886</v>
      </c>
      <c r="T145" s="180" t="n">
        <f aca="false">MAX(0,IFERROR(INDEX(TAB_IR,MATCH($C145,TAB_IR_DIAS,1),MATCH("RF_REGR",TAB_IR_REGIMES,0)),0)*MAX(0,R145-S145))</f>
        <v>4088.15581747964</v>
      </c>
      <c r="U145" s="180" t="n">
        <f aca="false">E145*$B$22</f>
        <v>12077.9312775848</v>
      </c>
      <c r="V145" s="180" t="n">
        <f aca="false">IF($B$23=1,0,MAX(0,ALIQ_GANHO_CAP*MAX(0,E145-U145-$B$30)))</f>
        <v>5095.63850232431</v>
      </c>
      <c r="W145" s="181" t="n">
        <f aca="false">IF($B$5=0,0,E145-U145-V145+R145-T145)</f>
        <v>265907.556319344</v>
      </c>
      <c r="X145" s="180" t="n">
        <f aca="false">W145/$D145</f>
        <v>198143.866848748</v>
      </c>
      <c r="Y145" s="180" t="n">
        <f aca="false">IF($B$25=1,0,MAX(0,N145))</f>
        <v>0</v>
      </c>
      <c r="Z145" s="180" t="n">
        <f aca="false">Z144+O145</f>
        <v>155250</v>
      </c>
    </row>
    <row r="146" customFormat="false" ht="12" hidden="false" customHeight="true" outlineLevel="0" collapsed="false">
      <c r="A146" s="177" t="n">
        <v>91</v>
      </c>
      <c r="B146" s="178" t="n">
        <f aca="false">EDATE(DATA_INICIO,$A146)</f>
        <v>49026</v>
      </c>
      <c r="C146" s="177" t="n">
        <f aca="false">$A146*30</f>
        <v>2730</v>
      </c>
      <c r="D146" s="179" t="n">
        <f aca="false">(1+$B$29)^$A146</f>
        <v>1.3463856979661</v>
      </c>
      <c r="E146" s="180" t="n">
        <f aca="false">$B$6*(1+$B$21)^$A146</f>
        <v>201957.854694915</v>
      </c>
      <c r="F146" s="180" t="n">
        <f aca="false">IF($A146=0,0,$B$13*(1+$B$16)^($A146-1))</f>
        <v>1207.79312775848</v>
      </c>
      <c r="G146" s="180" t="n">
        <f aca="false">F146*$B$14</f>
        <v>96.6234502206785</v>
      </c>
      <c r="H146" s="180" t="n">
        <f aca="false">F146-G146</f>
        <v>1111.1696775378</v>
      </c>
      <c r="I146" s="180" t="n">
        <f aca="false">IF($A146=0,0,E146*$B$17/12)</f>
        <v>100.978927347458</v>
      </c>
      <c r="J146" s="180" t="n">
        <f aca="false">H146*$B$19</f>
        <v>88.8935742030242</v>
      </c>
      <c r="K146" s="180" t="n">
        <f aca="false">IF($A146=0,0,E146*$B$18/12)</f>
        <v>168.298212245763</v>
      </c>
      <c r="L146" s="180" t="n">
        <f aca="false">MAX(0,H146-I146-J146)</f>
        <v>921.297175987321</v>
      </c>
      <c r="M146" s="180" t="n">
        <f aca="false">MAX(0,L146*IFERROR(INDEX(TAB_IRPF_ALIQ,MATCH(L146,TAB_IRPF_BASE,1)),0)-IFERROR(INDEX(TAB_IRPF_DED,MATCH(L146,TAB_IRPF_BASE,1)),0))</f>
        <v>0</v>
      </c>
      <c r="N146" s="180" t="n">
        <f aca="false">H146-I146-J146-K146-M146</f>
        <v>752.998963741558</v>
      </c>
      <c r="O146" s="180" t="n">
        <f aca="false">IF(OR($A146=0,$A146&gt;IN_PRAZO,$B$5=0),0,IF(APORTE_CORRIGIDO="Sim",IN_APORTE*$D146,IN_APORTE))</f>
        <v>0</v>
      </c>
      <c r="P146" s="180" t="n">
        <f aca="false">IF($B$25=1,MAX(0,N146),0)</f>
        <v>752.998963741558</v>
      </c>
      <c r="Q146" s="180" t="n">
        <f aca="false">R145*$B$27</f>
        <v>729.336438432691</v>
      </c>
      <c r="R146" s="180" t="n">
        <f aca="false">R145+Q146+O146+P146</f>
        <v>87352.7626924938</v>
      </c>
      <c r="S146" s="180" t="n">
        <f aca="false">S145+O146+P146</f>
        <v>59369.0541375301</v>
      </c>
      <c r="T146" s="180" t="n">
        <f aca="false">MAX(0,IFERROR(INDEX(TAB_IR,MATCH($C146,TAB_IR_DIAS,1),MATCH("RF_REGR",TAB_IR_REGIMES,0)),0)*MAX(0,R146-S146))</f>
        <v>4197.55628324454</v>
      </c>
      <c r="U146" s="180" t="n">
        <f aca="false">E146*$B$22</f>
        <v>12117.4712816949</v>
      </c>
      <c r="V146" s="180" t="n">
        <f aca="false">IF($B$23=1,0,MAX(0,ALIQ_GANHO_CAP*MAX(0,E146-U146-$B$30)))</f>
        <v>5188.55751198303</v>
      </c>
      <c r="W146" s="181" t="n">
        <f aca="false">IF($B$5=0,0,E146-U146-V146+R146-T146)</f>
        <v>267807.032310486</v>
      </c>
      <c r="X146" s="180" t="n">
        <f aca="false">W146/$D146</f>
        <v>198908.108363781</v>
      </c>
      <c r="Y146" s="180" t="n">
        <f aca="false">IF($B$25=1,0,MAX(0,N146))</f>
        <v>0</v>
      </c>
      <c r="Z146" s="180" t="n">
        <f aca="false">Z145+O146</f>
        <v>155250</v>
      </c>
    </row>
    <row r="147" customFormat="false" ht="12" hidden="false" customHeight="true" outlineLevel="0" collapsed="false">
      <c r="A147" s="177" t="n">
        <v>92</v>
      </c>
      <c r="B147" s="178" t="n">
        <f aca="false">EDATE(DATA_INICIO,$A147)</f>
        <v>49057</v>
      </c>
      <c r="C147" s="177" t="n">
        <f aca="false">$A147*30</f>
        <v>2760</v>
      </c>
      <c r="D147" s="179" t="n">
        <f aca="false">(1+$B$29)^$A147</f>
        <v>1.35079341438772</v>
      </c>
      <c r="E147" s="180" t="n">
        <f aca="false">$B$6*(1+$B$21)^$A147</f>
        <v>202619.012158157</v>
      </c>
      <c r="F147" s="180" t="n">
        <f aca="false">IF($A147=0,0,$B$13*(1+$B$16)^($A147-1))</f>
        <v>1211.74712816949</v>
      </c>
      <c r="G147" s="180" t="n">
        <f aca="false">F147*$B$14</f>
        <v>96.9397702535593</v>
      </c>
      <c r="H147" s="180" t="n">
        <f aca="false">F147-G147</f>
        <v>1114.80735791593</v>
      </c>
      <c r="I147" s="180" t="n">
        <f aca="false">IF($A147=0,0,E147*$B$17/12)</f>
        <v>101.309506079079</v>
      </c>
      <c r="J147" s="180" t="n">
        <f aca="false">H147*$B$19</f>
        <v>89.1845886332745</v>
      </c>
      <c r="K147" s="180" t="n">
        <f aca="false">IF($A147=0,0,E147*$B$18/12)</f>
        <v>168.849176798465</v>
      </c>
      <c r="L147" s="180" t="n">
        <f aca="false">MAX(0,H147-I147-J147)</f>
        <v>924.313263203578</v>
      </c>
      <c r="M147" s="180" t="n">
        <f aca="false">MAX(0,L147*IFERROR(INDEX(TAB_IRPF_ALIQ,MATCH(L147,TAB_IRPF_BASE,1)),0)-IFERROR(INDEX(TAB_IRPF_DED,MATCH(L147,TAB_IRPF_BASE,1)),0))</f>
        <v>0</v>
      </c>
      <c r="N147" s="180" t="n">
        <f aca="false">H147-I147-J147-K147-M147</f>
        <v>755.464086405114</v>
      </c>
      <c r="O147" s="180" t="n">
        <f aca="false">IF(OR($A147=0,$A147&gt;IN_PRAZO,$B$5=0),0,IF(APORTE_CORRIGIDO="Sim",IN_APORTE*$D147,IN_APORTE))</f>
        <v>0</v>
      </c>
      <c r="P147" s="180" t="n">
        <f aca="false">IF($B$25=1,MAX(0,N147),0)</f>
        <v>755.464086405114</v>
      </c>
      <c r="Q147" s="180" t="n">
        <f aca="false">R146*$B$27</f>
        <v>741.926584503925</v>
      </c>
      <c r="R147" s="180" t="n">
        <f aca="false">R146+Q147+O147+P147</f>
        <v>88850.1533634028</v>
      </c>
      <c r="S147" s="180" t="n">
        <f aca="false">S146+O147+P147</f>
        <v>60124.5182239352</v>
      </c>
      <c r="T147" s="180" t="n">
        <f aca="false">MAX(0,IFERROR(INDEX(TAB_IR,MATCH($C147,TAB_IR_DIAS,1),MATCH("RF_REGR",TAB_IR_REGIMES,0)),0)*MAX(0,R147-S147))</f>
        <v>4308.84527092013</v>
      </c>
      <c r="U147" s="180" t="n">
        <f aca="false">E147*$B$22</f>
        <v>12157.1407294894</v>
      </c>
      <c r="V147" s="180" t="n">
        <f aca="false">IF($B$23=1,0,MAX(0,ALIQ_GANHO_CAP*MAX(0,E147-U147-$B$30)))</f>
        <v>5281.7807143002</v>
      </c>
      <c r="W147" s="181" t="n">
        <f aca="false">IF($B$5=0,0,E147-U147-V147+R147-T147)</f>
        <v>269721.39880685</v>
      </c>
      <c r="X147" s="180" t="n">
        <f aca="false">W147/$D147</f>
        <v>199676.276130728</v>
      </c>
      <c r="Y147" s="180" t="n">
        <f aca="false">IF($B$25=1,0,MAX(0,N147))</f>
        <v>0</v>
      </c>
      <c r="Z147" s="180" t="n">
        <f aca="false">Z146+O147</f>
        <v>155250</v>
      </c>
    </row>
    <row r="148" customFormat="false" ht="12" hidden="false" customHeight="true" outlineLevel="0" collapsed="false">
      <c r="A148" s="177" t="n">
        <v>93</v>
      </c>
      <c r="B148" s="178" t="n">
        <f aca="false">EDATE(DATA_INICIO,$A148)</f>
        <v>49087</v>
      </c>
      <c r="C148" s="177" t="n">
        <f aca="false">$A148*30</f>
        <v>2790</v>
      </c>
      <c r="D148" s="179" t="n">
        <f aca="false">(1+$B$29)^$A148</f>
        <v>1.35521556052593</v>
      </c>
      <c r="E148" s="180" t="n">
        <f aca="false">$B$6*(1+$B$21)^$A148</f>
        <v>203282.334078889</v>
      </c>
      <c r="F148" s="180" t="n">
        <f aca="false">IF($A148=0,0,$B$13*(1+$B$16)^($A148-1))</f>
        <v>1215.71407294894</v>
      </c>
      <c r="G148" s="180" t="n">
        <f aca="false">F148*$B$14</f>
        <v>97.2571258359156</v>
      </c>
      <c r="H148" s="180" t="n">
        <f aca="false">F148-G148</f>
        <v>1118.45694711303</v>
      </c>
      <c r="I148" s="180" t="n">
        <f aca="false">IF($A148=0,0,E148*$B$17/12)</f>
        <v>101.641167039445</v>
      </c>
      <c r="J148" s="180" t="n">
        <f aca="false">H148*$B$19</f>
        <v>89.4765557690423</v>
      </c>
      <c r="K148" s="180" t="n">
        <f aca="false">IF($A148=0,0,E148*$B$18/12)</f>
        <v>169.401945065741</v>
      </c>
      <c r="L148" s="180" t="n">
        <f aca="false">MAX(0,H148-I148-J148)</f>
        <v>927.339224304542</v>
      </c>
      <c r="M148" s="180" t="n">
        <f aca="false">MAX(0,L148*IFERROR(INDEX(TAB_IRPF_ALIQ,MATCH(L148,TAB_IRPF_BASE,1)),0)-IFERROR(INDEX(TAB_IRPF_DED,MATCH(L148,TAB_IRPF_BASE,1)),0))</f>
        <v>0</v>
      </c>
      <c r="N148" s="180" t="n">
        <f aca="false">H148-I148-J148-K148-M148</f>
        <v>757.937279238801</v>
      </c>
      <c r="O148" s="180" t="n">
        <f aca="false">IF(OR($A148=0,$A148&gt;IN_PRAZO,$B$5=0),0,IF(APORTE_CORRIGIDO="Sim",IN_APORTE*$D148,IN_APORTE))</f>
        <v>0</v>
      </c>
      <c r="P148" s="180" t="n">
        <f aca="false">IF($B$25=1,MAX(0,N148),0)</f>
        <v>757.937279238801</v>
      </c>
      <c r="Q148" s="180" t="n">
        <f aca="false">R147*$B$27</f>
        <v>754.644601792588</v>
      </c>
      <c r="R148" s="180" t="n">
        <f aca="false">R147+Q148+O148+P148</f>
        <v>90362.7352444342</v>
      </c>
      <c r="S148" s="180" t="n">
        <f aca="false">S147+O148+P148</f>
        <v>60882.455503174</v>
      </c>
      <c r="T148" s="180" t="n">
        <f aca="false">MAX(0,IFERROR(INDEX(TAB_IR,MATCH($C148,TAB_IR_DIAS,1),MATCH("RF_REGR",TAB_IR_REGIMES,0)),0)*MAX(0,R148-S148))</f>
        <v>4422.04196118902</v>
      </c>
      <c r="U148" s="180" t="n">
        <f aca="false">E148*$B$22</f>
        <v>12196.9400447334</v>
      </c>
      <c r="V148" s="180" t="n">
        <f aca="false">IF($B$23=1,0,MAX(0,ALIQ_GANHO_CAP*MAX(0,E148-U148-$B$30)))</f>
        <v>5375.3091051234</v>
      </c>
      <c r="W148" s="181" t="n">
        <f aca="false">IF($B$5=0,0,E148-U148-V148+R148-T148)</f>
        <v>271650.778212278</v>
      </c>
      <c r="X148" s="180" t="n">
        <f aca="false">W148/$D148</f>
        <v>200448.390739298</v>
      </c>
      <c r="Y148" s="180" t="n">
        <f aca="false">IF($B$25=1,0,MAX(0,N148))</f>
        <v>0</v>
      </c>
      <c r="Z148" s="180" t="n">
        <f aca="false">Z147+O148</f>
        <v>155250</v>
      </c>
    </row>
    <row r="149" customFormat="false" ht="12" hidden="false" customHeight="true" outlineLevel="0" collapsed="false">
      <c r="A149" s="177" t="n">
        <v>94</v>
      </c>
      <c r="B149" s="178" t="n">
        <f aca="false">EDATE(DATA_INICIO,$A149)</f>
        <v>49118</v>
      </c>
      <c r="C149" s="177" t="n">
        <f aca="false">$A149*30</f>
        <v>2820</v>
      </c>
      <c r="D149" s="179" t="n">
        <f aca="false">(1+$B$29)^$A149</f>
        <v>1.35965218361988</v>
      </c>
      <c r="E149" s="180" t="n">
        <f aca="false">$B$6*(1+$B$21)^$A149</f>
        <v>203947.827542982</v>
      </c>
      <c r="F149" s="180" t="n">
        <f aca="false">IF($A149=0,0,$B$13*(1+$B$16)^($A149-1))</f>
        <v>1219.69400447334</v>
      </c>
      <c r="G149" s="180" t="n">
        <f aca="false">F149*$B$14</f>
        <v>97.5755203578669</v>
      </c>
      <c r="H149" s="180" t="n">
        <f aca="false">F149-G149</f>
        <v>1122.11848411547</v>
      </c>
      <c r="I149" s="180" t="n">
        <f aca="false">IF($A149=0,0,E149*$B$17/12)</f>
        <v>101.973913771491</v>
      </c>
      <c r="J149" s="180" t="n">
        <f aca="false">H149*$B$19</f>
        <v>89.7694787292376</v>
      </c>
      <c r="K149" s="180" t="n">
        <f aca="false">IF($A149=0,0,E149*$B$18/12)</f>
        <v>169.956522952485</v>
      </c>
      <c r="L149" s="180" t="n">
        <f aca="false">MAX(0,H149-I149-J149)</f>
        <v>930.375091614741</v>
      </c>
      <c r="M149" s="180" t="n">
        <f aca="false">MAX(0,L149*IFERROR(INDEX(TAB_IRPF_ALIQ,MATCH(L149,TAB_IRPF_BASE,1)),0)-IFERROR(INDEX(TAB_IRPF_DED,MATCH(L149,TAB_IRPF_BASE,1)),0))</f>
        <v>0</v>
      </c>
      <c r="N149" s="180" t="n">
        <f aca="false">H149-I149-J149-K149-M149</f>
        <v>760.418568662256</v>
      </c>
      <c r="O149" s="180" t="n">
        <f aca="false">IF(OR($A149=0,$A149&gt;IN_PRAZO,$B$5=0),0,IF(APORTE_CORRIGIDO="Sim",IN_APORTE*$D149,IN_APORTE))</f>
        <v>0</v>
      </c>
      <c r="P149" s="180" t="n">
        <f aca="false">IF($B$25=1,MAX(0,N149),0)</f>
        <v>760.418568662256</v>
      </c>
      <c r="Q149" s="180" t="n">
        <f aca="false">R148*$B$27</f>
        <v>767.491644910465</v>
      </c>
      <c r="R149" s="180" t="n">
        <f aca="false">R148+Q149+O149+P149</f>
        <v>91890.6454580069</v>
      </c>
      <c r="S149" s="180" t="n">
        <f aca="false">S148+O149+P149</f>
        <v>61642.8740718363</v>
      </c>
      <c r="T149" s="180" t="n">
        <f aca="false">MAX(0,IFERROR(INDEX(TAB_IR,MATCH($C149,TAB_IR_DIAS,1),MATCH("RF_REGR",TAB_IR_REGIMES,0)),0)*MAX(0,R149-S149))</f>
        <v>4537.16570792559</v>
      </c>
      <c r="U149" s="180" t="n">
        <f aca="false">E149*$B$22</f>
        <v>12236.8696525789</v>
      </c>
      <c r="V149" s="180" t="n">
        <f aca="false">IF($B$23=1,0,MAX(0,ALIQ_GANHO_CAP*MAX(0,E149-U149-$B$30)))</f>
        <v>5469.14368356042</v>
      </c>
      <c r="W149" s="181" t="n">
        <f aca="false">IF($B$5=0,0,E149-U149-V149+R149-T149)</f>
        <v>273595.293956924</v>
      </c>
      <c r="X149" s="180" t="n">
        <f aca="false">W149/$D149</f>
        <v>201224.47288579</v>
      </c>
      <c r="Y149" s="180" t="n">
        <f aca="false">IF($B$25=1,0,MAX(0,N149))</f>
        <v>0</v>
      </c>
      <c r="Z149" s="180" t="n">
        <f aca="false">Z148+O149</f>
        <v>155250</v>
      </c>
    </row>
    <row r="150" customFormat="false" ht="12" hidden="false" customHeight="true" outlineLevel="0" collapsed="false">
      <c r="A150" s="177" t="n">
        <v>95</v>
      </c>
      <c r="B150" s="178" t="n">
        <f aca="false">EDATE(DATA_INICIO,$A150)</f>
        <v>49148</v>
      </c>
      <c r="C150" s="177" t="n">
        <f aca="false">$A150*30</f>
        <v>2850</v>
      </c>
      <c r="D150" s="179" t="n">
        <f aca="false">(1+$B$29)^$A150</f>
        <v>1.36410333106335</v>
      </c>
      <c r="E150" s="180" t="n">
        <f aca="false">$B$6*(1+$B$21)^$A150</f>
        <v>204615.499659502</v>
      </c>
      <c r="F150" s="180" t="n">
        <f aca="false">IF($A150=0,0,$B$13*(1+$B$16)^($A150-1))</f>
        <v>1223.68696525789</v>
      </c>
      <c r="G150" s="180" t="n">
        <f aca="false">F150*$B$14</f>
        <v>97.8949572206312</v>
      </c>
      <c r="H150" s="180" t="n">
        <f aca="false">F150-G150</f>
        <v>1125.79200803726</v>
      </c>
      <c r="I150" s="180" t="n">
        <f aca="false">IF($A150=0,0,E150*$B$17/12)</f>
        <v>102.307749829751</v>
      </c>
      <c r="J150" s="180" t="n">
        <f aca="false">H150*$B$19</f>
        <v>90.0633606429807</v>
      </c>
      <c r="K150" s="180" t="n">
        <f aca="false">IF($A150=0,0,E150*$B$18/12)</f>
        <v>170.512916382919</v>
      </c>
      <c r="L150" s="180" t="n">
        <f aca="false">MAX(0,H150-I150-J150)</f>
        <v>933.420897564527</v>
      </c>
      <c r="M150" s="180" t="n">
        <f aca="false">MAX(0,L150*IFERROR(INDEX(TAB_IRPF_ALIQ,MATCH(L150,TAB_IRPF_BASE,1)),0)-IFERROR(INDEX(TAB_IRPF_DED,MATCH(L150,TAB_IRPF_BASE,1)),0))</f>
        <v>0</v>
      </c>
      <c r="N150" s="180" t="n">
        <f aca="false">H150-I150-J150-K150-M150</f>
        <v>762.907981181609</v>
      </c>
      <c r="O150" s="180" t="n">
        <f aca="false">IF(OR($A150=0,$A150&gt;IN_PRAZO,$B$5=0),0,IF(APORTE_CORRIGIDO="Sim",IN_APORTE*$D150,IN_APORTE))</f>
        <v>0</v>
      </c>
      <c r="P150" s="180" t="n">
        <f aca="false">IF($B$25=1,MAX(0,N150),0)</f>
        <v>762.907981181609</v>
      </c>
      <c r="Q150" s="180" t="n">
        <f aca="false">R149*$B$27</f>
        <v>780.468878500377</v>
      </c>
      <c r="R150" s="180" t="n">
        <f aca="false">R149+Q150+O150+P150</f>
        <v>93434.0223176889</v>
      </c>
      <c r="S150" s="180" t="n">
        <f aca="false">S149+O150+P150</f>
        <v>62405.7820530179</v>
      </c>
      <c r="T150" s="180" t="n">
        <f aca="false">MAX(0,IFERROR(INDEX(TAB_IR,MATCH($C150,TAB_IR_DIAS,1),MATCH("RF_REGR",TAB_IR_REGIMES,0)),0)*MAX(0,R150-S150))</f>
        <v>4654.23603970065</v>
      </c>
      <c r="U150" s="180" t="n">
        <f aca="false">E150*$B$22</f>
        <v>12276.9299795701</v>
      </c>
      <c r="V150" s="180" t="n">
        <f aca="false">IF($B$23=1,0,MAX(0,ALIQ_GANHO_CAP*MAX(0,E150-U150-$B$30)))</f>
        <v>5563.28545198981</v>
      </c>
      <c r="W150" s="181" t="n">
        <f aca="false">IF($B$5=0,0,E150-U150-V150+R150-T150)</f>
        <v>275555.070505931</v>
      </c>
      <c r="X150" s="180" t="n">
        <f aca="false">W150/$D150</f>
        <v>202004.543373653</v>
      </c>
      <c r="Y150" s="180" t="n">
        <f aca="false">IF($B$25=1,0,MAX(0,N150))</f>
        <v>0</v>
      </c>
      <c r="Z150" s="180" t="n">
        <f aca="false">Z149+O150</f>
        <v>155250</v>
      </c>
    </row>
    <row r="151" customFormat="false" ht="12" hidden="false" customHeight="true" outlineLevel="0" collapsed="false">
      <c r="A151" s="177" t="n">
        <v>96</v>
      </c>
      <c r="B151" s="178" t="n">
        <f aca="false">EDATE(DATA_INICIO,$A151)</f>
        <v>49179</v>
      </c>
      <c r="C151" s="177" t="n">
        <f aca="false">$A151*30</f>
        <v>2880</v>
      </c>
      <c r="D151" s="179" t="n">
        <f aca="false">(1+$B$29)^$A151</f>
        <v>1.36856905040528</v>
      </c>
      <c r="E151" s="180" t="n">
        <f aca="false">$B$6*(1+$B$21)^$A151</f>
        <v>205285.357560792</v>
      </c>
      <c r="F151" s="180" t="n">
        <f aca="false">IF($A151=0,0,$B$13*(1+$B$16)^($A151-1))</f>
        <v>1227.69299795701</v>
      </c>
      <c r="G151" s="180" t="n">
        <f aca="false">F151*$B$14</f>
        <v>98.2154398365611</v>
      </c>
      <c r="H151" s="180" t="n">
        <f aca="false">F151-G151</f>
        <v>1129.47755812045</v>
      </c>
      <c r="I151" s="180" t="n">
        <f aca="false">IF($A151=0,0,E151*$B$17/12)</f>
        <v>102.642678780396</v>
      </c>
      <c r="J151" s="180" t="n">
        <f aca="false">H151*$B$19</f>
        <v>90.3582046496362</v>
      </c>
      <c r="K151" s="180" t="n">
        <f aca="false">IF($A151=0,0,E151*$B$18/12)</f>
        <v>171.07113130066</v>
      </c>
      <c r="L151" s="180" t="n">
        <f aca="false">MAX(0,H151-I151-J151)</f>
        <v>936.47667469042</v>
      </c>
      <c r="M151" s="180" t="n">
        <f aca="false">MAX(0,L151*IFERROR(INDEX(TAB_IRPF_ALIQ,MATCH(L151,TAB_IRPF_BASE,1)),0)-IFERROR(INDEX(TAB_IRPF_DED,MATCH(L151,TAB_IRPF_BASE,1)),0))</f>
        <v>0</v>
      </c>
      <c r="N151" s="180" t="n">
        <f aca="false">H151-I151-J151-K151-M151</f>
        <v>765.40554338976</v>
      </c>
      <c r="O151" s="180" t="n">
        <f aca="false">IF(OR($A151=0,$A151&gt;IN_PRAZO,$B$5=0),0,IF(APORTE_CORRIGIDO="Sim",IN_APORTE*$D151,IN_APORTE))</f>
        <v>0</v>
      </c>
      <c r="P151" s="180" t="n">
        <f aca="false">IF($B$25=1,MAX(0,N151),0)</f>
        <v>765.40554338976</v>
      </c>
      <c r="Q151" s="180" t="n">
        <f aca="false">R150*$B$27</f>
        <v>793.577477322114</v>
      </c>
      <c r="R151" s="180" t="n">
        <f aca="false">R150+Q151+O151+P151</f>
        <v>94993.0053384008</v>
      </c>
      <c r="S151" s="180" t="n">
        <f aca="false">S150+O151+P151</f>
        <v>63171.1875964077</v>
      </c>
      <c r="T151" s="180" t="n">
        <f aca="false">MAX(0,IFERROR(INDEX(TAB_IR,MATCH($C151,TAB_IR_DIAS,1),MATCH("RF_REGR",TAB_IR_REGIMES,0)),0)*MAX(0,R151-S151))</f>
        <v>4773.27266129896</v>
      </c>
      <c r="U151" s="180" t="n">
        <f aca="false">E151*$B$22</f>
        <v>12317.1214536475</v>
      </c>
      <c r="V151" s="180" t="n">
        <f aca="false">IF($B$23=1,0,MAX(0,ALIQ_GANHO_CAP*MAX(0,E151-U151-$B$30)))</f>
        <v>5657.73541607168</v>
      </c>
      <c r="W151" s="181" t="n">
        <f aca="false">IF($B$5=0,0,E151-U151-V151+R151-T151)</f>
        <v>277530.233368175</v>
      </c>
      <c r="X151" s="180" t="n">
        <f aca="false">W151/$D151</f>
        <v>202788.623114039</v>
      </c>
      <c r="Y151" s="180" t="n">
        <f aca="false">IF($B$25=1,0,MAX(0,N151))</f>
        <v>0</v>
      </c>
      <c r="Z151" s="180" t="n">
        <f aca="false">Z150+O151</f>
        <v>155250</v>
      </c>
    </row>
    <row r="152" customFormat="false" ht="12" hidden="false" customHeight="true" outlineLevel="0" collapsed="false">
      <c r="A152" s="177" t="n">
        <v>97</v>
      </c>
      <c r="B152" s="178" t="n">
        <f aca="false">EDATE(DATA_INICIO,$A152)</f>
        <v>49210</v>
      </c>
      <c r="C152" s="177" t="n">
        <f aca="false">$A152*30</f>
        <v>2910</v>
      </c>
      <c r="D152" s="179" t="n">
        <f aca="false">(1+$B$29)^$A152</f>
        <v>1.37304938935028</v>
      </c>
      <c r="E152" s="180" t="n">
        <f aca="false">$B$6*(1+$B$21)^$A152</f>
        <v>205957.408402542</v>
      </c>
      <c r="F152" s="180" t="n">
        <f aca="false">IF($A152=0,0,$B$13*(1+$B$16)^($A152-1))</f>
        <v>1231.71214536475</v>
      </c>
      <c r="G152" s="180" t="n">
        <f aca="false">F152*$B$14</f>
        <v>98.5369716291802</v>
      </c>
      <c r="H152" s="180" t="n">
        <f aca="false">F152-G152</f>
        <v>1133.17517373557</v>
      </c>
      <c r="I152" s="180" t="n">
        <f aca="false">IF($A152=0,0,E152*$B$17/12)</f>
        <v>102.978704201271</v>
      </c>
      <c r="J152" s="180" t="n">
        <f aca="false">H152*$B$19</f>
        <v>90.6540138988458</v>
      </c>
      <c r="K152" s="180" t="n">
        <f aca="false">IF($A152=0,0,E152*$B$18/12)</f>
        <v>171.631173668785</v>
      </c>
      <c r="L152" s="180" t="n">
        <f aca="false">MAX(0,H152-I152-J152)</f>
        <v>939.542455635456</v>
      </c>
      <c r="M152" s="180" t="n">
        <f aca="false">MAX(0,L152*IFERROR(INDEX(TAB_IRPF_ALIQ,MATCH(L152,TAB_IRPF_BASE,1)),0)-IFERROR(INDEX(TAB_IRPF_DED,MATCH(L152,TAB_IRPF_BASE,1)),0))</f>
        <v>0</v>
      </c>
      <c r="N152" s="180" t="n">
        <f aca="false">H152-I152-J152-K152-M152</f>
        <v>767.911281966671</v>
      </c>
      <c r="O152" s="180" t="n">
        <f aca="false">IF(OR($A152=0,$A152&gt;IN_PRAZO,$B$5=0),0,IF(APORTE_CORRIGIDO="Sim",IN_APORTE*$D152,IN_APORTE))</f>
        <v>0</v>
      </c>
      <c r="P152" s="180" t="n">
        <f aca="false">IF($B$25=1,MAX(0,N152),0)</f>
        <v>767.911281966671</v>
      </c>
      <c r="Q152" s="180" t="n">
        <f aca="false">R151*$B$27</f>
        <v>806.818626339096</v>
      </c>
      <c r="R152" s="180" t="n">
        <f aca="false">R151+Q152+O152+P152</f>
        <v>96567.7352467065</v>
      </c>
      <c r="S152" s="180" t="n">
        <f aca="false">S151+O152+P152</f>
        <v>63939.0988783743</v>
      </c>
      <c r="T152" s="180" t="n">
        <f aca="false">MAX(0,IFERROR(INDEX(TAB_IR,MATCH($C152,TAB_IR_DIAS,1),MATCH("RF_REGR",TAB_IR_REGIMES,0)),0)*MAX(0,R152-S152))</f>
        <v>4894.29545524983</v>
      </c>
      <c r="U152" s="180" t="n">
        <f aca="false">E152*$B$22</f>
        <v>12357.4445041525</v>
      </c>
      <c r="V152" s="180" t="n">
        <f aca="false">IF($B$23=1,0,MAX(0,ALIQ_GANHO_CAP*MAX(0,E152-U152-$B$30)))</f>
        <v>5752.49458475839</v>
      </c>
      <c r="W152" s="181" t="n">
        <f aca="false">IF($B$5=0,0,E152-U152-V152+R152-T152)</f>
        <v>279520.909105088</v>
      </c>
      <c r="X152" s="180" t="n">
        <f aca="false">W152/$D152</f>
        <v>203576.733126371</v>
      </c>
      <c r="Y152" s="180" t="n">
        <f aca="false">IF($B$25=1,0,MAX(0,N152))</f>
        <v>0</v>
      </c>
      <c r="Z152" s="180" t="n">
        <f aca="false">Z151+O152</f>
        <v>155250</v>
      </c>
    </row>
    <row r="153" customFormat="false" ht="12" hidden="false" customHeight="true" outlineLevel="0" collapsed="false">
      <c r="A153" s="177" t="n">
        <v>98</v>
      </c>
      <c r="B153" s="178" t="n">
        <f aca="false">EDATE(DATA_INICIO,$A153)</f>
        <v>49240</v>
      </c>
      <c r="C153" s="177" t="n">
        <f aca="false">$A153*30</f>
        <v>2940</v>
      </c>
      <c r="D153" s="179" t="n">
        <f aca="false">(1+$B$29)^$A153</f>
        <v>1.37754439575912</v>
      </c>
      <c r="E153" s="180" t="n">
        <f aca="false">$B$6*(1+$B$21)^$A153</f>
        <v>206631.659363868</v>
      </c>
      <c r="F153" s="180" t="n">
        <f aca="false">IF($A153=0,0,$B$13*(1+$B$16)^($A153-1))</f>
        <v>1235.74445041525</v>
      </c>
      <c r="G153" s="180" t="n">
        <f aca="false">F153*$B$14</f>
        <v>98.85955603322</v>
      </c>
      <c r="H153" s="180" t="n">
        <f aca="false">F153-G153</f>
        <v>1136.88489438203</v>
      </c>
      <c r="I153" s="180" t="n">
        <f aca="false">IF($A153=0,0,E153*$B$17/12)</f>
        <v>103.315829681934</v>
      </c>
      <c r="J153" s="180" t="n">
        <f aca="false">H153*$B$19</f>
        <v>90.9507915505624</v>
      </c>
      <c r="K153" s="180" t="n">
        <f aca="false">IF($A153=0,0,E153*$B$18/12)</f>
        <v>172.19304946989</v>
      </c>
      <c r="L153" s="180" t="n">
        <f aca="false">MAX(0,H153-I153-J153)</f>
        <v>942.618273149534</v>
      </c>
      <c r="M153" s="180" t="n">
        <f aca="false">MAX(0,L153*IFERROR(INDEX(TAB_IRPF_ALIQ,MATCH(L153,TAB_IRPF_BASE,1)),0)-IFERROR(INDEX(TAB_IRPF_DED,MATCH(L153,TAB_IRPF_BASE,1)),0))</f>
        <v>0</v>
      </c>
      <c r="N153" s="180" t="n">
        <f aca="false">H153-I153-J153-K153-M153</f>
        <v>770.425223679644</v>
      </c>
      <c r="O153" s="180" t="n">
        <f aca="false">IF(OR($A153=0,$A153&gt;IN_PRAZO,$B$5=0),0,IF(APORTE_CORRIGIDO="Sim",IN_APORTE*$D153,IN_APORTE))</f>
        <v>0</v>
      </c>
      <c r="P153" s="180" t="n">
        <f aca="false">IF($B$25=1,MAX(0,N153),0)</f>
        <v>770.425223679644</v>
      </c>
      <c r="Q153" s="180" t="n">
        <f aca="false">R152*$B$27</f>
        <v>820.193520805781</v>
      </c>
      <c r="R153" s="180" t="n">
        <f aca="false">R152+Q153+O153+P153</f>
        <v>98158.353991192</v>
      </c>
      <c r="S153" s="180" t="n">
        <f aca="false">S152+O153+P153</f>
        <v>64709.524102054</v>
      </c>
      <c r="T153" s="180" t="n">
        <f aca="false">MAX(0,IFERROR(INDEX(TAB_IR,MATCH($C153,TAB_IR_DIAS,1),MATCH("RF_REGR",TAB_IR_REGIMES,0)),0)*MAX(0,R153-S153))</f>
        <v>5017.3244833707</v>
      </c>
      <c r="U153" s="180" t="n">
        <f aca="false">E153*$B$22</f>
        <v>12397.8995618321</v>
      </c>
      <c r="V153" s="180" t="n">
        <f aca="false">IF($B$23=1,0,MAX(0,ALIQ_GANHO_CAP*MAX(0,E153-U153-$B$30)))</f>
        <v>5847.56397030535</v>
      </c>
      <c r="W153" s="181" t="n">
        <f aca="false">IF($B$5=0,0,E153-U153-V153+R153-T153)</f>
        <v>281527.225339552</v>
      </c>
      <c r="X153" s="180" t="n">
        <f aca="false">W153/$D153</f>
        <v>204368.894538903</v>
      </c>
      <c r="Y153" s="180" t="n">
        <f aca="false">IF($B$25=1,0,MAX(0,N153))</f>
        <v>0</v>
      </c>
      <c r="Z153" s="180" t="n">
        <f aca="false">Z152+O153</f>
        <v>155250</v>
      </c>
    </row>
    <row r="154" customFormat="false" ht="12" hidden="false" customHeight="true" outlineLevel="0" collapsed="false">
      <c r="A154" s="177" t="n">
        <v>99</v>
      </c>
      <c r="B154" s="178" t="n">
        <f aca="false">EDATE(DATA_INICIO,$A154)</f>
        <v>49271</v>
      </c>
      <c r="C154" s="177" t="n">
        <f aca="false">$A154*30</f>
        <v>2970</v>
      </c>
      <c r="D154" s="179" t="n">
        <f aca="false">(1+$B$29)^$A154</f>
        <v>1.38205411764926</v>
      </c>
      <c r="E154" s="180" t="n">
        <f aca="false">$B$6*(1+$B$21)^$A154</f>
        <v>207308.117647389</v>
      </c>
      <c r="F154" s="180" t="n">
        <f aca="false">IF($A154=0,0,$B$13*(1+$B$16)^($A154-1))</f>
        <v>1239.78995618321</v>
      </c>
      <c r="G154" s="180" t="n">
        <f aca="false">F154*$B$14</f>
        <v>99.1831964946565</v>
      </c>
      <c r="H154" s="180" t="n">
        <f aca="false">F154-G154</f>
        <v>1140.60675968855</v>
      </c>
      <c r="I154" s="180" t="n">
        <f aca="false">IF($A154=0,0,E154*$B$17/12)</f>
        <v>103.654058823695</v>
      </c>
      <c r="J154" s="180" t="n">
        <f aca="false">H154*$B$19</f>
        <v>91.248540775084</v>
      </c>
      <c r="K154" s="180" t="n">
        <f aca="false">IF($A154=0,0,E154*$B$18/12)</f>
        <v>172.756764706158</v>
      </c>
      <c r="L154" s="180" t="n">
        <f aca="false">MAX(0,H154-I154-J154)</f>
        <v>945.704160089771</v>
      </c>
      <c r="M154" s="180" t="n">
        <f aca="false">MAX(0,L154*IFERROR(INDEX(TAB_IRPF_ALIQ,MATCH(L154,TAB_IRPF_BASE,1)),0)-IFERROR(INDEX(TAB_IRPF_DED,MATCH(L154,TAB_IRPF_BASE,1)),0))</f>
        <v>0</v>
      </c>
      <c r="N154" s="180" t="n">
        <f aca="false">H154-I154-J154-K154-M154</f>
        <v>772.947395383614</v>
      </c>
      <c r="O154" s="180" t="n">
        <f aca="false">IF(OR($A154=0,$A154&gt;IN_PRAZO,$B$5=0),0,IF(APORTE_CORRIGIDO="Sim",IN_APORTE*$D154,IN_APORTE))</f>
        <v>0</v>
      </c>
      <c r="P154" s="180" t="n">
        <f aca="false">IF($B$25=1,MAX(0,N154),0)</f>
        <v>772.947395383614</v>
      </c>
      <c r="Q154" s="180" t="n">
        <f aca="false">R153*$B$27</f>
        <v>833.703366355811</v>
      </c>
      <c r="R154" s="180" t="n">
        <f aca="false">R153+Q154+O154+P154</f>
        <v>99765.0047529314</v>
      </c>
      <c r="S154" s="180" t="n">
        <f aca="false">S153+O154+P154</f>
        <v>65482.4714974376</v>
      </c>
      <c r="T154" s="180" t="n">
        <f aca="false">MAX(0,IFERROR(INDEX(TAB_IR,MATCH($C154,TAB_IR_DIAS,1),MATCH("RF_REGR",TAB_IR_REGIMES,0)),0)*MAX(0,R154-S154))</f>
        <v>5142.37998832407</v>
      </c>
      <c r="U154" s="180" t="n">
        <f aca="false">E154*$B$22</f>
        <v>12438.4870588433</v>
      </c>
      <c r="V154" s="180" t="n">
        <f aca="false">IF($B$23=1,0,MAX(0,ALIQ_GANHO_CAP*MAX(0,E154-U154-$B$30)))</f>
        <v>5942.94458828185</v>
      </c>
      <c r="W154" s="181" t="n">
        <f aca="false">IF($B$5=0,0,E154-U154-V154+R154-T154)</f>
        <v>283549.310764871</v>
      </c>
      <c r="X154" s="180" t="n">
        <f aca="false">W154/$D154</f>
        <v>205165.128589292</v>
      </c>
      <c r="Y154" s="180" t="n">
        <f aca="false">IF($B$25=1,0,MAX(0,N154))</f>
        <v>0</v>
      </c>
      <c r="Z154" s="180" t="n">
        <f aca="false">Z153+O154</f>
        <v>155250</v>
      </c>
    </row>
    <row r="155" customFormat="false" ht="12" hidden="false" customHeight="true" outlineLevel="0" collapsed="false">
      <c r="A155" s="177" t="n">
        <v>100</v>
      </c>
      <c r="B155" s="178" t="n">
        <f aca="false">EDATE(DATA_INICIO,$A155)</f>
        <v>49301</v>
      </c>
      <c r="C155" s="177" t="n">
        <f aca="false">$A155*30</f>
        <v>3000</v>
      </c>
      <c r="D155" s="179" t="n">
        <f aca="false">(1+$B$29)^$A155</f>
        <v>1.38657860319536</v>
      </c>
      <c r="E155" s="180" t="n">
        <f aca="false">$B$6*(1+$B$21)^$A155</f>
        <v>207986.790479304</v>
      </c>
      <c r="F155" s="180" t="n">
        <f aca="false">IF($A155=0,0,$B$13*(1+$B$16)^($A155-1))</f>
        <v>1243.84870588433</v>
      </c>
      <c r="G155" s="180" t="n">
        <f aca="false">F155*$B$14</f>
        <v>99.5078964707467</v>
      </c>
      <c r="H155" s="180" t="n">
        <f aca="false">F155-G155</f>
        <v>1144.34080941359</v>
      </c>
      <c r="I155" s="180" t="n">
        <f aca="false">IF($A155=0,0,E155*$B$17/12)</f>
        <v>103.993395239652</v>
      </c>
      <c r="J155" s="180" t="n">
        <f aca="false">H155*$B$19</f>
        <v>91.547264753087</v>
      </c>
      <c r="K155" s="180" t="n">
        <f aca="false">IF($A155=0,0,E155*$B$18/12)</f>
        <v>173.32232539942</v>
      </c>
      <c r="L155" s="180" t="n">
        <f aca="false">MAX(0,H155-I155-J155)</f>
        <v>948.800149420848</v>
      </c>
      <c r="M155" s="180" t="n">
        <f aca="false">MAX(0,L155*IFERROR(INDEX(TAB_IRPF_ALIQ,MATCH(L155,TAB_IRPF_BASE,1)),0)-IFERROR(INDEX(TAB_IRPF_DED,MATCH(L155,TAB_IRPF_BASE,1)),0))</f>
        <v>0</v>
      </c>
      <c r="N155" s="180" t="n">
        <f aca="false">H155-I155-J155-K155-M155</f>
        <v>775.477824021428</v>
      </c>
      <c r="O155" s="180" t="n">
        <f aca="false">IF(OR($A155=0,$A155&gt;IN_PRAZO,$B$5=0),0,IF(APORTE_CORRIGIDO="Sim",IN_APORTE*$D155,IN_APORTE))</f>
        <v>0</v>
      </c>
      <c r="P155" s="180" t="n">
        <f aca="false">IF($B$25=1,MAX(0,N155),0)</f>
        <v>775.477824021428</v>
      </c>
      <c r="Q155" s="180" t="n">
        <f aca="false">R154*$B$27</f>
        <v>847.349379090911</v>
      </c>
      <c r="R155" s="180" t="n">
        <f aca="false">R154+Q155+O155+P155</f>
        <v>101387.831956044</v>
      </c>
      <c r="S155" s="180" t="n">
        <f aca="false">S154+O155+P155</f>
        <v>66257.949321459</v>
      </c>
      <c r="T155" s="180" t="n">
        <f aca="false">MAX(0,IFERROR(INDEX(TAB_IR,MATCH($C155,TAB_IR_DIAS,1),MATCH("RF_REGR",TAB_IR_REGIMES,0)),0)*MAX(0,R155-S155))</f>
        <v>5269.48239518771</v>
      </c>
      <c r="U155" s="180" t="n">
        <f aca="false">E155*$B$22</f>
        <v>12479.2074287582</v>
      </c>
      <c r="V155" s="180" t="n">
        <f aca="false">IF($B$23=1,0,MAX(0,ALIQ_GANHO_CAP*MAX(0,E155-U155-$B$30)))</f>
        <v>6038.63745758187</v>
      </c>
      <c r="W155" s="181" t="n">
        <f aca="false">IF($B$5=0,0,E155-U155-V155+R155-T155)</f>
        <v>285587.29515382</v>
      </c>
      <c r="X155" s="180" t="n">
        <f aca="false">W155/$D155</f>
        <v>205965.456625168</v>
      </c>
      <c r="Y155" s="180" t="n">
        <f aca="false">IF($B$25=1,0,MAX(0,N155))</f>
        <v>0</v>
      </c>
      <c r="Z155" s="180" t="n">
        <f aca="false">Z154+O155</f>
        <v>155250</v>
      </c>
    </row>
    <row r="156" customFormat="false" ht="12" hidden="false" customHeight="true" outlineLevel="0" collapsed="false">
      <c r="A156" s="177" t="n">
        <v>101</v>
      </c>
      <c r="B156" s="178" t="n">
        <f aca="false">EDATE(DATA_INICIO,$A156)</f>
        <v>49332</v>
      </c>
      <c r="C156" s="177" t="n">
        <f aca="false">$A156*30</f>
        <v>3030</v>
      </c>
      <c r="D156" s="179" t="n">
        <f aca="false">(1+$B$29)^$A156</f>
        <v>1.39111790072979</v>
      </c>
      <c r="E156" s="180" t="n">
        <f aca="false">$B$6*(1+$B$21)^$A156</f>
        <v>208667.685109468</v>
      </c>
      <c r="F156" s="180" t="n">
        <f aca="false">IF($A156=0,0,$B$13*(1+$B$16)^($A156-1))</f>
        <v>1247.92074287582</v>
      </c>
      <c r="G156" s="180" t="n">
        <f aca="false">F156*$B$14</f>
        <v>99.8336594300659</v>
      </c>
      <c r="H156" s="180" t="n">
        <f aca="false">F156-G156</f>
        <v>1148.08708344576</v>
      </c>
      <c r="I156" s="180" t="n">
        <f aca="false">IF($A156=0,0,E156*$B$17/12)</f>
        <v>104.333842554734</v>
      </c>
      <c r="J156" s="180" t="n">
        <f aca="false">H156*$B$19</f>
        <v>91.8469666756607</v>
      </c>
      <c r="K156" s="180" t="n">
        <f aca="false">IF($A156=0,0,E156*$B$18/12)</f>
        <v>173.889737591223</v>
      </c>
      <c r="L156" s="180" t="n">
        <f aca="false">MAX(0,H156-I156-J156)</f>
        <v>951.906274215364</v>
      </c>
      <c r="M156" s="180" t="n">
        <f aca="false">MAX(0,L156*IFERROR(INDEX(TAB_IRPF_ALIQ,MATCH(L156,TAB_IRPF_BASE,1)),0)-IFERROR(INDEX(TAB_IRPF_DED,MATCH(L156,TAB_IRPF_BASE,1)),0))</f>
        <v>0</v>
      </c>
      <c r="N156" s="180" t="n">
        <f aca="false">H156-I156-J156-K156-M156</f>
        <v>778.01653662414</v>
      </c>
      <c r="O156" s="180" t="n">
        <f aca="false">IF(OR($A156=0,$A156&gt;IN_PRAZO,$B$5=0),0,IF(APORTE_CORRIGIDO="Sim",IN_APORTE*$D156,IN_APORTE))</f>
        <v>0</v>
      </c>
      <c r="P156" s="180" t="n">
        <f aca="false">IF($B$25=1,MAX(0,N156),0)</f>
        <v>778.01653662414</v>
      </c>
      <c r="Q156" s="180" t="n">
        <f aca="false">R155*$B$27</f>
        <v>861.132785670548</v>
      </c>
      <c r="R156" s="180" t="n">
        <f aca="false">R155+Q156+O156+P156</f>
        <v>103026.981278338</v>
      </c>
      <c r="S156" s="180" t="n">
        <f aca="false">S155+O156+P156</f>
        <v>67035.9658580832</v>
      </c>
      <c r="T156" s="180" t="n">
        <f aca="false">MAX(0,IFERROR(INDEX(TAB_IR,MATCH($C156,TAB_IR_DIAS,1),MATCH("RF_REGR",TAB_IR_REGIMES,0)),0)*MAX(0,R156-S156))</f>
        <v>5398.65231303829</v>
      </c>
      <c r="U156" s="180" t="n">
        <f aca="false">E156*$B$22</f>
        <v>12520.0611065681</v>
      </c>
      <c r="V156" s="180" t="n">
        <f aca="false">IF($B$23=1,0,MAX(0,ALIQ_GANHO_CAP*MAX(0,E156-U156-$B$30)))</f>
        <v>6134.64360043498</v>
      </c>
      <c r="W156" s="181" t="n">
        <f aca="false">IF($B$5=0,0,E156-U156-V156+R156-T156)</f>
        <v>287641.309367765</v>
      </c>
      <c r="X156" s="180" t="n">
        <f aca="false">W156/$D156</f>
        <v>206769.900104705</v>
      </c>
      <c r="Y156" s="180" t="n">
        <f aca="false">IF($B$25=1,0,MAX(0,N156))</f>
        <v>0</v>
      </c>
      <c r="Z156" s="180" t="n">
        <f aca="false">Z155+O156</f>
        <v>155250</v>
      </c>
    </row>
    <row r="157" customFormat="false" ht="12" hidden="false" customHeight="true" outlineLevel="0" collapsed="false">
      <c r="A157" s="177" t="n">
        <v>102</v>
      </c>
      <c r="B157" s="178" t="n">
        <f aca="false">EDATE(DATA_INICIO,$A157)</f>
        <v>49363</v>
      </c>
      <c r="C157" s="177" t="n">
        <f aca="false">$A157*30</f>
        <v>3060</v>
      </c>
      <c r="D157" s="179" t="n">
        <f aca="false">(1+$B$29)^$A157</f>
        <v>1.39567205874313</v>
      </c>
      <c r="E157" s="180" t="n">
        <f aca="false">$B$6*(1+$B$21)^$A157</f>
        <v>209350.80881147</v>
      </c>
      <c r="F157" s="180" t="n">
        <f aca="false">IF($A157=0,0,$B$13*(1+$B$16)^($A157-1))</f>
        <v>1252.00611065681</v>
      </c>
      <c r="G157" s="180" t="n">
        <f aca="false">F157*$B$14</f>
        <v>100.160488852545</v>
      </c>
      <c r="H157" s="180" t="n">
        <f aca="false">F157-G157</f>
        <v>1151.84562180426</v>
      </c>
      <c r="I157" s="180" t="n">
        <f aca="false">IF($A157=0,0,E157*$B$17/12)</f>
        <v>104.675404405735</v>
      </c>
      <c r="J157" s="180" t="n">
        <f aca="false">H157*$B$19</f>
        <v>92.1476497443411</v>
      </c>
      <c r="K157" s="180" t="n">
        <f aca="false">IF($A157=0,0,E157*$B$18/12)</f>
        <v>174.459007342892</v>
      </c>
      <c r="L157" s="180" t="n">
        <f aca="false">MAX(0,H157-I157-J157)</f>
        <v>955.022567654187</v>
      </c>
      <c r="M157" s="180" t="n">
        <f aca="false">MAX(0,L157*IFERROR(INDEX(TAB_IRPF_ALIQ,MATCH(L157,TAB_IRPF_BASE,1)),0)-IFERROR(INDEX(TAB_IRPF_DED,MATCH(L157,TAB_IRPF_BASE,1)),0))</f>
        <v>0</v>
      </c>
      <c r="N157" s="180" t="n">
        <f aca="false">H157-I157-J157-K157-M157</f>
        <v>780.563560311295</v>
      </c>
      <c r="O157" s="180" t="n">
        <f aca="false">IF(OR($A157=0,$A157&gt;IN_PRAZO,$B$5=0),0,IF(APORTE_CORRIGIDO="Sim",IN_APORTE*$D157,IN_APORTE))</f>
        <v>0</v>
      </c>
      <c r="P157" s="180" t="n">
        <f aca="false">IF($B$25=1,MAX(0,N157),0)</f>
        <v>780.563560311295</v>
      </c>
      <c r="Q157" s="180" t="n">
        <f aca="false">R156*$B$27</f>
        <v>875.05482340235</v>
      </c>
      <c r="R157" s="180" t="n">
        <f aca="false">R156+Q157+O157+P157</f>
        <v>104682.599662052</v>
      </c>
      <c r="S157" s="180" t="n">
        <f aca="false">S156+O157+P157</f>
        <v>67816.5294183945</v>
      </c>
      <c r="T157" s="180" t="n">
        <f aca="false">MAX(0,IFERROR(INDEX(TAB_IR,MATCH($C157,TAB_IR_DIAS,1),MATCH("RF_REGR",TAB_IR_REGIMES,0)),0)*MAX(0,R157-S157))</f>
        <v>5529.91053654864</v>
      </c>
      <c r="U157" s="180" t="n">
        <f aca="false">E157*$B$22</f>
        <v>12561.0485286882</v>
      </c>
      <c r="V157" s="180" t="n">
        <f aca="false">IF($B$23=1,0,MAX(0,ALIQ_GANHO_CAP*MAX(0,E157-U157-$B$30)))</f>
        <v>6230.9640424173</v>
      </c>
      <c r="W157" s="181" t="n">
        <f aca="false">IF($B$5=0,0,E157-U157-V157+R157-T157)</f>
        <v>289711.485365868</v>
      </c>
      <c r="X157" s="180" t="n">
        <f aca="false">W157/$D157</f>
        <v>207578.480597202</v>
      </c>
      <c r="Y157" s="180" t="n">
        <f aca="false">IF($B$25=1,0,MAX(0,N157))</f>
        <v>0</v>
      </c>
      <c r="Z157" s="180" t="n">
        <f aca="false">Z156+O157</f>
        <v>155250</v>
      </c>
    </row>
    <row r="158" customFormat="false" ht="12" hidden="false" customHeight="true" outlineLevel="0" collapsed="false">
      <c r="A158" s="177" t="n">
        <v>103</v>
      </c>
      <c r="B158" s="178" t="n">
        <f aca="false">EDATE(DATA_INICIO,$A158)</f>
        <v>49391</v>
      </c>
      <c r="C158" s="177" t="n">
        <f aca="false">$A158*30</f>
        <v>3090</v>
      </c>
      <c r="D158" s="179" t="n">
        <f aca="false">(1+$B$29)^$A158</f>
        <v>1.40024112588475</v>
      </c>
      <c r="E158" s="180" t="n">
        <f aca="false">$B$6*(1+$B$21)^$A158</f>
        <v>210036.168882712</v>
      </c>
      <c r="F158" s="180" t="n">
        <f aca="false">IF($A158=0,0,$B$13*(1+$B$16)^($A158-1))</f>
        <v>1256.10485286882</v>
      </c>
      <c r="G158" s="180" t="n">
        <f aca="false">F158*$B$14</f>
        <v>100.488388229506</v>
      </c>
      <c r="H158" s="180" t="n">
        <f aca="false">F158-G158</f>
        <v>1155.61646463932</v>
      </c>
      <c r="I158" s="180" t="n">
        <f aca="false">IF($A158=0,0,E158*$B$17/12)</f>
        <v>105.018084441356</v>
      </c>
      <c r="J158" s="180" t="n">
        <f aca="false">H158*$B$19</f>
        <v>92.4493171711452</v>
      </c>
      <c r="K158" s="180" t="n">
        <f aca="false">IF($A158=0,0,E158*$B$18/12)</f>
        <v>175.030140735593</v>
      </c>
      <c r="L158" s="180" t="n">
        <f aca="false">MAX(0,H158-I158-J158)</f>
        <v>958.149063026814</v>
      </c>
      <c r="M158" s="180" t="n">
        <f aca="false">MAX(0,L158*IFERROR(INDEX(TAB_IRPF_ALIQ,MATCH(L158,TAB_IRPF_BASE,1)),0)-IFERROR(INDEX(TAB_IRPF_DED,MATCH(L158,TAB_IRPF_BASE,1)),0))</f>
        <v>0</v>
      </c>
      <c r="N158" s="180" t="n">
        <f aca="false">H158-I158-J158-K158-M158</f>
        <v>783.118922291221</v>
      </c>
      <c r="O158" s="180" t="n">
        <f aca="false">IF(OR($A158=0,$A158&gt;IN_PRAZO,$B$5=0),0,IF(APORTE_CORRIGIDO="Sim",IN_APORTE*$D158,IN_APORTE))</f>
        <v>0</v>
      </c>
      <c r="P158" s="180" t="n">
        <f aca="false">IF($B$25=1,MAX(0,N158),0)</f>
        <v>783.118922291221</v>
      </c>
      <c r="Q158" s="180" t="n">
        <f aca="false">R157*$B$27</f>
        <v>889.116740333297</v>
      </c>
      <c r="R158" s="180" t="n">
        <f aca="false">R157+Q158+O158+P158</f>
        <v>106354.835324677</v>
      </c>
      <c r="S158" s="180" t="n">
        <f aca="false">S157+O158+P158</f>
        <v>68599.6483406857</v>
      </c>
      <c r="T158" s="180" t="n">
        <f aca="false">MAX(0,IFERROR(INDEX(TAB_IR,MATCH($C158,TAB_IR_DIAS,1),MATCH("RF_REGR",TAB_IR_REGIMES,0)),0)*MAX(0,R158-S158))</f>
        <v>5663.27804759863</v>
      </c>
      <c r="U158" s="180" t="n">
        <f aca="false">E158*$B$22</f>
        <v>12602.1701329627</v>
      </c>
      <c r="V158" s="180" t="n">
        <f aca="false">IF($B$23=1,0,MAX(0,ALIQ_GANHO_CAP*MAX(0,E158-U158-$B$30)))</f>
        <v>6327.59981246237</v>
      </c>
      <c r="W158" s="181" t="n">
        <f aca="false">IF($B$5=0,0,E158-U158-V158+R158-T158)</f>
        <v>291797.956214365</v>
      </c>
      <c r="X158" s="180" t="n">
        <f aca="false">W158/$D158</f>
        <v>208391.219783658</v>
      </c>
      <c r="Y158" s="180" t="n">
        <f aca="false">IF($B$25=1,0,MAX(0,N158))</f>
        <v>0</v>
      </c>
      <c r="Z158" s="180" t="n">
        <f aca="false">Z157+O158</f>
        <v>155250</v>
      </c>
    </row>
    <row r="159" customFormat="false" ht="12" hidden="false" customHeight="true" outlineLevel="0" collapsed="false">
      <c r="A159" s="177" t="n">
        <v>104</v>
      </c>
      <c r="B159" s="178" t="n">
        <f aca="false">EDATE(DATA_INICIO,$A159)</f>
        <v>49422</v>
      </c>
      <c r="C159" s="177" t="n">
        <f aca="false">$A159*30</f>
        <v>3120</v>
      </c>
      <c r="D159" s="179" t="n">
        <f aca="false">(1+$B$29)^$A159</f>
        <v>1.40482515096323</v>
      </c>
      <c r="E159" s="180" t="n">
        <f aca="false">$B$6*(1+$B$21)^$A159</f>
        <v>210723.772644484</v>
      </c>
      <c r="F159" s="180" t="n">
        <f aca="false">IF($A159=0,0,$B$13*(1+$B$16)^($A159-1))</f>
        <v>1260.21701329627</v>
      </c>
      <c r="G159" s="180" t="n">
        <f aca="false">F159*$B$14</f>
        <v>100.817361063702</v>
      </c>
      <c r="H159" s="180" t="n">
        <f aca="false">F159-G159</f>
        <v>1159.39965223257</v>
      </c>
      <c r="I159" s="180" t="n">
        <f aca="false">IF($A159=0,0,E159*$B$17/12)</f>
        <v>105.361886322242</v>
      </c>
      <c r="J159" s="180" t="n">
        <f aca="false">H159*$B$19</f>
        <v>92.7519721786056</v>
      </c>
      <c r="K159" s="180" t="n">
        <f aca="false">IF($A159=0,0,E159*$B$18/12)</f>
        <v>175.603143870403</v>
      </c>
      <c r="L159" s="180" t="n">
        <f aca="false">MAX(0,H159-I159-J159)</f>
        <v>961.285793731722</v>
      </c>
      <c r="M159" s="180" t="n">
        <f aca="false">MAX(0,L159*IFERROR(INDEX(TAB_IRPF_ALIQ,MATCH(L159,TAB_IRPF_BASE,1)),0)-IFERROR(INDEX(TAB_IRPF_DED,MATCH(L159,TAB_IRPF_BASE,1)),0))</f>
        <v>0</v>
      </c>
      <c r="N159" s="180" t="n">
        <f aca="false">H159-I159-J159-K159-M159</f>
        <v>785.682649861319</v>
      </c>
      <c r="O159" s="180" t="n">
        <f aca="false">IF(OR($A159=0,$A159&gt;IN_PRAZO,$B$5=0),0,IF(APORTE_CORRIGIDO="Sim",IN_APORTE*$D159,IN_APORTE))</f>
        <v>0</v>
      </c>
      <c r="P159" s="180" t="n">
        <f aca="false">IF($B$25=1,MAX(0,N159),0)</f>
        <v>785.682649861319</v>
      </c>
      <c r="Q159" s="180" t="n">
        <f aca="false">R158*$B$27</f>
        <v>903.319795341691</v>
      </c>
      <c r="R159" s="180" t="n">
        <f aca="false">R158+Q159+O159+P159</f>
        <v>108043.83776988</v>
      </c>
      <c r="S159" s="180" t="n">
        <f aca="false">S158+O159+P159</f>
        <v>69385.330990547</v>
      </c>
      <c r="T159" s="180" t="n">
        <f aca="false">MAX(0,IFERROR(INDEX(TAB_IR,MATCH($C159,TAB_IR_DIAS,1),MATCH("RF_REGR",TAB_IR_REGIMES,0)),0)*MAX(0,R159-S159))</f>
        <v>5798.77601689989</v>
      </c>
      <c r="U159" s="180" t="n">
        <f aca="false">E159*$B$22</f>
        <v>12643.426358669</v>
      </c>
      <c r="V159" s="180" t="n">
        <f aca="false">IF($B$23=1,0,MAX(0,ALIQ_GANHO_CAP*MAX(0,E159-U159-$B$30)))</f>
        <v>6424.55194287222</v>
      </c>
      <c r="W159" s="181" t="n">
        <f aca="false">IF($B$5=0,0,E159-U159-V159+R159-T159)</f>
        <v>293900.856095922</v>
      </c>
      <c r="X159" s="180" t="n">
        <f aca="false">W159/$D159</f>
        <v>209208.139457361</v>
      </c>
      <c r="Y159" s="180" t="n">
        <f aca="false">IF($B$25=1,0,MAX(0,N159))</f>
        <v>0</v>
      </c>
      <c r="Z159" s="180" t="n">
        <f aca="false">Z158+O159</f>
        <v>155250</v>
      </c>
    </row>
    <row r="160" customFormat="false" ht="12" hidden="false" customHeight="true" outlineLevel="0" collapsed="false">
      <c r="A160" s="177" t="n">
        <v>105</v>
      </c>
      <c r="B160" s="178" t="n">
        <f aca="false">EDATE(DATA_INICIO,$A160)</f>
        <v>49452</v>
      </c>
      <c r="C160" s="177" t="n">
        <f aca="false">$A160*30</f>
        <v>3150</v>
      </c>
      <c r="D160" s="179" t="n">
        <f aca="false">(1+$B$29)^$A160</f>
        <v>1.40942418294697</v>
      </c>
      <c r="E160" s="180" t="n">
        <f aca="false">$B$6*(1+$B$21)^$A160</f>
        <v>211413.627442045</v>
      </c>
      <c r="F160" s="180" t="n">
        <f aca="false">IF($A160=0,0,$B$13*(1+$B$16)^($A160-1))</f>
        <v>1264.3426358669</v>
      </c>
      <c r="G160" s="180" t="n">
        <f aca="false">F160*$B$14</f>
        <v>101.147410869352</v>
      </c>
      <c r="H160" s="180" t="n">
        <f aca="false">F160-G160</f>
        <v>1163.19522499755</v>
      </c>
      <c r="I160" s="180" t="n">
        <f aca="false">IF($A160=0,0,E160*$B$17/12)</f>
        <v>105.706813721023</v>
      </c>
      <c r="J160" s="180" t="n">
        <f aca="false">H160*$B$19</f>
        <v>93.0556179998041</v>
      </c>
      <c r="K160" s="180" t="n">
        <f aca="false">IF($A160=0,0,E160*$B$18/12)</f>
        <v>176.178022868371</v>
      </c>
      <c r="L160" s="180" t="n">
        <f aca="false">MAX(0,H160-I160-J160)</f>
        <v>964.432793276724</v>
      </c>
      <c r="M160" s="180" t="n">
        <f aca="false">MAX(0,L160*IFERROR(INDEX(TAB_IRPF_ALIQ,MATCH(L160,TAB_IRPF_BASE,1)),0)-IFERROR(INDEX(TAB_IRPF_DED,MATCH(L160,TAB_IRPF_BASE,1)),0))</f>
        <v>0</v>
      </c>
      <c r="N160" s="180" t="n">
        <f aca="false">H160-I160-J160-K160-M160</f>
        <v>788.254770408353</v>
      </c>
      <c r="O160" s="180" t="n">
        <f aca="false">IF(OR($A160=0,$A160&gt;IN_PRAZO,$B$5=0),0,IF(APORTE_CORRIGIDO="Sim",IN_APORTE*$D160,IN_APORTE))</f>
        <v>0</v>
      </c>
      <c r="P160" s="180" t="n">
        <f aca="false">IF($B$25=1,MAX(0,N160),0)</f>
        <v>788.254770408353</v>
      </c>
      <c r="Q160" s="180" t="n">
        <f aca="false">R159*$B$27</f>
        <v>917.665258229906</v>
      </c>
      <c r="R160" s="180" t="n">
        <f aca="false">R159+Q160+O160+P160</f>
        <v>109749.757798518</v>
      </c>
      <c r="S160" s="180" t="n">
        <f aca="false">S159+O160+P160</f>
        <v>70173.5857609554</v>
      </c>
      <c r="T160" s="180" t="n">
        <f aca="false">MAX(0,IFERROR(INDEX(TAB_IR,MATCH($C160,TAB_IR_DIAS,1),MATCH("RF_REGR",TAB_IR_REGIMES,0)),0)*MAX(0,R160-S160))</f>
        <v>5936.42580563437</v>
      </c>
      <c r="U160" s="180" t="n">
        <f aca="false">E160*$B$22</f>
        <v>12684.8176465227</v>
      </c>
      <c r="V160" s="180" t="n">
        <f aca="false">IF($B$23=1,0,MAX(0,ALIQ_GANHO_CAP*MAX(0,E160-U160-$B$30)))</f>
        <v>6521.82146932836</v>
      </c>
      <c r="W160" s="181" t="n">
        <f aca="false">IF($B$5=0,0,E160-U160-V160+R160-T160)</f>
        <v>296020.320319078</v>
      </c>
      <c r="X160" s="180" t="n">
        <f aca="false">W160/$D160</f>
        <v>210029.261524468</v>
      </c>
      <c r="Y160" s="180" t="n">
        <f aca="false">IF($B$25=1,0,MAX(0,N160))</f>
        <v>0</v>
      </c>
      <c r="Z160" s="180" t="n">
        <f aca="false">Z159+O160</f>
        <v>155250</v>
      </c>
    </row>
    <row r="161" customFormat="false" ht="12" hidden="false" customHeight="true" outlineLevel="0" collapsed="false">
      <c r="A161" s="177" t="n">
        <v>106</v>
      </c>
      <c r="B161" s="178" t="n">
        <f aca="false">EDATE(DATA_INICIO,$A161)</f>
        <v>49483</v>
      </c>
      <c r="C161" s="177" t="n">
        <f aca="false">$A161*30</f>
        <v>3180</v>
      </c>
      <c r="D161" s="179" t="n">
        <f aca="false">(1+$B$29)^$A161</f>
        <v>1.41403827096467</v>
      </c>
      <c r="E161" s="180" t="n">
        <f aca="false">$B$6*(1+$B$21)^$A161</f>
        <v>212105.740644701</v>
      </c>
      <c r="F161" s="180" t="n">
        <f aca="false">IF($A161=0,0,$B$13*(1+$B$16)^($A161-1))</f>
        <v>1268.48176465227</v>
      </c>
      <c r="G161" s="180" t="n">
        <f aca="false">F161*$B$14</f>
        <v>101.478541172182</v>
      </c>
      <c r="H161" s="180" t="n">
        <f aca="false">F161-G161</f>
        <v>1167.00322348009</v>
      </c>
      <c r="I161" s="180" t="n">
        <f aca="false">IF($A161=0,0,E161*$B$17/12)</f>
        <v>106.052870322351</v>
      </c>
      <c r="J161" s="180" t="n">
        <f aca="false">H161*$B$19</f>
        <v>93.3602578784071</v>
      </c>
      <c r="K161" s="180" t="n">
        <f aca="false">IF($A161=0,0,E161*$B$18/12)</f>
        <v>176.754783870584</v>
      </c>
      <c r="L161" s="180" t="n">
        <f aca="false">MAX(0,H161-I161-J161)</f>
        <v>967.590095279331</v>
      </c>
      <c r="M161" s="180" t="n">
        <f aca="false">MAX(0,L161*IFERROR(INDEX(TAB_IRPF_ALIQ,MATCH(L161,TAB_IRPF_BASE,1)),0)-IFERROR(INDEX(TAB_IRPF_DED,MATCH(L161,TAB_IRPF_BASE,1)),0))</f>
        <v>0</v>
      </c>
      <c r="N161" s="180" t="n">
        <f aca="false">H161-I161-J161-K161-M161</f>
        <v>790.835311408747</v>
      </c>
      <c r="O161" s="180" t="n">
        <f aca="false">IF(OR($A161=0,$A161&gt;IN_PRAZO,$B$5=0),0,IF(APORTE_CORRIGIDO="Sim",IN_APORTE*$D161,IN_APORTE))</f>
        <v>0</v>
      </c>
      <c r="P161" s="180" t="n">
        <f aca="false">IF($B$25=1,MAX(0,N161),0)</f>
        <v>790.835311408747</v>
      </c>
      <c r="Q161" s="180" t="n">
        <f aca="false">R160*$B$27</f>
        <v>932.154409817932</v>
      </c>
      <c r="R161" s="180" t="n">
        <f aca="false">R160+Q161+O161+P161</f>
        <v>111472.747519745</v>
      </c>
      <c r="S161" s="180" t="n">
        <f aca="false">S160+O161+P161</f>
        <v>70964.4210723641</v>
      </c>
      <c r="T161" s="180" t="n">
        <f aca="false">MAX(0,IFERROR(INDEX(TAB_IR,MATCH($C161,TAB_IR_DIAS,1),MATCH("RF_REGR",TAB_IR_REGIMES,0)),0)*MAX(0,R161-S161))</f>
        <v>6076.24896710706</v>
      </c>
      <c r="U161" s="180" t="n">
        <f aca="false">E161*$B$22</f>
        <v>12726.3444386821</v>
      </c>
      <c r="V161" s="180" t="n">
        <f aca="false">IF($B$23=1,0,MAX(0,ALIQ_GANHO_CAP*MAX(0,E161-U161-$B$30)))</f>
        <v>6619.40943090286</v>
      </c>
      <c r="W161" s="181" t="n">
        <f aca="false">IF($B$5=0,0,E161-U161-V161+R161-T161)</f>
        <v>298156.485327754</v>
      </c>
      <c r="X161" s="180" t="n">
        <f aca="false">W161/$D161</f>
        <v>210854.608004596</v>
      </c>
      <c r="Y161" s="180" t="n">
        <f aca="false">IF($B$25=1,0,MAX(0,N161))</f>
        <v>0</v>
      </c>
      <c r="Z161" s="180" t="n">
        <f aca="false">Z160+O161</f>
        <v>155250</v>
      </c>
    </row>
    <row r="162" customFormat="false" ht="12" hidden="false" customHeight="true" outlineLevel="0" collapsed="false">
      <c r="A162" s="177" t="n">
        <v>107</v>
      </c>
      <c r="B162" s="178" t="n">
        <f aca="false">EDATE(DATA_INICIO,$A162)</f>
        <v>49513</v>
      </c>
      <c r="C162" s="177" t="n">
        <f aca="false">$A162*30</f>
        <v>3210</v>
      </c>
      <c r="D162" s="179" t="n">
        <f aca="false">(1+$B$29)^$A162</f>
        <v>1.41866746430588</v>
      </c>
      <c r="E162" s="180" t="n">
        <f aca="false">$B$6*(1+$B$21)^$A162</f>
        <v>212800.119645882</v>
      </c>
      <c r="F162" s="180" t="n">
        <f aca="false">IF($A162=0,0,$B$13*(1+$B$16)^($A162-1))</f>
        <v>1272.63444386821</v>
      </c>
      <c r="G162" s="180" t="n">
        <f aca="false">F162*$B$14</f>
        <v>101.810755509457</v>
      </c>
      <c r="H162" s="180" t="n">
        <f aca="false">F162-G162</f>
        <v>1170.82368835875</v>
      </c>
      <c r="I162" s="180" t="n">
        <f aca="false">IF($A162=0,0,E162*$B$17/12)</f>
        <v>106.400059822941</v>
      </c>
      <c r="J162" s="180" t="n">
        <f aca="false">H162*$B$19</f>
        <v>93.6658950687</v>
      </c>
      <c r="K162" s="180" t="n">
        <f aca="false">IF($A162=0,0,E162*$B$18/12)</f>
        <v>177.333433038235</v>
      </c>
      <c r="L162" s="180" t="n">
        <f aca="false">MAX(0,H162-I162-J162)</f>
        <v>970.757733467109</v>
      </c>
      <c r="M162" s="180" t="n">
        <f aca="false">MAX(0,L162*IFERROR(INDEX(TAB_IRPF_ALIQ,MATCH(L162,TAB_IRPF_BASE,1)),0)-IFERROR(INDEX(TAB_IRPF_DED,MATCH(L162,TAB_IRPF_BASE,1)),0))</f>
        <v>0</v>
      </c>
      <c r="N162" s="180" t="n">
        <f aca="false">H162-I162-J162-K162-M162</f>
        <v>793.424300428873</v>
      </c>
      <c r="O162" s="180" t="n">
        <f aca="false">IF(OR($A162=0,$A162&gt;IN_PRAZO,$B$5=0),0,IF(APORTE_CORRIGIDO="Sim",IN_APORTE*$D162,IN_APORTE))</f>
        <v>0</v>
      </c>
      <c r="P162" s="180" t="n">
        <f aca="false">IF($B$25=1,MAX(0,N162),0)</f>
        <v>793.424300428873</v>
      </c>
      <c r="Q162" s="180" t="n">
        <f aca="false">R161*$B$27</f>
        <v>946.788542037713</v>
      </c>
      <c r="R162" s="180" t="n">
        <f aca="false">R161+Q162+O162+P162</f>
        <v>113212.960362211</v>
      </c>
      <c r="S162" s="180" t="n">
        <f aca="false">S161+O162+P162</f>
        <v>71757.845372793</v>
      </c>
      <c r="T162" s="180" t="n">
        <f aca="false">MAX(0,IFERROR(INDEX(TAB_IR,MATCH($C162,TAB_IR_DIAS,1),MATCH("RF_REGR",TAB_IR_REGIMES,0)),0)*MAX(0,R162-S162))</f>
        <v>6218.26724841272</v>
      </c>
      <c r="U162" s="180" t="n">
        <f aca="false">E162*$B$22</f>
        <v>12768.0071787529</v>
      </c>
      <c r="V162" s="180" t="n">
        <f aca="false">IF($B$23=1,0,MAX(0,ALIQ_GANHO_CAP*MAX(0,E162-U162-$B$30)))</f>
        <v>6717.31687006943</v>
      </c>
      <c r="W162" s="181" t="n">
        <f aca="false">IF($B$5=0,0,E162-U162-V162+R162-T162)</f>
        <v>300309.488710859</v>
      </c>
      <c r="X162" s="180" t="n">
        <f aca="false">W162/$D162</f>
        <v>211684.201031418</v>
      </c>
      <c r="Y162" s="180" t="n">
        <f aca="false">IF($B$25=1,0,MAX(0,N162))</f>
        <v>0</v>
      </c>
      <c r="Z162" s="180" t="n">
        <f aca="false">Z161+O162</f>
        <v>155250</v>
      </c>
    </row>
    <row r="163" customFormat="false" ht="12" hidden="false" customHeight="true" outlineLevel="0" collapsed="false">
      <c r="A163" s="177" t="n">
        <v>108</v>
      </c>
      <c r="B163" s="178" t="n">
        <f aca="false">EDATE(DATA_INICIO,$A163)</f>
        <v>49544</v>
      </c>
      <c r="C163" s="177" t="n">
        <f aca="false">$A163*30</f>
        <v>3240</v>
      </c>
      <c r="D163" s="179" t="n">
        <f aca="false">(1+$B$29)^$A163</f>
        <v>1.42331181242149</v>
      </c>
      <c r="E163" s="180" t="n">
        <f aca="false">$B$6*(1+$B$21)^$A163</f>
        <v>213496.771863224</v>
      </c>
      <c r="F163" s="180" t="n">
        <f aca="false">IF($A163=0,0,$B$13*(1+$B$16)^($A163-1))</f>
        <v>1276.80071787529</v>
      </c>
      <c r="G163" s="180" t="n">
        <f aca="false">F163*$B$14</f>
        <v>102.144057430024</v>
      </c>
      <c r="H163" s="180" t="n">
        <f aca="false">F163-G163</f>
        <v>1174.65666044527</v>
      </c>
      <c r="I163" s="180" t="n">
        <f aca="false">IF($A163=0,0,E163*$B$17/12)</f>
        <v>106.748385931612</v>
      </c>
      <c r="J163" s="180" t="n">
        <f aca="false">H163*$B$19</f>
        <v>93.9725328356217</v>
      </c>
      <c r="K163" s="180" t="n">
        <f aca="false">IF($A163=0,0,E163*$B$18/12)</f>
        <v>177.913976552687</v>
      </c>
      <c r="L163" s="180" t="n">
        <f aca="false">MAX(0,H163-I163-J163)</f>
        <v>973.935741678037</v>
      </c>
      <c r="M163" s="180" t="n">
        <f aca="false">MAX(0,L163*IFERROR(INDEX(TAB_IRPF_ALIQ,MATCH(L163,TAB_IRPF_BASE,1)),0)-IFERROR(INDEX(TAB_IRPF_DED,MATCH(L163,TAB_IRPF_BASE,1)),0))</f>
        <v>0</v>
      </c>
      <c r="N163" s="180" t="n">
        <f aca="false">H163-I163-J163-K163-M163</f>
        <v>796.021765125351</v>
      </c>
      <c r="O163" s="180" t="n">
        <f aca="false">IF(OR($A163=0,$A163&gt;IN_PRAZO,$B$5=0),0,IF(APORTE_CORRIGIDO="Sim",IN_APORTE*$D163,IN_APORTE))</f>
        <v>0</v>
      </c>
      <c r="P163" s="180" t="n">
        <f aca="false">IF($B$25=1,MAX(0,N163),0)</f>
        <v>796.021765125351</v>
      </c>
      <c r="Q163" s="180" t="n">
        <f aca="false">R162*$B$27</f>
        <v>961.568958028288</v>
      </c>
      <c r="R163" s="180" t="n">
        <f aca="false">R162+Q163+O163+P163</f>
        <v>114970.551085365</v>
      </c>
      <c r="S163" s="180" t="n">
        <f aca="false">S162+O163+P163</f>
        <v>72553.8671379183</v>
      </c>
      <c r="T163" s="180" t="n">
        <f aca="false">MAX(0,IFERROR(INDEX(TAB_IR,MATCH($C163,TAB_IR_DIAS,1),MATCH("RF_REGR",TAB_IR_REGIMES,0)),0)*MAX(0,R163-S163))</f>
        <v>6362.50259211696</v>
      </c>
      <c r="U163" s="180" t="n">
        <f aca="false">E163*$B$22</f>
        <v>12809.8063117934</v>
      </c>
      <c r="V163" s="180" t="n">
        <f aca="false">IF($B$23=1,0,MAX(0,ALIQ_GANHO_CAP*MAX(0,E163-U163-$B$30)))</f>
        <v>6815.54483271456</v>
      </c>
      <c r="W163" s="181" t="n">
        <f aca="false">IF($B$5=0,0,E163-U163-V163+R163-T163)</f>
        <v>302479.469211964</v>
      </c>
      <c r="X163" s="180" t="n">
        <f aca="false">W163/$D163</f>
        <v>212518.06285325</v>
      </c>
      <c r="Y163" s="180" t="n">
        <f aca="false">IF($B$25=1,0,MAX(0,N163))</f>
        <v>0</v>
      </c>
      <c r="Z163" s="180" t="n">
        <f aca="false">Z162+O163</f>
        <v>155250</v>
      </c>
    </row>
    <row r="164" customFormat="false" ht="12" hidden="false" customHeight="true" outlineLevel="0" collapsed="false">
      <c r="A164" s="177" t="n">
        <v>109</v>
      </c>
      <c r="B164" s="178" t="n">
        <f aca="false">EDATE(DATA_INICIO,$A164)</f>
        <v>49575</v>
      </c>
      <c r="C164" s="177" t="n">
        <f aca="false">$A164*30</f>
        <v>3270</v>
      </c>
      <c r="D164" s="179" t="n">
        <f aca="false">(1+$B$29)^$A164</f>
        <v>1.42797136492429</v>
      </c>
      <c r="E164" s="180" t="n">
        <f aca="false">$B$6*(1+$B$21)^$A164</f>
        <v>214195.704738644</v>
      </c>
      <c r="F164" s="180" t="n">
        <f aca="false">IF($A164=0,0,$B$13*(1+$B$16)^($A164-1))</f>
        <v>1280.98063117934</v>
      </c>
      <c r="G164" s="180" t="n">
        <f aca="false">F164*$B$14</f>
        <v>102.478450494347</v>
      </c>
      <c r="H164" s="180" t="n">
        <f aca="false">F164-G164</f>
        <v>1178.502180685</v>
      </c>
      <c r="I164" s="180" t="n">
        <f aca="false">IF($A164=0,0,E164*$B$17/12)</f>
        <v>107.097852369322</v>
      </c>
      <c r="J164" s="180" t="n">
        <f aca="false">H164*$B$19</f>
        <v>94.2801744547997</v>
      </c>
      <c r="K164" s="180" t="n">
        <f aca="false">IF($A164=0,0,E164*$B$18/12)</f>
        <v>178.496420615536</v>
      </c>
      <c r="L164" s="180" t="n">
        <f aca="false">MAX(0,H164-I164-J164)</f>
        <v>977.124153860874</v>
      </c>
      <c r="M164" s="180" t="n">
        <f aca="false">MAX(0,L164*IFERROR(INDEX(TAB_IRPF_ALIQ,MATCH(L164,TAB_IRPF_BASE,1)),0)-IFERROR(INDEX(TAB_IRPF_DED,MATCH(L164,TAB_IRPF_BASE,1)),0))</f>
        <v>0</v>
      </c>
      <c r="N164" s="180" t="n">
        <f aca="false">H164-I164-J164-K164-M164</f>
        <v>798.627733245338</v>
      </c>
      <c r="O164" s="180" t="n">
        <f aca="false">IF(OR($A164=0,$A164&gt;IN_PRAZO,$B$5=0),0,IF(APORTE_CORRIGIDO="Sim",IN_APORTE*$D164,IN_APORTE))</f>
        <v>0</v>
      </c>
      <c r="P164" s="180" t="n">
        <f aca="false">IF($B$25=1,MAX(0,N164),0)</f>
        <v>798.627733245338</v>
      </c>
      <c r="Q164" s="180" t="n">
        <f aca="false">R163*$B$27</f>
        <v>976.49697223175</v>
      </c>
      <c r="R164" s="180" t="n">
        <f aca="false">R163+Q164+O164+P164</f>
        <v>116745.675790842</v>
      </c>
      <c r="S164" s="180" t="n">
        <f aca="false">S163+O164+P164</f>
        <v>73352.4948711637</v>
      </c>
      <c r="T164" s="180" t="n">
        <f aca="false">MAX(0,IFERROR(INDEX(TAB_IR,MATCH($C164,TAB_IR_DIAS,1),MATCH("RF_REGR",TAB_IR_REGIMES,0)),0)*MAX(0,R164-S164))</f>
        <v>6508.97713795173</v>
      </c>
      <c r="U164" s="180" t="n">
        <f aca="false">E164*$B$22</f>
        <v>12851.7422843186</v>
      </c>
      <c r="V164" s="180" t="n">
        <f aca="false">IF($B$23=1,0,MAX(0,ALIQ_GANHO_CAP*MAX(0,E164-U164-$B$30)))</f>
        <v>6914.09436814874</v>
      </c>
      <c r="W164" s="181" t="n">
        <f aca="false">IF($B$5=0,0,E164-U164-V164+R164-T164)</f>
        <v>304666.566739066</v>
      </c>
      <c r="X164" s="180" t="n">
        <f aca="false">W164/$D164</f>
        <v>213356.215833655</v>
      </c>
      <c r="Y164" s="180" t="n">
        <f aca="false">IF($B$25=1,0,MAX(0,N164))</f>
        <v>0</v>
      </c>
      <c r="Z164" s="180" t="n">
        <f aca="false">Z163+O164</f>
        <v>155250</v>
      </c>
    </row>
    <row r="165" customFormat="false" ht="12" hidden="false" customHeight="true" outlineLevel="0" collapsed="false">
      <c r="A165" s="177" t="n">
        <v>110</v>
      </c>
      <c r="B165" s="178" t="n">
        <f aca="false">EDATE(DATA_INICIO,$A165)</f>
        <v>49605</v>
      </c>
      <c r="C165" s="177" t="n">
        <f aca="false">$A165*30</f>
        <v>3300</v>
      </c>
      <c r="D165" s="179" t="n">
        <f aca="false">(1+$B$29)^$A165</f>
        <v>1.43264617158948</v>
      </c>
      <c r="E165" s="180" t="n">
        <f aca="false">$B$6*(1+$B$21)^$A165</f>
        <v>214896.925738423</v>
      </c>
      <c r="F165" s="180" t="n">
        <f aca="false">IF($A165=0,0,$B$13*(1+$B$16)^($A165-1))</f>
        <v>1285.17422843186</v>
      </c>
      <c r="G165" s="180" t="n">
        <f aca="false">F165*$B$14</f>
        <v>102.813938274549</v>
      </c>
      <c r="H165" s="180" t="n">
        <f aca="false">F165-G165</f>
        <v>1182.36029015731</v>
      </c>
      <c r="I165" s="180" t="n">
        <f aca="false">IF($A165=0,0,E165*$B$17/12)</f>
        <v>107.448462869211</v>
      </c>
      <c r="J165" s="180" t="n">
        <f aca="false">H165*$B$19</f>
        <v>94.588823212585</v>
      </c>
      <c r="K165" s="180" t="n">
        <f aca="false">IF($A165=0,0,E165*$B$18/12)</f>
        <v>179.080771448685</v>
      </c>
      <c r="L165" s="180" t="n">
        <f aca="false">MAX(0,H165-I165-J165)</f>
        <v>980.323004075516</v>
      </c>
      <c r="M165" s="180" t="n">
        <f aca="false">MAX(0,L165*IFERROR(INDEX(TAB_IRPF_ALIQ,MATCH(L165,TAB_IRPF_BASE,1)),0)-IFERROR(INDEX(TAB_IRPF_DED,MATCH(L165,TAB_IRPF_BASE,1)),0))</f>
        <v>0</v>
      </c>
      <c r="N165" s="180" t="n">
        <f aca="false">H165-I165-J165-K165-M165</f>
        <v>801.242232626831</v>
      </c>
      <c r="O165" s="180" t="n">
        <f aca="false">IF(OR($A165=0,$A165&gt;IN_PRAZO,$B$5=0),0,IF(APORTE_CORRIGIDO="Sim",IN_APORTE*$D165,IN_APORTE))</f>
        <v>0</v>
      </c>
      <c r="P165" s="180" t="n">
        <f aca="false">IF($B$25=1,MAX(0,N165),0)</f>
        <v>801.242232626831</v>
      </c>
      <c r="Q165" s="180" t="n">
        <f aca="false">R164*$B$27</f>
        <v>991.57391049001</v>
      </c>
      <c r="R165" s="180" t="n">
        <f aca="false">R164+Q165+O165+P165</f>
        <v>118538.491933959</v>
      </c>
      <c r="S165" s="180" t="n">
        <f aca="false">S164+O165+P165</f>
        <v>74153.7371037905</v>
      </c>
      <c r="T165" s="180" t="n">
        <f aca="false">MAX(0,IFERROR(INDEX(TAB_IR,MATCH($C165,TAB_IR_DIAS,1),MATCH("RF_REGR",TAB_IR_REGIMES,0)),0)*MAX(0,R165-S165))</f>
        <v>6657.71322452523</v>
      </c>
      <c r="U165" s="180" t="n">
        <f aca="false">E165*$B$22</f>
        <v>12893.8155443054</v>
      </c>
      <c r="V165" s="180" t="n">
        <f aca="false">IF($B$23=1,0,MAX(0,ALIQ_GANHO_CAP*MAX(0,E165-U165-$B$30)))</f>
        <v>7012.96652911759</v>
      </c>
      <c r="W165" s="181" t="n">
        <f aca="false">IF($B$5=0,0,E165-U165-V165+R165-T165)</f>
        <v>306870.922374433</v>
      </c>
      <c r="X165" s="180" t="n">
        <f aca="false">W165/$D165</f>
        <v>214198.682452045</v>
      </c>
      <c r="Y165" s="180" t="n">
        <f aca="false">IF($B$25=1,0,MAX(0,N165))</f>
        <v>0</v>
      </c>
      <c r="Z165" s="180" t="n">
        <f aca="false">Z164+O165</f>
        <v>155250</v>
      </c>
    </row>
    <row r="166" customFormat="false" ht="12" hidden="false" customHeight="true" outlineLevel="0" collapsed="false">
      <c r="A166" s="177" t="n">
        <v>111</v>
      </c>
      <c r="B166" s="178" t="n">
        <f aca="false">EDATE(DATA_INICIO,$A166)</f>
        <v>49636</v>
      </c>
      <c r="C166" s="177" t="n">
        <f aca="false">$A166*30</f>
        <v>3330</v>
      </c>
      <c r="D166" s="179" t="n">
        <f aca="false">(1+$B$29)^$A166</f>
        <v>1.43733628235523</v>
      </c>
      <c r="E166" s="180" t="n">
        <f aca="false">$B$6*(1+$B$21)^$A166</f>
        <v>215600.442353285</v>
      </c>
      <c r="F166" s="180" t="n">
        <f aca="false">IF($A166=0,0,$B$13*(1+$B$16)^($A166-1))</f>
        <v>1289.38155443054</v>
      </c>
      <c r="G166" s="180" t="n">
        <f aca="false">F166*$B$14</f>
        <v>103.150524354443</v>
      </c>
      <c r="H166" s="180" t="n">
        <f aca="false">F166-G166</f>
        <v>1186.23103007609</v>
      </c>
      <c r="I166" s="180" t="n">
        <f aca="false">IF($A166=0,0,E166*$B$17/12)</f>
        <v>107.800221176642</v>
      </c>
      <c r="J166" s="180" t="n">
        <f aca="false">H166*$B$19</f>
        <v>94.8984824060874</v>
      </c>
      <c r="K166" s="180" t="n">
        <f aca="false">IF($A166=0,0,E166*$B$18/12)</f>
        <v>179.667035294404</v>
      </c>
      <c r="L166" s="180" t="n">
        <f aca="false">MAX(0,H166-I166-J166)</f>
        <v>983.532326493363</v>
      </c>
      <c r="M166" s="180" t="n">
        <f aca="false">MAX(0,L166*IFERROR(INDEX(TAB_IRPF_ALIQ,MATCH(L166,TAB_IRPF_BASE,1)),0)-IFERROR(INDEX(TAB_IRPF_DED,MATCH(L166,TAB_IRPF_BASE,1)),0))</f>
        <v>0</v>
      </c>
      <c r="N166" s="180" t="n">
        <f aca="false">H166-I166-J166-K166-M166</f>
        <v>803.865291198959</v>
      </c>
      <c r="O166" s="180" t="n">
        <f aca="false">IF(OR($A166=0,$A166&gt;IN_PRAZO,$B$5=0),0,IF(APORTE_CORRIGIDO="Sim",IN_APORTE*$D166,IN_APORTE))</f>
        <v>0</v>
      </c>
      <c r="P166" s="180" t="n">
        <f aca="false">IF($B$25=1,MAX(0,N166),0)</f>
        <v>803.865291198959</v>
      </c>
      <c r="Q166" s="180" t="n">
        <f aca="false">R165*$B$27</f>
        <v>1006.8011101424</v>
      </c>
      <c r="R166" s="180" t="n">
        <f aca="false">R165+Q166+O166+P166</f>
        <v>120349.1583353</v>
      </c>
      <c r="S166" s="180" t="n">
        <f aca="false">S165+O166+P166</f>
        <v>74957.6023949894</v>
      </c>
      <c r="T166" s="180" t="n">
        <f aca="false">MAX(0,IFERROR(INDEX(TAB_IR,MATCH($C166,TAB_IR_DIAS,1),MATCH("RF_REGR",TAB_IR_REGIMES,0)),0)*MAX(0,R166-S166))</f>
        <v>6808.73339104659</v>
      </c>
      <c r="U166" s="180" t="n">
        <f aca="false">E166*$B$22</f>
        <v>12936.0265411971</v>
      </c>
      <c r="V166" s="180" t="n">
        <f aca="false">IF($B$23=1,0,MAX(0,ALIQ_GANHO_CAP*MAX(0,E166-U166-$B$30)))</f>
        <v>7112.16237181314</v>
      </c>
      <c r="W166" s="181" t="n">
        <f aca="false">IF($B$5=0,0,E166-U166-V166+R166-T166)</f>
        <v>309092.678384528</v>
      </c>
      <c r="X166" s="180" t="n">
        <f aca="false">W166/$D166</f>
        <v>215045.485304278</v>
      </c>
      <c r="Y166" s="180" t="n">
        <f aca="false">IF($B$25=1,0,MAX(0,N166))</f>
        <v>0</v>
      </c>
      <c r="Z166" s="180" t="n">
        <f aca="false">Z165+O166</f>
        <v>155250</v>
      </c>
    </row>
    <row r="167" customFormat="false" ht="12" hidden="false" customHeight="true" outlineLevel="0" collapsed="false">
      <c r="A167" s="177" t="n">
        <v>112</v>
      </c>
      <c r="B167" s="178" t="n">
        <f aca="false">EDATE(DATA_INICIO,$A167)</f>
        <v>49666</v>
      </c>
      <c r="C167" s="177" t="n">
        <f aca="false">$A167*30</f>
        <v>3360</v>
      </c>
      <c r="D167" s="179" t="n">
        <f aca="false">(1+$B$29)^$A167</f>
        <v>1.44204174732318</v>
      </c>
      <c r="E167" s="180" t="n">
        <f aca="false">$B$6*(1+$B$21)^$A167</f>
        <v>216306.262098476</v>
      </c>
      <c r="F167" s="180" t="n">
        <f aca="false">IF($A167=0,0,$B$13*(1+$B$16)^($A167-1))</f>
        <v>1293.60265411971</v>
      </c>
      <c r="G167" s="180" t="n">
        <f aca="false">F167*$B$14</f>
        <v>103.488212329577</v>
      </c>
      <c r="H167" s="180" t="n">
        <f aca="false">F167-G167</f>
        <v>1190.11444179013</v>
      </c>
      <c r="I167" s="180" t="n">
        <f aca="false">IF($A167=0,0,E167*$B$17/12)</f>
        <v>108.153131049238</v>
      </c>
      <c r="J167" s="180" t="n">
        <f aca="false">H167*$B$19</f>
        <v>95.2091553432105</v>
      </c>
      <c r="K167" s="180" t="n">
        <f aca="false">IF($A167=0,0,E167*$B$18/12)</f>
        <v>180.255218415397</v>
      </c>
      <c r="L167" s="180" t="n">
        <f aca="false">MAX(0,H167-I167-J167)</f>
        <v>986.752155397683</v>
      </c>
      <c r="M167" s="180" t="n">
        <f aca="false">MAX(0,L167*IFERROR(INDEX(TAB_IRPF_ALIQ,MATCH(L167,TAB_IRPF_BASE,1)),0)-IFERROR(INDEX(TAB_IRPF_DED,MATCH(L167,TAB_IRPF_BASE,1)),0))</f>
        <v>0</v>
      </c>
      <c r="N167" s="180" t="n">
        <f aca="false">H167-I167-J167-K167-M167</f>
        <v>806.496936982286</v>
      </c>
      <c r="O167" s="180" t="n">
        <f aca="false">IF(OR($A167=0,$A167&gt;IN_PRAZO,$B$5=0),0,IF(APORTE_CORRIGIDO="Sim",IN_APORTE*$D167,IN_APORTE))</f>
        <v>0</v>
      </c>
      <c r="P167" s="180" t="n">
        <f aca="false">IF($B$25=1,MAX(0,N167),0)</f>
        <v>806.496936982286</v>
      </c>
      <c r="Q167" s="180" t="n">
        <f aca="false">R166*$B$27</f>
        <v>1022.17992012408</v>
      </c>
      <c r="R167" s="180" t="n">
        <f aca="false">R166+Q167+O167+P167</f>
        <v>122177.835192406</v>
      </c>
      <c r="S167" s="180" t="n">
        <f aca="false">S166+O167+P167</f>
        <v>75764.0993319717</v>
      </c>
      <c r="T167" s="180" t="n">
        <f aca="false">MAX(0,IFERROR(INDEX(TAB_IR,MATCH($C167,TAB_IR_DIAS,1),MATCH("RF_REGR",TAB_IR_REGIMES,0)),0)*MAX(0,R167-S167))</f>
        <v>6962.0603790652</v>
      </c>
      <c r="U167" s="180" t="n">
        <f aca="false">E167*$B$22</f>
        <v>12978.3757259086</v>
      </c>
      <c r="V167" s="180" t="n">
        <f aca="false">IF($B$23=1,0,MAX(0,ALIQ_GANHO_CAP*MAX(0,E167-U167-$B$30)))</f>
        <v>7211.68295588516</v>
      </c>
      <c r="W167" s="181" t="n">
        <f aca="false">IF($B$5=0,0,E167-U167-V167+R167-T167)</f>
        <v>311331.978230024</v>
      </c>
      <c r="X167" s="180" t="n">
        <f aca="false">W167/$D167</f>
        <v>215896.647103276</v>
      </c>
      <c r="Y167" s="180" t="n">
        <f aca="false">IF($B$25=1,0,MAX(0,N167))</f>
        <v>0</v>
      </c>
      <c r="Z167" s="180" t="n">
        <f aca="false">Z166+O167</f>
        <v>155250</v>
      </c>
    </row>
    <row r="168" customFormat="false" ht="12" hidden="false" customHeight="true" outlineLevel="0" collapsed="false">
      <c r="A168" s="177" t="n">
        <v>113</v>
      </c>
      <c r="B168" s="178" t="n">
        <f aca="false">EDATE(DATA_INICIO,$A168)</f>
        <v>49697</v>
      </c>
      <c r="C168" s="177" t="n">
        <f aca="false">$A168*30</f>
        <v>3390</v>
      </c>
      <c r="D168" s="179" t="n">
        <f aca="false">(1+$B$29)^$A168</f>
        <v>1.44676261675898</v>
      </c>
      <c r="E168" s="180" t="n">
        <f aca="false">$B$6*(1+$B$21)^$A168</f>
        <v>217014.392513847</v>
      </c>
      <c r="F168" s="180" t="n">
        <f aca="false">IF($A168=0,0,$B$13*(1+$B$16)^($A168-1))</f>
        <v>1297.83757259086</v>
      </c>
      <c r="G168" s="180" t="n">
        <f aca="false">F168*$B$14</f>
        <v>103.827005807269</v>
      </c>
      <c r="H168" s="180" t="n">
        <f aca="false">F168-G168</f>
        <v>1194.01056678359</v>
      </c>
      <c r="I168" s="180" t="n">
        <f aca="false">IF($A168=0,0,E168*$B$17/12)</f>
        <v>108.507196256923</v>
      </c>
      <c r="J168" s="180" t="n">
        <f aca="false">H168*$B$19</f>
        <v>95.5208453426871</v>
      </c>
      <c r="K168" s="180" t="n">
        <f aca="false">IF($A168=0,0,E168*$B$18/12)</f>
        <v>180.845327094872</v>
      </c>
      <c r="L168" s="180" t="n">
        <f aca="false">MAX(0,H168-I168-J168)</f>
        <v>989.982525183979</v>
      </c>
      <c r="M168" s="180" t="n">
        <f aca="false">MAX(0,L168*IFERROR(INDEX(TAB_IRPF_ALIQ,MATCH(L168,TAB_IRPF_BASE,1)),0)-IFERROR(INDEX(TAB_IRPF_DED,MATCH(L168,TAB_IRPF_BASE,1)),0))</f>
        <v>0</v>
      </c>
      <c r="N168" s="180" t="n">
        <f aca="false">H168-I168-J168-K168-M168</f>
        <v>809.137198089106</v>
      </c>
      <c r="O168" s="180" t="n">
        <f aca="false">IF(OR($A168=0,$A168&gt;IN_PRAZO,$B$5=0),0,IF(APORTE_CORRIGIDO="Sim",IN_APORTE*$D168,IN_APORTE))</f>
        <v>0</v>
      </c>
      <c r="P168" s="180" t="n">
        <f aca="false">IF($B$25=1,MAX(0,N168),0)</f>
        <v>809.137198089106</v>
      </c>
      <c r="Q168" s="180" t="n">
        <f aca="false">R167*$B$27</f>
        <v>1037.71170106535</v>
      </c>
      <c r="R168" s="180" t="n">
        <f aca="false">R167+Q168+O168+P168</f>
        <v>124024.684091561</v>
      </c>
      <c r="S168" s="180" t="n">
        <f aca="false">S167+O168+P168</f>
        <v>76573.2365300608</v>
      </c>
      <c r="T168" s="180" t="n">
        <f aca="false">MAX(0,IFERROR(INDEX(TAB_IR,MATCH($C168,TAB_IR_DIAS,1),MATCH("RF_REGR",TAB_IR_REGIMES,0)),0)*MAX(0,R168-S168))</f>
        <v>7117.717134225</v>
      </c>
      <c r="U168" s="180" t="n">
        <f aca="false">E168*$B$22</f>
        <v>13020.8635508308</v>
      </c>
      <c r="V168" s="180" t="n">
        <f aca="false">IF($B$23=1,0,MAX(0,ALIQ_GANHO_CAP*MAX(0,E168-U168-$B$30)))</f>
        <v>7311.5293444524</v>
      </c>
      <c r="W168" s="181" t="n">
        <f aca="false">IF($B$5=0,0,E168-U168-V168+R168-T168)</f>
        <v>313588.966575899</v>
      </c>
      <c r="X168" s="180" t="n">
        <f aca="false">W168/$D168</f>
        <v>216752.190679628</v>
      </c>
      <c r="Y168" s="180" t="n">
        <f aca="false">IF($B$25=1,0,MAX(0,N168))</f>
        <v>0</v>
      </c>
      <c r="Z168" s="180" t="n">
        <f aca="false">Z167+O168</f>
        <v>155250</v>
      </c>
    </row>
    <row r="169" customFormat="false" ht="12" hidden="false" customHeight="true" outlineLevel="0" collapsed="false">
      <c r="A169" s="177" t="n">
        <v>114</v>
      </c>
      <c r="B169" s="178" t="n">
        <f aca="false">EDATE(DATA_INICIO,$A169)</f>
        <v>49728</v>
      </c>
      <c r="C169" s="177" t="n">
        <f aca="false">$A169*30</f>
        <v>3420</v>
      </c>
      <c r="D169" s="179" t="n">
        <f aca="false">(1+$B$29)^$A169</f>
        <v>1.45149894109286</v>
      </c>
      <c r="E169" s="180" t="n">
        <f aca="false">$B$6*(1+$B$21)^$A169</f>
        <v>217724.841163929</v>
      </c>
      <c r="F169" s="180" t="n">
        <f aca="false">IF($A169=0,0,$B$13*(1+$B$16)^($A169-1))</f>
        <v>1302.08635508308</v>
      </c>
      <c r="G169" s="180" t="n">
        <f aca="false">F169*$B$14</f>
        <v>104.166908406646</v>
      </c>
      <c r="H169" s="180" t="n">
        <f aca="false">F169-G169</f>
        <v>1197.91944667643</v>
      </c>
      <c r="I169" s="180" t="n">
        <f aca="false">IF($A169=0,0,E169*$B$17/12)</f>
        <v>108.862420581965</v>
      </c>
      <c r="J169" s="180" t="n">
        <f aca="false">H169*$B$19</f>
        <v>95.8335557341148</v>
      </c>
      <c r="K169" s="180" t="n">
        <f aca="false">IF($A169=0,0,E169*$B$18/12)</f>
        <v>181.437367636608</v>
      </c>
      <c r="L169" s="180" t="n">
        <f aca="false">MAX(0,H169-I169-J169)</f>
        <v>993.223470360355</v>
      </c>
      <c r="M169" s="180" t="n">
        <f aca="false">MAX(0,L169*IFERROR(INDEX(TAB_IRPF_ALIQ,MATCH(L169,TAB_IRPF_BASE,1)),0)-IFERROR(INDEX(TAB_IRPF_DED,MATCH(L169,TAB_IRPF_BASE,1)),0))</f>
        <v>0</v>
      </c>
      <c r="N169" s="180" t="n">
        <f aca="false">H169-I169-J169-K169-M169</f>
        <v>811.786102723748</v>
      </c>
      <c r="O169" s="180" t="n">
        <f aca="false">IF(OR($A169=0,$A169&gt;IN_PRAZO,$B$5=0),0,IF(APORTE_CORRIGIDO="Sim",IN_APORTE*$D169,IN_APORTE))</f>
        <v>0</v>
      </c>
      <c r="P169" s="180" t="n">
        <f aca="false">IF($B$25=1,MAX(0,N169),0)</f>
        <v>811.786102723748</v>
      </c>
      <c r="Q169" s="180" t="n">
        <f aca="false">R168*$B$27</f>
        <v>1053.3978253917</v>
      </c>
      <c r="R169" s="180" t="n">
        <f aca="false">R168+Q169+O169+P169</f>
        <v>125889.868019676</v>
      </c>
      <c r="S169" s="180" t="n">
        <f aca="false">S168+O169+P169</f>
        <v>77385.0226327846</v>
      </c>
      <c r="T169" s="180" t="n">
        <f aca="false">MAX(0,IFERROR(INDEX(TAB_IR,MATCH($C169,TAB_IR_DIAS,1),MATCH("RF_REGR",TAB_IR_REGIMES,0)),0)*MAX(0,R169-S169))</f>
        <v>7275.72680803375</v>
      </c>
      <c r="U169" s="180" t="n">
        <f aca="false">E169*$B$22</f>
        <v>13063.4904698357</v>
      </c>
      <c r="V169" s="180" t="n">
        <f aca="false">IF($B$23=1,0,MAX(0,ALIQ_GANHO_CAP*MAX(0,E169-U169-$B$30)))</f>
        <v>7411.70260411401</v>
      </c>
      <c r="W169" s="181" t="n">
        <f aca="false">IF($B$5=0,0,E169-U169-V169+R169-T169)</f>
        <v>315863.789301622</v>
      </c>
      <c r="X169" s="180" t="n">
        <f aca="false">W169/$D169</f>
        <v>217612.138982204</v>
      </c>
      <c r="Y169" s="180" t="n">
        <f aca="false">IF($B$25=1,0,MAX(0,N169))</f>
        <v>0</v>
      </c>
      <c r="Z169" s="180" t="n">
        <f aca="false">Z168+O169</f>
        <v>155250</v>
      </c>
    </row>
    <row r="170" customFormat="false" ht="12" hidden="false" customHeight="true" outlineLevel="0" collapsed="false">
      <c r="A170" s="177" t="n">
        <v>115</v>
      </c>
      <c r="B170" s="178" t="n">
        <f aca="false">EDATE(DATA_INICIO,$A170)</f>
        <v>49757</v>
      </c>
      <c r="C170" s="177" t="n">
        <f aca="false">$A170*30</f>
        <v>3450</v>
      </c>
      <c r="D170" s="179" t="n">
        <f aca="false">(1+$B$29)^$A170</f>
        <v>1.45625077092014</v>
      </c>
      <c r="E170" s="180" t="n">
        <f aca="false">$B$6*(1+$B$21)^$A170</f>
        <v>218437.61563802</v>
      </c>
      <c r="F170" s="180" t="n">
        <f aca="false">IF($A170=0,0,$B$13*(1+$B$16)^($A170-1))</f>
        <v>1306.34904698358</v>
      </c>
      <c r="G170" s="180" t="n">
        <f aca="false">F170*$B$14</f>
        <v>104.507923758686</v>
      </c>
      <c r="H170" s="180" t="n">
        <f aca="false">F170-G170</f>
        <v>1201.84112322489</v>
      </c>
      <c r="I170" s="180" t="n">
        <f aca="false">IF($A170=0,0,E170*$B$17/12)</f>
        <v>109.21880781901</v>
      </c>
      <c r="J170" s="180" t="n">
        <f aca="false">H170*$B$19</f>
        <v>96.1472898579911</v>
      </c>
      <c r="K170" s="180" t="n">
        <f aca="false">IF($A170=0,0,E170*$B$18/12)</f>
        <v>182.031346365017</v>
      </c>
      <c r="L170" s="180" t="n">
        <f aca="false">MAX(0,H170-I170-J170)</f>
        <v>996.475025547888</v>
      </c>
      <c r="M170" s="180" t="n">
        <f aca="false">MAX(0,L170*IFERROR(INDEX(TAB_IRPF_ALIQ,MATCH(L170,TAB_IRPF_BASE,1)),0)-IFERROR(INDEX(TAB_IRPF_DED,MATCH(L170,TAB_IRPF_BASE,1)),0))</f>
        <v>0</v>
      </c>
      <c r="N170" s="180" t="n">
        <f aca="false">H170-I170-J170-K170-M170</f>
        <v>814.443679182871</v>
      </c>
      <c r="O170" s="180" t="n">
        <f aca="false">IF(OR($A170=0,$A170&gt;IN_PRAZO,$B$5=0),0,IF(APORTE_CORRIGIDO="Sim",IN_APORTE*$D170,IN_APORTE))</f>
        <v>0</v>
      </c>
      <c r="P170" s="180" t="n">
        <f aca="false">IF($B$25=1,MAX(0,N170),0)</f>
        <v>814.443679182871</v>
      </c>
      <c r="Q170" s="180" t="n">
        <f aca="false">R169*$B$27</f>
        <v>1069.23967742481</v>
      </c>
      <c r="R170" s="180" t="n">
        <f aca="false">R169+Q170+O170+P170</f>
        <v>127773.551376284</v>
      </c>
      <c r="S170" s="180" t="n">
        <f aca="false">S169+O170+P170</f>
        <v>78199.4663119675</v>
      </c>
      <c r="T170" s="180" t="n">
        <f aca="false">MAX(0,IFERROR(INDEX(TAB_IR,MATCH($C170,TAB_IR_DIAS,1),MATCH("RF_REGR",TAB_IR_REGIMES,0)),0)*MAX(0,R170-S170))</f>
        <v>7436.11275964748</v>
      </c>
      <c r="U170" s="180" t="n">
        <f aca="false">E170*$B$22</f>
        <v>13106.2569382812</v>
      </c>
      <c r="V170" s="180" t="n">
        <f aca="false">IF($B$23=1,0,MAX(0,ALIQ_GANHO_CAP*MAX(0,E170-U170-$B$30)))</f>
        <v>7512.20380496088</v>
      </c>
      <c r="W170" s="181" t="n">
        <f aca="false">IF($B$5=0,0,E170-U170-V170+R170-T170)</f>
        <v>318156.593511415</v>
      </c>
      <c r="X170" s="180" t="n">
        <f aca="false">W170/$D170</f>
        <v>218476.515078778</v>
      </c>
      <c r="Y170" s="180" t="n">
        <f aca="false">IF($B$25=1,0,MAX(0,N170))</f>
        <v>0</v>
      </c>
      <c r="Z170" s="180" t="n">
        <f aca="false">Z169+O170</f>
        <v>155250</v>
      </c>
    </row>
    <row r="171" customFormat="false" ht="12" hidden="false" customHeight="true" outlineLevel="0" collapsed="false">
      <c r="A171" s="177" t="n">
        <v>116</v>
      </c>
      <c r="B171" s="178" t="n">
        <f aca="false">EDATE(DATA_INICIO,$A171)</f>
        <v>49788</v>
      </c>
      <c r="C171" s="177" t="n">
        <f aca="false">$A171*30</f>
        <v>3480</v>
      </c>
      <c r="D171" s="179" t="n">
        <f aca="false">(1+$B$29)^$A171</f>
        <v>1.46101815700176</v>
      </c>
      <c r="E171" s="180" t="n">
        <f aca="false">$B$6*(1+$B$21)^$A171</f>
        <v>219152.723550263</v>
      </c>
      <c r="F171" s="180" t="n">
        <f aca="false">IF($A171=0,0,$B$13*(1+$B$16)^($A171-1))</f>
        <v>1310.62569382812</v>
      </c>
      <c r="G171" s="180" t="n">
        <f aca="false">F171*$B$14</f>
        <v>104.85005550625</v>
      </c>
      <c r="H171" s="180" t="n">
        <f aca="false">F171-G171</f>
        <v>1205.77563832187</v>
      </c>
      <c r="I171" s="180" t="n">
        <f aca="false">IF($A171=0,0,E171*$B$17/12)</f>
        <v>109.576361775132</v>
      </c>
      <c r="J171" s="180" t="n">
        <f aca="false">H171*$B$19</f>
        <v>96.4620510657498</v>
      </c>
      <c r="K171" s="180" t="n">
        <f aca="false">IF($A171=0,0,E171*$B$18/12)</f>
        <v>182.627269625219</v>
      </c>
      <c r="L171" s="180" t="n">
        <f aca="false">MAX(0,H171-I171-J171)</f>
        <v>999.737225480991</v>
      </c>
      <c r="M171" s="180" t="n">
        <f aca="false">MAX(0,L171*IFERROR(INDEX(TAB_IRPF_ALIQ,MATCH(L171,TAB_IRPF_BASE,1)),0)-IFERROR(INDEX(TAB_IRPF_DED,MATCH(L171,TAB_IRPF_BASE,1)),0))</f>
        <v>0</v>
      </c>
      <c r="N171" s="180" t="n">
        <f aca="false">H171-I171-J171-K171-M171</f>
        <v>817.109955855772</v>
      </c>
      <c r="O171" s="180" t="n">
        <f aca="false">IF(OR($A171=0,$A171&gt;IN_PRAZO,$B$5=0),0,IF(APORTE_CORRIGIDO="Sim",IN_APORTE*$D171,IN_APORTE))</f>
        <v>0</v>
      </c>
      <c r="P171" s="180" t="n">
        <f aca="false">IF($B$25=1,MAX(0,N171),0)</f>
        <v>817.109955855772</v>
      </c>
      <c r="Q171" s="180" t="n">
        <f aca="false">R170*$B$27</f>
        <v>1085.23865348439</v>
      </c>
      <c r="R171" s="180" t="n">
        <f aca="false">R170+Q171+O171+P171</f>
        <v>129675.899985624</v>
      </c>
      <c r="S171" s="180" t="n">
        <f aca="false">S170+O171+P171</f>
        <v>79016.5762678232</v>
      </c>
      <c r="T171" s="180" t="n">
        <f aca="false">MAX(0,IFERROR(INDEX(TAB_IR,MATCH($C171,TAB_IR_DIAS,1),MATCH("RF_REGR",TAB_IR_REGIMES,0)),0)*MAX(0,R171-S171))</f>
        <v>7598.89855767013</v>
      </c>
      <c r="U171" s="180" t="n">
        <f aca="false">E171*$B$22</f>
        <v>13149.1634130158</v>
      </c>
      <c r="V171" s="180" t="n">
        <f aca="false">IF($B$23=1,0,MAX(0,ALIQ_GANHO_CAP*MAX(0,E171-U171-$B$30)))</f>
        <v>7613.03402058712</v>
      </c>
      <c r="W171" s="181" t="n">
        <f aca="false">IF($B$5=0,0,E171-U171-V171+R171-T171)</f>
        <v>320467.527544614</v>
      </c>
      <c r="X171" s="180" t="n">
        <f aca="false">W171/$D171</f>
        <v>219345.342156641</v>
      </c>
      <c r="Y171" s="180" t="n">
        <f aca="false">IF($B$25=1,0,MAX(0,N171))</f>
        <v>0</v>
      </c>
      <c r="Z171" s="180" t="n">
        <f aca="false">Z170+O171</f>
        <v>155250</v>
      </c>
    </row>
    <row r="172" customFormat="false" ht="12" hidden="false" customHeight="true" outlineLevel="0" collapsed="false">
      <c r="A172" s="177" t="n">
        <v>117</v>
      </c>
      <c r="B172" s="178" t="n">
        <f aca="false">EDATE(DATA_INICIO,$A172)</f>
        <v>49818</v>
      </c>
      <c r="C172" s="177" t="n">
        <f aca="false">$A172*30</f>
        <v>3510</v>
      </c>
      <c r="D172" s="179" t="n">
        <f aca="false">(1+$B$29)^$A172</f>
        <v>1.46580115026485</v>
      </c>
      <c r="E172" s="180" t="n">
        <f aca="false">$B$6*(1+$B$21)^$A172</f>
        <v>219870.172539727</v>
      </c>
      <c r="F172" s="180" t="n">
        <f aca="false">IF($A172=0,0,$B$13*(1+$B$16)^($A172-1))</f>
        <v>1314.91634130158</v>
      </c>
      <c r="G172" s="180" t="n">
        <f aca="false">F172*$B$14</f>
        <v>105.193307304126</v>
      </c>
      <c r="H172" s="180" t="n">
        <f aca="false">F172-G172</f>
        <v>1209.72303399745</v>
      </c>
      <c r="I172" s="180" t="n">
        <f aca="false">IF($A172=0,0,E172*$B$17/12)</f>
        <v>109.935086269864</v>
      </c>
      <c r="J172" s="180" t="n">
        <f aca="false">H172*$B$19</f>
        <v>96.7778427197963</v>
      </c>
      <c r="K172" s="180" t="n">
        <f aca="false">IF($A172=0,0,E172*$B$18/12)</f>
        <v>183.225143783106</v>
      </c>
      <c r="L172" s="180" t="n">
        <f aca="false">MAX(0,H172-I172-J172)</f>
        <v>1003.01010500779</v>
      </c>
      <c r="M172" s="180" t="n">
        <f aca="false">MAX(0,L172*IFERROR(INDEX(TAB_IRPF_ALIQ,MATCH(L172,TAB_IRPF_BASE,1)),0)-IFERROR(INDEX(TAB_IRPF_DED,MATCH(L172,TAB_IRPF_BASE,1)),0))</f>
        <v>0</v>
      </c>
      <c r="N172" s="180" t="n">
        <f aca="false">H172-I172-J172-K172-M172</f>
        <v>819.784961224688</v>
      </c>
      <c r="O172" s="180" t="n">
        <f aca="false">IF(OR($A172=0,$A172&gt;IN_PRAZO,$B$5=0),0,IF(APORTE_CORRIGIDO="Sim",IN_APORTE*$D172,IN_APORTE))</f>
        <v>0</v>
      </c>
      <c r="P172" s="180" t="n">
        <f aca="false">IF($B$25=1,MAX(0,N172),0)</f>
        <v>819.784961224688</v>
      </c>
      <c r="Q172" s="180" t="n">
        <f aca="false">R171*$B$27</f>
        <v>1101.39616199081</v>
      </c>
      <c r="R172" s="180" t="n">
        <f aca="false">R171+Q172+O172+P172</f>
        <v>131597.08110884</v>
      </c>
      <c r="S172" s="180" t="n">
        <f aca="false">S171+O172+P172</f>
        <v>79836.3612290479</v>
      </c>
      <c r="T172" s="180" t="n">
        <f aca="false">MAX(0,IFERROR(INDEX(TAB_IR,MATCH($C172,TAB_IR_DIAS,1),MATCH("RF_REGR",TAB_IR_REGIMES,0)),0)*MAX(0,R172-S172))</f>
        <v>7764.10798196875</v>
      </c>
      <c r="U172" s="180" t="n">
        <f aca="false">E172*$B$22</f>
        <v>13192.2103523836</v>
      </c>
      <c r="V172" s="180" t="n">
        <f aca="false">IF($B$23=1,0,MAX(0,ALIQ_GANHO_CAP*MAX(0,E172-U172-$B$30)))</f>
        <v>7714.19432810151</v>
      </c>
      <c r="W172" s="181" t="n">
        <f aca="false">IF($B$5=0,0,E172-U172-V172+R172-T172)</f>
        <v>322796.740986113</v>
      </c>
      <c r="X172" s="180" t="n">
        <f aca="false">W172/$D172</f>
        <v>220218.643523229</v>
      </c>
      <c r="Y172" s="180" t="n">
        <f aca="false">IF($B$25=1,0,MAX(0,N172))</f>
        <v>0</v>
      </c>
      <c r="Z172" s="180" t="n">
        <f aca="false">Z171+O172</f>
        <v>155250</v>
      </c>
    </row>
    <row r="173" customFormat="false" ht="12" hidden="false" customHeight="true" outlineLevel="0" collapsed="false">
      <c r="A173" s="177" t="n">
        <v>118</v>
      </c>
      <c r="B173" s="178" t="n">
        <f aca="false">EDATE(DATA_INICIO,$A173)</f>
        <v>49849</v>
      </c>
      <c r="C173" s="177" t="n">
        <f aca="false">$A173*30</f>
        <v>3540</v>
      </c>
      <c r="D173" s="179" t="n">
        <f aca="false">(1+$B$29)^$A173</f>
        <v>1.47059980180326</v>
      </c>
      <c r="E173" s="180" t="n">
        <f aca="false">$B$6*(1+$B$21)^$A173</f>
        <v>220589.970270489</v>
      </c>
      <c r="F173" s="180" t="n">
        <f aca="false">IF($A173=0,0,$B$13*(1+$B$16)^($A173-1))</f>
        <v>1319.22103523836</v>
      </c>
      <c r="G173" s="180" t="n">
        <f aca="false">F173*$B$14</f>
        <v>105.537682819069</v>
      </c>
      <c r="H173" s="180" t="n">
        <f aca="false">F173-G173</f>
        <v>1213.68335241929</v>
      </c>
      <c r="I173" s="180" t="n">
        <f aca="false">IF($A173=0,0,E173*$B$17/12)</f>
        <v>110.294985135245</v>
      </c>
      <c r="J173" s="180" t="n">
        <f aca="false">H173*$B$19</f>
        <v>97.0946681935435</v>
      </c>
      <c r="K173" s="180" t="n">
        <f aca="false">IF($A173=0,0,E173*$B$18/12)</f>
        <v>183.824975225408</v>
      </c>
      <c r="L173" s="180" t="n">
        <f aca="false">MAX(0,H173-I173-J173)</f>
        <v>1006.29369909051</v>
      </c>
      <c r="M173" s="180" t="n">
        <f aca="false">MAX(0,L173*IFERROR(INDEX(TAB_IRPF_ALIQ,MATCH(L173,TAB_IRPF_BASE,1)),0)-IFERROR(INDEX(TAB_IRPF_DED,MATCH(L173,TAB_IRPF_BASE,1)),0))</f>
        <v>0</v>
      </c>
      <c r="N173" s="180" t="n">
        <f aca="false">H173-I173-J173-K173-M173</f>
        <v>822.468723865097</v>
      </c>
      <c r="O173" s="180" t="n">
        <f aca="false">IF(OR($A173=0,$A173&gt;IN_PRAZO,$B$5=0),0,IF(APORTE_CORRIGIDO="Sim",IN_APORTE*$D173,IN_APORTE))</f>
        <v>0</v>
      </c>
      <c r="P173" s="180" t="n">
        <f aca="false">IF($B$25=1,MAX(0,N173),0)</f>
        <v>822.468723865097</v>
      </c>
      <c r="Q173" s="180" t="n">
        <f aca="false">R172*$B$27</f>
        <v>1117.71362356874</v>
      </c>
      <c r="R173" s="180" t="n">
        <f aca="false">R172+Q173+O173+P173</f>
        <v>133537.263456273</v>
      </c>
      <c r="S173" s="180" t="n">
        <f aca="false">S172+O173+P173</f>
        <v>80658.829952913</v>
      </c>
      <c r="T173" s="180" t="n">
        <f aca="false">MAX(0,IFERROR(INDEX(TAB_IR,MATCH($C173,TAB_IR_DIAS,1),MATCH("RF_REGR",TAB_IR_REGIMES,0)),0)*MAX(0,R173-S173))</f>
        <v>7931.76502550407</v>
      </c>
      <c r="U173" s="180" t="n">
        <f aca="false">E173*$B$22</f>
        <v>13235.3982162294</v>
      </c>
      <c r="V173" s="180" t="n">
        <f aca="false">IF($B$23=1,0,MAX(0,ALIQ_GANHO_CAP*MAX(0,E173-U173-$B$30)))</f>
        <v>7815.68580813899</v>
      </c>
      <c r="W173" s="181" t="n">
        <f aca="false">IF($B$5=0,0,E173-U173-V173+R173-T173)</f>
        <v>325144.38467689</v>
      </c>
      <c r="X173" s="180" t="n">
        <f aca="false">W173/$D173</f>
        <v>221096.442606748</v>
      </c>
      <c r="Y173" s="180" t="n">
        <f aca="false">IF($B$25=1,0,MAX(0,N173))</f>
        <v>0</v>
      </c>
      <c r="Z173" s="180" t="n">
        <f aca="false">Z172+O173</f>
        <v>155250</v>
      </c>
    </row>
    <row r="174" customFormat="false" ht="12" hidden="false" customHeight="true" outlineLevel="0" collapsed="false">
      <c r="A174" s="177" t="n">
        <v>119</v>
      </c>
      <c r="B174" s="178" t="n">
        <f aca="false">EDATE(DATA_INICIO,$A174)</f>
        <v>49879</v>
      </c>
      <c r="C174" s="177" t="n">
        <f aca="false">$A174*30</f>
        <v>3570</v>
      </c>
      <c r="D174" s="179" t="n">
        <f aca="false">(1+$B$29)^$A174</f>
        <v>1.47541416287812</v>
      </c>
      <c r="E174" s="180" t="n">
        <f aca="false">$B$6*(1+$B$21)^$A174</f>
        <v>221312.124431718</v>
      </c>
      <c r="F174" s="180" t="n">
        <f aca="false">IF($A174=0,0,$B$13*(1+$B$16)^($A174-1))</f>
        <v>1323.53982162294</v>
      </c>
      <c r="G174" s="180" t="n">
        <f aca="false">F174*$B$14</f>
        <v>105.883185729835</v>
      </c>
      <c r="H174" s="180" t="n">
        <f aca="false">F174-G174</f>
        <v>1217.6566358931</v>
      </c>
      <c r="I174" s="180" t="n">
        <f aca="false">IF($A174=0,0,E174*$B$17/12)</f>
        <v>110.656062215859</v>
      </c>
      <c r="J174" s="180" t="n">
        <f aca="false">H174*$B$19</f>
        <v>97.4125308714481</v>
      </c>
      <c r="K174" s="180" t="n">
        <f aca="false">IF($A174=0,0,E174*$B$18/12)</f>
        <v>184.426770359765</v>
      </c>
      <c r="L174" s="180" t="n">
        <f aca="false">MAX(0,H174-I174-J174)</f>
        <v>1009.58804280579</v>
      </c>
      <c r="M174" s="180" t="n">
        <f aca="false">MAX(0,L174*IFERROR(INDEX(TAB_IRPF_ALIQ,MATCH(L174,TAB_IRPF_BASE,1)),0)-IFERROR(INDEX(TAB_IRPF_DED,MATCH(L174,TAB_IRPF_BASE,1)),0))</f>
        <v>0</v>
      </c>
      <c r="N174" s="180" t="n">
        <f aca="false">H174-I174-J174-K174-M174</f>
        <v>825.161272446029</v>
      </c>
      <c r="O174" s="180" t="n">
        <f aca="false">IF(OR($A174=0,$A174&gt;IN_PRAZO,$B$5=0),0,IF(APORTE_CORRIGIDO="Sim",IN_APORTE*$D174,IN_APORTE))</f>
        <v>0</v>
      </c>
      <c r="P174" s="180" t="n">
        <f aca="false">IF($B$25=1,MAX(0,N174),0)</f>
        <v>825.161272446029</v>
      </c>
      <c r="Q174" s="180" t="n">
        <f aca="false">R173*$B$27</f>
        <v>1134.19247115154</v>
      </c>
      <c r="R174" s="180" t="n">
        <f aca="false">R173+Q174+O174+P174</f>
        <v>135496.617199871</v>
      </c>
      <c r="S174" s="180" t="n">
        <f aca="false">S173+O174+P174</f>
        <v>81483.9912253591</v>
      </c>
      <c r="T174" s="180" t="n">
        <f aca="false">MAX(0,IFERROR(INDEX(TAB_IR,MATCH($C174,TAB_IR_DIAS,1),MATCH("RF_REGR",TAB_IR_REGIMES,0)),0)*MAX(0,R174-S174))</f>
        <v>8101.8938961768</v>
      </c>
      <c r="U174" s="180" t="n">
        <f aca="false">E174*$B$22</f>
        <v>13278.7274659031</v>
      </c>
      <c r="V174" s="180" t="n">
        <f aca="false">IF($B$23=1,0,MAX(0,ALIQ_GANHO_CAP*MAX(0,E174-U174-$B$30)))</f>
        <v>7917.50954487222</v>
      </c>
      <c r="W174" s="181" t="n">
        <f aca="false">IF($B$5=0,0,E174-U174-V174+R174-T174)</f>
        <v>327510.610724637</v>
      </c>
      <c r="X174" s="180" t="n">
        <f aca="false">W174/$D174</f>
        <v>221978.762956806</v>
      </c>
      <c r="Y174" s="180" t="n">
        <f aca="false">IF($B$25=1,0,MAX(0,N174))</f>
        <v>0</v>
      </c>
      <c r="Z174" s="180" t="n">
        <f aca="false">Z173+O174</f>
        <v>155250</v>
      </c>
    </row>
    <row r="175" customFormat="false" ht="12" hidden="false" customHeight="true" outlineLevel="0" collapsed="false">
      <c r="A175" s="177" t="n">
        <v>120</v>
      </c>
      <c r="B175" s="178" t="n">
        <f aca="false">EDATE(DATA_INICIO,$A175)</f>
        <v>49910</v>
      </c>
      <c r="C175" s="177" t="n">
        <f aca="false">$A175*30</f>
        <v>3600</v>
      </c>
      <c r="D175" s="179" t="n">
        <f aca="false">(1+$B$29)^$A175</f>
        <v>1.48024428491835</v>
      </c>
      <c r="E175" s="180" t="n">
        <f aca="false">$B$6*(1+$B$21)^$A175</f>
        <v>222036.642737753</v>
      </c>
      <c r="F175" s="180" t="n">
        <f aca="false">IF($A175=0,0,$B$13*(1+$B$16)^($A175-1))</f>
        <v>1327.87274659031</v>
      </c>
      <c r="G175" s="180" t="n">
        <f aca="false">F175*$B$14</f>
        <v>106.229819727225</v>
      </c>
      <c r="H175" s="180" t="n">
        <f aca="false">F175-G175</f>
        <v>1221.64292686308</v>
      </c>
      <c r="I175" s="180" t="n">
        <f aca="false">IF($A175=0,0,E175*$B$17/12)</f>
        <v>111.018321368876</v>
      </c>
      <c r="J175" s="180" t="n">
        <f aca="false">H175*$B$19</f>
        <v>97.7314341490466</v>
      </c>
      <c r="K175" s="180" t="n">
        <f aca="false">IF($A175=0,0,E175*$B$18/12)</f>
        <v>185.030535614794</v>
      </c>
      <c r="L175" s="180" t="n">
        <f aca="false">MAX(0,H175-I175-J175)</f>
        <v>1012.89317134516</v>
      </c>
      <c r="M175" s="180" t="n">
        <f aca="false">MAX(0,L175*IFERROR(INDEX(TAB_IRPF_ALIQ,MATCH(L175,TAB_IRPF_BASE,1)),0)-IFERROR(INDEX(TAB_IRPF_DED,MATCH(L175,TAB_IRPF_BASE,1)),0))</f>
        <v>0</v>
      </c>
      <c r="N175" s="180" t="n">
        <f aca="false">H175-I175-J175-K175-M175</f>
        <v>827.862635730365</v>
      </c>
      <c r="O175" s="180" t="n">
        <f aca="false">IF(OR($A175=0,$A175&gt;IN_PRAZO,$B$5=0),0,IF(APORTE_CORRIGIDO="Sim",IN_APORTE*$D175,IN_APORTE))</f>
        <v>0</v>
      </c>
      <c r="P175" s="180" t="n">
        <f aca="false">IF($B$25=1,MAX(0,N175),0)</f>
        <v>827.862635730365</v>
      </c>
      <c r="Q175" s="180" t="n">
        <f aca="false">R174*$B$27</f>
        <v>1150.83415008664</v>
      </c>
      <c r="R175" s="180" t="n">
        <f aca="false">R174+Q175+O175+P175</f>
        <v>137475.313985688</v>
      </c>
      <c r="S175" s="180" t="n">
        <f aca="false">S174+O175+P175</f>
        <v>82311.8538610894</v>
      </c>
      <c r="T175" s="180" t="n">
        <f aca="false">MAX(0,IFERROR(INDEX(TAB_IR,MATCH($C175,TAB_IR_DIAS,1),MATCH("RF_REGR",TAB_IR_REGIMES,0)),0)*MAX(0,R175-S175))</f>
        <v>8274.5190186898</v>
      </c>
      <c r="U175" s="180" t="n">
        <f aca="false">E175*$B$22</f>
        <v>13322.1985642652</v>
      </c>
      <c r="V175" s="180" t="n">
        <f aca="false">IF($B$23=1,0,MAX(0,ALIQ_GANHO_CAP*MAX(0,E175-U175-$B$30)))</f>
        <v>8019.66662602316</v>
      </c>
      <c r="W175" s="181" t="n">
        <f aca="false">IF($B$5=0,0,E175-U175-V175+R175-T175)</f>
        <v>329895.572514463</v>
      </c>
      <c r="X175" s="180" t="n">
        <f aca="false">W175/$D175</f>
        <v>222865.628245043</v>
      </c>
      <c r="Y175" s="180" t="n">
        <f aca="false">IF($B$25=1,0,MAX(0,N175))</f>
        <v>0</v>
      </c>
      <c r="Z175" s="180" t="n">
        <f aca="false">Z174+O175</f>
        <v>155250</v>
      </c>
    </row>
    <row r="176" customFormat="false" ht="12" hidden="false" customHeight="true" outlineLevel="0" collapsed="false">
      <c r="A176" s="177" t="n">
        <v>121</v>
      </c>
      <c r="B176" s="178" t="n">
        <f aca="false">EDATE(DATA_INICIO,$A176)</f>
        <v>49941</v>
      </c>
      <c r="C176" s="177" t="n">
        <f aca="false">$A176*30</f>
        <v>3630</v>
      </c>
      <c r="D176" s="179" t="n">
        <f aca="false">(1+$B$29)^$A176</f>
        <v>1.48509021952126</v>
      </c>
      <c r="E176" s="180" t="n">
        <f aca="false">$B$6*(1+$B$21)^$A176</f>
        <v>222763.532928189</v>
      </c>
      <c r="F176" s="180" t="n">
        <f aca="false">IF($A176=0,0,$B$13*(1+$B$16)^($A176-1))</f>
        <v>1332.21985642652</v>
      </c>
      <c r="G176" s="180" t="n">
        <f aca="false">F176*$B$14</f>
        <v>106.577588514121</v>
      </c>
      <c r="H176" s="180" t="n">
        <f aca="false">F176-G176</f>
        <v>1225.6422679124</v>
      </c>
      <c r="I176" s="180" t="n">
        <f aca="false">IF($A176=0,0,E176*$B$17/12)</f>
        <v>111.381766464095</v>
      </c>
      <c r="J176" s="180" t="n">
        <f aca="false">H176*$B$19</f>
        <v>98.0513814329917</v>
      </c>
      <c r="K176" s="180" t="n">
        <f aca="false">IF($A176=0,0,E176*$B$18/12)</f>
        <v>185.636277440158</v>
      </c>
      <c r="L176" s="180" t="n">
        <f aca="false">MAX(0,H176-I176-J176)</f>
        <v>1016.20912001531</v>
      </c>
      <c r="M176" s="180" t="n">
        <f aca="false">MAX(0,L176*IFERROR(INDEX(TAB_IRPF_ALIQ,MATCH(L176,TAB_IRPF_BASE,1)),0)-IFERROR(INDEX(TAB_IRPF_DED,MATCH(L176,TAB_IRPF_BASE,1)),0))</f>
        <v>0</v>
      </c>
      <c r="N176" s="180" t="n">
        <f aca="false">H176-I176-J176-K176-M176</f>
        <v>830.572842575152</v>
      </c>
      <c r="O176" s="180" t="n">
        <f aca="false">IF(OR($A176=0,$A176&gt;IN_PRAZO,$B$5=0),0,IF(APORTE_CORRIGIDO="Sim",IN_APORTE*$D176,IN_APORTE))</f>
        <v>0</v>
      </c>
      <c r="P176" s="180" t="n">
        <f aca="false">IF($B$25=1,MAX(0,N176),0)</f>
        <v>830.572842575152</v>
      </c>
      <c r="Q176" s="180" t="n">
        <f aca="false">R175*$B$27</f>
        <v>1167.64011824174</v>
      </c>
      <c r="R176" s="180" t="n">
        <f aca="false">R175+Q176+O176+P176</f>
        <v>139473.526946505</v>
      </c>
      <c r="S176" s="180" t="n">
        <f aca="false">S175+O176+P176</f>
        <v>83142.4267036646</v>
      </c>
      <c r="T176" s="180" t="n">
        <f aca="false">MAX(0,IFERROR(INDEX(TAB_IR,MATCH($C176,TAB_IR_DIAS,1),MATCH("RF_REGR",TAB_IR_REGIMES,0)),0)*MAX(0,R176-S176))</f>
        <v>8449.66503642606</v>
      </c>
      <c r="U176" s="180" t="n">
        <f aca="false">E176*$B$22</f>
        <v>13365.8119756914</v>
      </c>
      <c r="V176" s="180" t="n">
        <f aca="false">IF($B$23=1,0,MAX(0,ALIQ_GANHO_CAP*MAX(0,E176-U176-$B$30)))</f>
        <v>8122.15814287471</v>
      </c>
      <c r="W176" s="181" t="n">
        <f aca="false">IF($B$5=0,0,E176-U176-V176+R176-T176)</f>
        <v>332299.424719702</v>
      </c>
      <c r="X176" s="180" t="n">
        <f aca="false">W176/$D176</f>
        <v>223757.062265768</v>
      </c>
      <c r="Y176" s="180" t="n">
        <f aca="false">IF($B$25=1,0,MAX(0,N176))</f>
        <v>0</v>
      </c>
      <c r="Z176" s="180" t="n">
        <f aca="false">Z175+O176</f>
        <v>155250</v>
      </c>
    </row>
    <row r="177" customFormat="false" ht="12" hidden="false" customHeight="true" outlineLevel="0" collapsed="false">
      <c r="A177" s="177" t="n">
        <v>122</v>
      </c>
      <c r="B177" s="178" t="n">
        <f aca="false">EDATE(DATA_INICIO,$A177)</f>
        <v>49971</v>
      </c>
      <c r="C177" s="177" t="n">
        <f aca="false">$A177*30</f>
        <v>3660</v>
      </c>
      <c r="D177" s="179" t="n">
        <f aca="false">(1+$B$29)^$A177</f>
        <v>1.48995201845306</v>
      </c>
      <c r="E177" s="180" t="n">
        <f aca="false">$B$6*(1+$B$21)^$A177</f>
        <v>223492.80276796</v>
      </c>
      <c r="F177" s="180" t="n">
        <f aca="false">IF($A177=0,0,$B$13*(1+$B$16)^($A177-1))</f>
        <v>1336.58119756914</v>
      </c>
      <c r="G177" s="180" t="n">
        <f aca="false">F177*$B$14</f>
        <v>106.926495805531</v>
      </c>
      <c r="H177" s="180" t="n">
        <f aca="false">F177-G177</f>
        <v>1229.65470176361</v>
      </c>
      <c r="I177" s="180" t="n">
        <f aca="false">IF($A177=0,0,E177*$B$17/12)</f>
        <v>111.74640138398</v>
      </c>
      <c r="J177" s="180" t="n">
        <f aca="false">H177*$B$19</f>
        <v>98.3723761410885</v>
      </c>
      <c r="K177" s="180" t="n">
        <f aca="false">IF($A177=0,0,E177*$B$18/12)</f>
        <v>186.244002306633</v>
      </c>
      <c r="L177" s="180" t="n">
        <f aca="false">MAX(0,H177-I177-J177)</f>
        <v>1019.53592423854</v>
      </c>
      <c r="M177" s="180" t="n">
        <f aca="false">MAX(0,L177*IFERROR(INDEX(TAB_IRPF_ALIQ,MATCH(L177,TAB_IRPF_BASE,1)),0)-IFERROR(INDEX(TAB_IRPF_DED,MATCH(L177,TAB_IRPF_BASE,1)),0))</f>
        <v>0</v>
      </c>
      <c r="N177" s="180" t="n">
        <f aca="false">H177-I177-J177-K177-M177</f>
        <v>833.291921931904</v>
      </c>
      <c r="O177" s="180" t="n">
        <f aca="false">IF(OR($A177=0,$A177&gt;IN_PRAZO,$B$5=0),0,IF(APORTE_CORRIGIDO="Sim",IN_APORTE*$D177,IN_APORTE))</f>
        <v>0</v>
      </c>
      <c r="P177" s="180" t="n">
        <f aca="false">IF($B$25=1,MAX(0,N177),0)</f>
        <v>833.291921931904</v>
      </c>
      <c r="Q177" s="180" t="n">
        <f aca="false">R176*$B$27</f>
        <v>1184.61184611198</v>
      </c>
      <c r="R177" s="180" t="n">
        <f aca="false">R176+Q177+O177+P177</f>
        <v>141491.430714549</v>
      </c>
      <c r="S177" s="180" t="n">
        <f aca="false">S176+O177+P177</f>
        <v>83975.7186255965</v>
      </c>
      <c r="T177" s="180" t="n">
        <f aca="false">MAX(0,IFERROR(INDEX(TAB_IR,MATCH($C177,TAB_IR_DIAS,1),MATCH("RF_REGR",TAB_IR_REGIMES,0)),0)*MAX(0,R177-S177))</f>
        <v>8627.35681334285</v>
      </c>
      <c r="U177" s="180" t="n">
        <f aca="false">E177*$B$22</f>
        <v>13409.5681660776</v>
      </c>
      <c r="V177" s="180" t="n">
        <f aca="false">IF($B$23=1,0,MAX(0,ALIQ_GANHO_CAP*MAX(0,E177-U177-$B$30)))</f>
        <v>8224.9851902823</v>
      </c>
      <c r="W177" s="181" t="n">
        <f aca="false">IF($B$5=0,0,E177-U177-V177+R177-T177)</f>
        <v>334722.323312806</v>
      </c>
      <c r="X177" s="180" t="n">
        <f aca="false">W177/$D177</f>
        <v>224653.088936602</v>
      </c>
      <c r="Y177" s="180" t="n">
        <f aca="false">IF($B$25=1,0,MAX(0,N177))</f>
        <v>0</v>
      </c>
      <c r="Z177" s="180" t="n">
        <f aca="false">Z176+O177</f>
        <v>155250</v>
      </c>
    </row>
    <row r="178" customFormat="false" ht="12" hidden="false" customHeight="true" outlineLevel="0" collapsed="false">
      <c r="A178" s="177" t="n">
        <v>123</v>
      </c>
      <c r="B178" s="178" t="n">
        <f aca="false">EDATE(DATA_INICIO,$A178)</f>
        <v>50002</v>
      </c>
      <c r="C178" s="177" t="n">
        <f aca="false">$A178*30</f>
        <v>3690</v>
      </c>
      <c r="D178" s="179" t="n">
        <f aca="false">(1+$B$29)^$A178</f>
        <v>1.49482973364944</v>
      </c>
      <c r="E178" s="180" t="n">
        <f aca="false">$B$6*(1+$B$21)^$A178</f>
        <v>224224.460047416</v>
      </c>
      <c r="F178" s="180" t="n">
        <f aca="false">IF($A178=0,0,$B$13*(1+$B$16)^($A178-1))</f>
        <v>1340.95681660776</v>
      </c>
      <c r="G178" s="180" t="n">
        <f aca="false">F178*$B$14</f>
        <v>107.276545328621</v>
      </c>
      <c r="H178" s="180" t="n">
        <f aca="false">F178-G178</f>
        <v>1233.68027127914</v>
      </c>
      <c r="I178" s="180" t="n">
        <f aca="false">IF($A178=0,0,E178*$B$17/12)</f>
        <v>112.112230023708</v>
      </c>
      <c r="J178" s="180" t="n">
        <f aca="false">H178*$B$19</f>
        <v>98.6944217023309</v>
      </c>
      <c r="K178" s="180" t="n">
        <f aca="false">IF($A178=0,0,E178*$B$18/12)</f>
        <v>186.85371670618</v>
      </c>
      <c r="L178" s="180" t="n">
        <f aca="false">MAX(0,H178-I178-J178)</f>
        <v>1022.8736195531</v>
      </c>
      <c r="M178" s="180" t="n">
        <f aca="false">MAX(0,L178*IFERROR(INDEX(TAB_IRPF_ALIQ,MATCH(L178,TAB_IRPF_BASE,1)),0)-IFERROR(INDEX(TAB_IRPF_DED,MATCH(L178,TAB_IRPF_BASE,1)),0))</f>
        <v>0</v>
      </c>
      <c r="N178" s="180" t="n">
        <f aca="false">H178-I178-J178-K178-M178</f>
        <v>836.019902846918</v>
      </c>
      <c r="O178" s="180" t="n">
        <f aca="false">IF(OR($A178=0,$A178&gt;IN_PRAZO,$B$5=0),0,IF(APORTE_CORRIGIDO="Sim",IN_APORTE*$D178,IN_APORTE))</f>
        <v>0</v>
      </c>
      <c r="P178" s="180" t="n">
        <f aca="false">IF($B$25=1,MAX(0,N178),0)</f>
        <v>836.019902846918</v>
      </c>
      <c r="Q178" s="180" t="n">
        <f aca="false">R177*$B$27</f>
        <v>1201.75081692796</v>
      </c>
      <c r="R178" s="180" t="n">
        <f aca="false">R177+Q178+O178+P178</f>
        <v>143529.201434324</v>
      </c>
      <c r="S178" s="180" t="n">
        <f aca="false">S177+O178+P178</f>
        <v>84811.7385284434</v>
      </c>
      <c r="T178" s="180" t="n">
        <f aca="false">MAX(0,IFERROR(INDEX(TAB_IR,MATCH($C178,TAB_IR_DIAS,1),MATCH("RF_REGR",TAB_IR_REGIMES,0)),0)*MAX(0,R178-S178))</f>
        <v>8807.61943588205</v>
      </c>
      <c r="U178" s="180" t="n">
        <f aca="false">E178*$B$22</f>
        <v>13453.467602845</v>
      </c>
      <c r="V178" s="180" t="n">
        <f aca="false">IF($B$23=1,0,MAX(0,ALIQ_GANHO_CAP*MAX(0,E178-U178-$B$30)))</f>
        <v>8328.14886668569</v>
      </c>
      <c r="W178" s="181" t="n">
        <f aca="false">IF($B$5=0,0,E178-U178-V178+R178-T178)</f>
        <v>337164.425576327</v>
      </c>
      <c r="X178" s="180" t="n">
        <f aca="false">W178/$D178</f>
        <v>225553.732299118</v>
      </c>
      <c r="Y178" s="180" t="n">
        <f aca="false">IF($B$25=1,0,MAX(0,N178))</f>
        <v>0</v>
      </c>
      <c r="Z178" s="180" t="n">
        <f aca="false">Z177+O178</f>
        <v>155250</v>
      </c>
    </row>
    <row r="179" customFormat="false" ht="12" hidden="false" customHeight="true" outlineLevel="0" collapsed="false">
      <c r="A179" s="177" t="n">
        <v>124</v>
      </c>
      <c r="B179" s="178" t="n">
        <f aca="false">EDATE(DATA_INICIO,$A179)</f>
        <v>50032</v>
      </c>
      <c r="C179" s="177" t="n">
        <f aca="false">$A179*30</f>
        <v>3720</v>
      </c>
      <c r="D179" s="179" t="n">
        <f aca="false">(1+$B$29)^$A179</f>
        <v>1.4997234172161</v>
      </c>
      <c r="E179" s="180" t="n">
        <f aca="false">$B$6*(1+$B$21)^$A179</f>
        <v>224958.512582416</v>
      </c>
      <c r="F179" s="180" t="n">
        <f aca="false">IF($A179=0,0,$B$13*(1+$B$16)^($A179-1))</f>
        <v>1345.3467602845</v>
      </c>
      <c r="G179" s="180" t="n">
        <f aca="false">F179*$B$14</f>
        <v>107.62774082276</v>
      </c>
      <c r="H179" s="180" t="n">
        <f aca="false">F179-G179</f>
        <v>1237.71901946174</v>
      </c>
      <c r="I179" s="180" t="n">
        <f aca="false">IF($A179=0,0,E179*$B$17/12)</f>
        <v>112.479256291208</v>
      </c>
      <c r="J179" s="180" t="n">
        <f aca="false">H179*$B$19</f>
        <v>99.017521556939</v>
      </c>
      <c r="K179" s="180" t="n">
        <f aca="false">IF($A179=0,0,E179*$B$18/12)</f>
        <v>187.465427152013</v>
      </c>
      <c r="L179" s="180" t="n">
        <f aca="false">MAX(0,H179-I179-J179)</f>
        <v>1026.22224161359</v>
      </c>
      <c r="M179" s="180" t="n">
        <f aca="false">MAX(0,L179*IFERROR(INDEX(TAB_IRPF_ALIQ,MATCH(L179,TAB_IRPF_BASE,1)),0)-IFERROR(INDEX(TAB_IRPF_DED,MATCH(L179,TAB_IRPF_BASE,1)),0))</f>
        <v>0</v>
      </c>
      <c r="N179" s="180" t="n">
        <f aca="false">H179-I179-J179-K179-M179</f>
        <v>838.756814461578</v>
      </c>
      <c r="O179" s="180" t="n">
        <f aca="false">IF(OR($A179=0,$A179&gt;IN_PRAZO,$B$5=0),0,IF(APORTE_CORRIGIDO="Sim",IN_APORTE*$D179,IN_APORTE))</f>
        <v>0</v>
      </c>
      <c r="P179" s="180" t="n">
        <f aca="false">IF($B$25=1,MAX(0,N179),0)</f>
        <v>838.756814461578</v>
      </c>
      <c r="Q179" s="180" t="n">
        <f aca="false">R178*$B$27</f>
        <v>1219.05852676477</v>
      </c>
      <c r="R179" s="180" t="n">
        <f aca="false">R178+Q179+O179+P179</f>
        <v>145587.01677555</v>
      </c>
      <c r="S179" s="180" t="n">
        <f aca="false">S178+O179+P179</f>
        <v>85650.495342905</v>
      </c>
      <c r="T179" s="180" t="n">
        <f aca="false">MAX(0,IFERROR(INDEX(TAB_IR,MATCH($C179,TAB_IR_DIAS,1),MATCH("RF_REGR",TAB_IR_REGIMES,0)),0)*MAX(0,R179-S179))</f>
        <v>8990.47821489676</v>
      </c>
      <c r="U179" s="180" t="n">
        <f aca="false">E179*$B$22</f>
        <v>13497.5107549449</v>
      </c>
      <c r="V179" s="180" t="n">
        <f aca="false">IF($B$23=1,0,MAX(0,ALIQ_GANHO_CAP*MAX(0,E179-U179-$B$30)))</f>
        <v>8431.65027412059</v>
      </c>
      <c r="W179" s="181" t="n">
        <f aca="false">IF($B$5=0,0,E179-U179-V179+R179-T179)</f>
        <v>339625.890114003</v>
      </c>
      <c r="X179" s="180" t="n">
        <f aca="false">W179/$D179</f>
        <v>226459.016519487</v>
      </c>
      <c r="Y179" s="180" t="n">
        <f aca="false">IF($B$25=1,0,MAX(0,N179))</f>
        <v>0</v>
      </c>
      <c r="Z179" s="180" t="n">
        <f aca="false">Z178+O179</f>
        <v>155250</v>
      </c>
    </row>
    <row r="180" customFormat="false" ht="12" hidden="false" customHeight="true" outlineLevel="0" collapsed="false">
      <c r="A180" s="177" t="n">
        <v>125</v>
      </c>
      <c r="B180" s="178" t="n">
        <f aca="false">EDATE(DATA_INICIO,$A180)</f>
        <v>50063</v>
      </c>
      <c r="C180" s="177" t="n">
        <f aca="false">$A180*30</f>
        <v>3750</v>
      </c>
      <c r="D180" s="179" t="n">
        <f aca="false">(1+$B$29)^$A180</f>
        <v>1.50463312142934</v>
      </c>
      <c r="E180" s="180" t="n">
        <f aca="false">$B$6*(1+$B$21)^$A180</f>
        <v>225694.968214401</v>
      </c>
      <c r="F180" s="180" t="n">
        <f aca="false">IF($A180=0,0,$B$13*(1+$B$16)^($A180-1))</f>
        <v>1349.75107549449</v>
      </c>
      <c r="G180" s="180" t="n">
        <f aca="false">F180*$B$14</f>
        <v>107.980086039559</v>
      </c>
      <c r="H180" s="180" t="n">
        <f aca="false">F180-G180</f>
        <v>1241.77098945493</v>
      </c>
      <c r="I180" s="180" t="n">
        <f aca="false">IF($A180=0,0,E180*$B$17/12)</f>
        <v>112.8474841072</v>
      </c>
      <c r="J180" s="180" t="n">
        <f aca="false">H180*$B$19</f>
        <v>99.3416791563947</v>
      </c>
      <c r="K180" s="180" t="n">
        <f aca="false">IF($A180=0,0,E180*$B$18/12)</f>
        <v>188.079140178667</v>
      </c>
      <c r="L180" s="180" t="n">
        <f aca="false">MAX(0,H180-I180-J180)</f>
        <v>1029.58182619134</v>
      </c>
      <c r="M180" s="180" t="n">
        <f aca="false">MAX(0,L180*IFERROR(INDEX(TAB_IRPF_ALIQ,MATCH(L180,TAB_IRPF_BASE,1)),0)-IFERROR(INDEX(TAB_IRPF_DED,MATCH(L180,TAB_IRPF_BASE,1)),0))</f>
        <v>0</v>
      </c>
      <c r="N180" s="180" t="n">
        <f aca="false">H180-I180-J180-K180-M180</f>
        <v>841.502686012671</v>
      </c>
      <c r="O180" s="180" t="n">
        <f aca="false">IF(OR($A180=0,$A180&gt;IN_PRAZO,$B$5=0),0,IF(APORTE_CORRIGIDO="Sim",IN_APORTE*$D180,IN_APORTE))</f>
        <v>0</v>
      </c>
      <c r="P180" s="180" t="n">
        <f aca="false">IF($B$25=1,MAX(0,N180),0)</f>
        <v>841.502686012671</v>
      </c>
      <c r="Q180" s="180" t="n">
        <f aca="false">R179*$B$27</f>
        <v>1236.5364846518</v>
      </c>
      <c r="R180" s="180" t="n">
        <f aca="false">R179+Q180+O180+P180</f>
        <v>147665.055946215</v>
      </c>
      <c r="S180" s="180" t="n">
        <f aca="false">S179+O180+P180</f>
        <v>86491.9980289177</v>
      </c>
      <c r="T180" s="180" t="n">
        <f aca="false">MAX(0,IFERROR(INDEX(TAB_IR,MATCH($C180,TAB_IR_DIAS,1),MATCH("RF_REGR",TAB_IR_REGIMES,0)),0)*MAX(0,R180-S180))</f>
        <v>9175.95868759453</v>
      </c>
      <c r="U180" s="180" t="n">
        <f aca="false">E180*$B$22</f>
        <v>13541.6980928641</v>
      </c>
      <c r="V180" s="180" t="n">
        <f aca="false">IF($B$23=1,0,MAX(0,ALIQ_GANHO_CAP*MAX(0,E180-U180-$B$30)))</f>
        <v>8535.49051823052</v>
      </c>
      <c r="W180" s="181" t="n">
        <f aca="false">IF($B$5=0,0,E180-U180-V180+R180-T180)</f>
        <v>342106.876861926</v>
      </c>
      <c r="X180" s="180" t="n">
        <f aca="false">W180/$D180</f>
        <v>227368.965889132</v>
      </c>
      <c r="Y180" s="180" t="n">
        <f aca="false">IF($B$25=1,0,MAX(0,N180))</f>
        <v>0</v>
      </c>
      <c r="Z180" s="180" t="n">
        <f aca="false">Z179+O180</f>
        <v>155250</v>
      </c>
    </row>
    <row r="181" customFormat="false" ht="12" hidden="false" customHeight="true" outlineLevel="0" collapsed="false">
      <c r="A181" s="177" t="n">
        <v>126</v>
      </c>
      <c r="B181" s="178" t="n">
        <f aca="false">EDATE(DATA_INICIO,$A181)</f>
        <v>50094</v>
      </c>
      <c r="C181" s="177" t="n">
        <f aca="false">$A181*30</f>
        <v>3780</v>
      </c>
      <c r="D181" s="179" t="n">
        <f aca="false">(1+$B$29)^$A181</f>
        <v>1.50955889873658</v>
      </c>
      <c r="E181" s="180" t="n">
        <f aca="false">$B$6*(1+$B$21)^$A181</f>
        <v>226433.834810486</v>
      </c>
      <c r="F181" s="180" t="n">
        <f aca="false">IF($A181=0,0,$B$13*(1+$B$16)^($A181-1))</f>
        <v>1354.16980928641</v>
      </c>
      <c r="G181" s="180" t="n">
        <f aca="false">F181*$B$14</f>
        <v>108.333584742912</v>
      </c>
      <c r="H181" s="180" t="n">
        <f aca="false">F181-G181</f>
        <v>1245.83622454349</v>
      </c>
      <c r="I181" s="180" t="n">
        <f aca="false">IF($A181=0,0,E181*$B$17/12)</f>
        <v>113.216917405243</v>
      </c>
      <c r="J181" s="180" t="n">
        <f aca="false">H181*$B$19</f>
        <v>99.6668979634794</v>
      </c>
      <c r="K181" s="180" t="n">
        <f aca="false">IF($A181=0,0,E181*$B$18/12)</f>
        <v>188.694862342072</v>
      </c>
      <c r="L181" s="180" t="n">
        <f aca="false">MAX(0,H181-I181-J181)</f>
        <v>1032.95240917477</v>
      </c>
      <c r="M181" s="180" t="n">
        <f aca="false">MAX(0,L181*IFERROR(INDEX(TAB_IRPF_ALIQ,MATCH(L181,TAB_IRPF_BASE,1)),0)-IFERROR(INDEX(TAB_IRPF_DED,MATCH(L181,TAB_IRPF_BASE,1)),0))</f>
        <v>0</v>
      </c>
      <c r="N181" s="180" t="n">
        <f aca="false">H181-I181-J181-K181-M181</f>
        <v>844.257546832698</v>
      </c>
      <c r="O181" s="180" t="n">
        <f aca="false">IF(OR($A181=0,$A181&gt;IN_PRAZO,$B$5=0),0,IF(APORTE_CORRIGIDO="Sim",IN_APORTE*$D181,IN_APORTE))</f>
        <v>0</v>
      </c>
      <c r="P181" s="180" t="n">
        <f aca="false">IF($B$25=1,MAX(0,N181),0)</f>
        <v>844.257546832698</v>
      </c>
      <c r="Q181" s="180" t="n">
        <f aca="false">R180*$B$27</f>
        <v>1254.18621268369</v>
      </c>
      <c r="R181" s="180" t="n">
        <f aca="false">R180+Q181+O181+P181</f>
        <v>149763.499705731</v>
      </c>
      <c r="S181" s="180" t="n">
        <f aca="false">S180+O181+P181</f>
        <v>87336.2555757503</v>
      </c>
      <c r="T181" s="180" t="n">
        <f aca="false">MAX(0,IFERROR(INDEX(TAB_IR,MATCH($C181,TAB_IR_DIAS,1),MATCH("RF_REGR",TAB_IR_REGIMES,0)),0)*MAX(0,R181-S181))</f>
        <v>9364.08661949708</v>
      </c>
      <c r="U181" s="180" t="n">
        <f aca="false">E181*$B$22</f>
        <v>13586.0300886292</v>
      </c>
      <c r="V181" s="180" t="n">
        <f aca="false">IF($B$23=1,0,MAX(0,ALIQ_GANHO_CAP*MAX(0,E181-U181-$B$30)))</f>
        <v>8639.67070827859</v>
      </c>
      <c r="W181" s="181" t="n">
        <f aca="false">IF($B$5=0,0,E181-U181-V181+R181-T181)</f>
        <v>344607.547099813</v>
      </c>
      <c r="X181" s="180" t="n">
        <f aca="false">W181/$D181</f>
        <v>228283.604825377</v>
      </c>
      <c r="Y181" s="180" t="n">
        <f aca="false">IF($B$25=1,0,MAX(0,N181))</f>
        <v>0</v>
      </c>
      <c r="Z181" s="180" t="n">
        <f aca="false">Z180+O181</f>
        <v>155250</v>
      </c>
    </row>
    <row r="182" customFormat="false" ht="12" hidden="false" customHeight="true" outlineLevel="0" collapsed="false">
      <c r="A182" s="177" t="n">
        <v>127</v>
      </c>
      <c r="B182" s="178" t="n">
        <f aca="false">EDATE(DATA_INICIO,$A182)</f>
        <v>50122</v>
      </c>
      <c r="C182" s="177" t="n">
        <f aca="false">$A182*30</f>
        <v>3810</v>
      </c>
      <c r="D182" s="179" t="n">
        <f aca="false">(1+$B$29)^$A182</f>
        <v>1.51450080175694</v>
      </c>
      <c r="E182" s="180" t="n">
        <f aca="false">$B$6*(1+$B$21)^$A182</f>
        <v>227175.120263541</v>
      </c>
      <c r="F182" s="180" t="n">
        <f aca="false">IF($A182=0,0,$B$13*(1+$B$16)^($A182-1))</f>
        <v>1358.60300886292</v>
      </c>
      <c r="G182" s="180" t="n">
        <f aca="false">F182*$B$14</f>
        <v>108.688240709034</v>
      </c>
      <c r="H182" s="180" t="n">
        <f aca="false">F182-G182</f>
        <v>1249.91476815389</v>
      </c>
      <c r="I182" s="180" t="n">
        <f aca="false">IF($A182=0,0,E182*$B$17/12)</f>
        <v>113.587560131771</v>
      </c>
      <c r="J182" s="180" t="n">
        <f aca="false">H182*$B$19</f>
        <v>99.9931814523108</v>
      </c>
      <c r="K182" s="180" t="n">
        <f aca="false">IF($A182=0,0,E182*$B$18/12)</f>
        <v>189.312600219618</v>
      </c>
      <c r="L182" s="180" t="n">
        <f aca="false">MAX(0,H182-I182-J182)</f>
        <v>1036.3340265698</v>
      </c>
      <c r="M182" s="180" t="n">
        <f aca="false">MAX(0,L182*IFERROR(INDEX(TAB_IRPF_ALIQ,MATCH(L182,TAB_IRPF_BASE,1)),0)-IFERROR(INDEX(TAB_IRPF_DED,MATCH(L182,TAB_IRPF_BASE,1)),0))</f>
        <v>0</v>
      </c>
      <c r="N182" s="180" t="n">
        <f aca="false">H182-I182-J182-K182-M182</f>
        <v>847.021426350186</v>
      </c>
      <c r="O182" s="180" t="n">
        <f aca="false">IF(OR($A182=0,$A182&gt;IN_PRAZO,$B$5=0),0,IF(APORTE_CORRIGIDO="Sim",IN_APORTE*$D182,IN_APORTE))</f>
        <v>0</v>
      </c>
      <c r="P182" s="180" t="n">
        <f aca="false">IF($B$25=1,MAX(0,N182),0)</f>
        <v>847.021426350186</v>
      </c>
      <c r="Q182" s="180" t="n">
        <f aca="false">R181*$B$27</f>
        <v>1272.00924613201</v>
      </c>
      <c r="R182" s="180" t="n">
        <f aca="false">R181+Q182+O182+P182</f>
        <v>151882.530378213</v>
      </c>
      <c r="S182" s="180" t="n">
        <f aca="false">S181+O182+P182</f>
        <v>88183.2770021005</v>
      </c>
      <c r="T182" s="180" t="n">
        <f aca="false">MAX(0,IFERROR(INDEX(TAB_IR,MATCH($C182,TAB_IR_DIAS,1),MATCH("RF_REGR",TAB_IR_REGIMES,0)),0)*MAX(0,R182-S182))</f>
        <v>9554.88800641689</v>
      </c>
      <c r="U182" s="180" t="n">
        <f aca="false">E182*$B$22</f>
        <v>13630.5072158125</v>
      </c>
      <c r="V182" s="180" t="n">
        <f aca="false">IF($B$23=1,0,MAX(0,ALIQ_GANHO_CAP*MAX(0,E182-U182-$B$30)))</f>
        <v>8744.19195715933</v>
      </c>
      <c r="W182" s="181" t="n">
        <f aca="false">IF($B$5=0,0,E182-U182-V182+R182-T182)</f>
        <v>347128.063462366</v>
      </c>
      <c r="X182" s="180" t="n">
        <f aca="false">W182/$D182</f>
        <v>229202.957872105</v>
      </c>
      <c r="Y182" s="180" t="n">
        <f aca="false">IF($B$25=1,0,MAX(0,N182))</f>
        <v>0</v>
      </c>
      <c r="Z182" s="180" t="n">
        <f aca="false">Z181+O182</f>
        <v>155250</v>
      </c>
    </row>
    <row r="183" customFormat="false" ht="12" hidden="false" customHeight="true" outlineLevel="0" collapsed="false">
      <c r="A183" s="177" t="n">
        <v>128</v>
      </c>
      <c r="B183" s="178" t="n">
        <f aca="false">EDATE(DATA_INICIO,$A183)</f>
        <v>50153</v>
      </c>
      <c r="C183" s="177" t="n">
        <f aca="false">$A183*30</f>
        <v>3840</v>
      </c>
      <c r="D183" s="179" t="n">
        <f aca="false">(1+$B$29)^$A183</f>
        <v>1.51945888328183</v>
      </c>
      <c r="E183" s="180" t="n">
        <f aca="false">$B$6*(1+$B$21)^$A183</f>
        <v>227918.832492274</v>
      </c>
      <c r="F183" s="180" t="n">
        <f aca="false">IF($A183=0,0,$B$13*(1+$B$16)^($A183-1))</f>
        <v>1363.05072158125</v>
      </c>
      <c r="G183" s="180" t="n">
        <f aca="false">F183*$B$14</f>
        <v>109.0440577265</v>
      </c>
      <c r="H183" s="180" t="n">
        <f aca="false">F183-G183</f>
        <v>1254.00666385475</v>
      </c>
      <c r="I183" s="180" t="n">
        <f aca="false">IF($A183=0,0,E183*$B$17/12)</f>
        <v>113.959416246137</v>
      </c>
      <c r="J183" s="180" t="n">
        <f aca="false">H183*$B$19</f>
        <v>100.32053310838</v>
      </c>
      <c r="K183" s="180" t="n">
        <f aca="false">IF($A183=0,0,E183*$B$18/12)</f>
        <v>189.932360410228</v>
      </c>
      <c r="L183" s="180" t="n">
        <f aca="false">MAX(0,H183-I183-J183)</f>
        <v>1039.72671450023</v>
      </c>
      <c r="M183" s="180" t="n">
        <f aca="false">MAX(0,L183*IFERROR(INDEX(TAB_IRPF_ALIQ,MATCH(L183,TAB_IRPF_BASE,1)),0)-IFERROR(INDEX(TAB_IRPF_DED,MATCH(L183,TAB_IRPF_BASE,1)),0))</f>
        <v>0</v>
      </c>
      <c r="N183" s="180" t="n">
        <f aca="false">H183-I183-J183-K183-M183</f>
        <v>849.794354090004</v>
      </c>
      <c r="O183" s="180" t="n">
        <f aca="false">IF(OR($A183=0,$A183&gt;IN_PRAZO,$B$5=0),0,IF(APORTE_CORRIGIDO="Sim",IN_APORTE*$D183,IN_APORTE))</f>
        <v>0</v>
      </c>
      <c r="P183" s="180" t="n">
        <f aca="false">IF($B$25=1,MAX(0,N183),0)</f>
        <v>849.794354090004</v>
      </c>
      <c r="Q183" s="180" t="n">
        <f aca="false">R182*$B$27</f>
        <v>1290.00713355806</v>
      </c>
      <c r="R183" s="180" t="n">
        <f aca="false">R182+Q183+O183+P183</f>
        <v>154022.331865861</v>
      </c>
      <c r="S183" s="180" t="n">
        <f aca="false">S182+O183+P183</f>
        <v>89033.0713561905</v>
      </c>
      <c r="T183" s="180" t="n">
        <f aca="false">MAX(0,IFERROR(INDEX(TAB_IR,MATCH($C183,TAB_IR_DIAS,1),MATCH("RF_REGR",TAB_IR_REGIMES,0)),0)*MAX(0,R183-S183))</f>
        <v>9748.3890764506</v>
      </c>
      <c r="U183" s="180" t="n">
        <f aca="false">E183*$B$22</f>
        <v>13675.1299495364</v>
      </c>
      <c r="V183" s="180" t="n">
        <f aca="false">IF($B$23=1,0,MAX(0,ALIQ_GANHO_CAP*MAX(0,E183-U183-$B$30)))</f>
        <v>8849.05538141063</v>
      </c>
      <c r="W183" s="181" t="n">
        <f aca="false">IF($B$5=0,0,E183-U183-V183+R183-T183)</f>
        <v>349668.589950738</v>
      </c>
      <c r="X183" s="180" t="n">
        <f aca="false">W183/$D183</f>
        <v>230127.049700417</v>
      </c>
      <c r="Y183" s="180" t="n">
        <f aca="false">IF($B$25=1,0,MAX(0,N183))</f>
        <v>0</v>
      </c>
      <c r="Z183" s="180" t="n">
        <f aca="false">Z182+O183</f>
        <v>155250</v>
      </c>
    </row>
    <row r="184" customFormat="false" ht="12" hidden="false" customHeight="true" outlineLevel="0" collapsed="false">
      <c r="A184" s="177" t="n">
        <v>129</v>
      </c>
      <c r="B184" s="178" t="n">
        <f aca="false">EDATE(DATA_INICIO,$A184)</f>
        <v>50183</v>
      </c>
      <c r="C184" s="177" t="n">
        <f aca="false">$A184*30</f>
        <v>3870</v>
      </c>
      <c r="D184" s="179" t="n">
        <f aca="false">(1+$B$29)^$A184</f>
        <v>1.52443319627544</v>
      </c>
      <c r="E184" s="180" t="n">
        <f aca="false">$B$6*(1+$B$21)^$A184</f>
        <v>228664.979441316</v>
      </c>
      <c r="F184" s="180" t="n">
        <f aca="false">IF($A184=0,0,$B$13*(1+$B$16)^($A184-1))</f>
        <v>1367.51299495364</v>
      </c>
      <c r="G184" s="180" t="n">
        <f aca="false">F184*$B$14</f>
        <v>109.401039596292</v>
      </c>
      <c r="H184" s="180" t="n">
        <f aca="false">F184-G184</f>
        <v>1258.11195535735</v>
      </c>
      <c r="I184" s="180" t="n">
        <f aca="false">IF($A184=0,0,E184*$B$17/12)</f>
        <v>114.332489720658</v>
      </c>
      <c r="J184" s="180" t="n">
        <f aca="false">H184*$B$19</f>
        <v>100.648956428588</v>
      </c>
      <c r="K184" s="180" t="n">
        <f aca="false">IF($A184=0,0,E184*$B$18/12)</f>
        <v>190.55414953443</v>
      </c>
      <c r="L184" s="180" t="n">
        <f aca="false">MAX(0,H184-I184-J184)</f>
        <v>1043.13050920811</v>
      </c>
      <c r="M184" s="180" t="n">
        <f aca="false">MAX(0,L184*IFERROR(INDEX(TAB_IRPF_ALIQ,MATCH(L184,TAB_IRPF_BASE,1)),0)-IFERROR(INDEX(TAB_IRPF_DED,MATCH(L184,TAB_IRPF_BASE,1)),0))</f>
        <v>0</v>
      </c>
      <c r="N184" s="180" t="n">
        <f aca="false">H184-I184-J184-K184-M184</f>
        <v>852.576359673676</v>
      </c>
      <c r="O184" s="180" t="n">
        <f aca="false">IF(OR($A184=0,$A184&gt;IN_PRAZO,$B$5=0),0,IF(APORTE_CORRIGIDO="Sim",IN_APORTE*$D184,IN_APORTE))</f>
        <v>0</v>
      </c>
      <c r="P184" s="180" t="n">
        <f aca="false">IF($B$25=1,MAX(0,N184),0)</f>
        <v>852.576359673676</v>
      </c>
      <c r="Q184" s="180" t="n">
        <f aca="false">R183*$B$27</f>
        <v>1308.18143692653</v>
      </c>
      <c r="R184" s="180" t="n">
        <f aca="false">R183+Q184+O184+P184</f>
        <v>156183.089662461</v>
      </c>
      <c r="S184" s="180" t="n">
        <f aca="false">S183+O184+P184</f>
        <v>89885.6477158642</v>
      </c>
      <c r="T184" s="180" t="n">
        <f aca="false">MAX(0,IFERROR(INDEX(TAB_IR,MATCH($C184,TAB_IR_DIAS,1),MATCH("RF_REGR",TAB_IR_REGIMES,0)),0)*MAX(0,R184-S184))</f>
        <v>9944.61629198958</v>
      </c>
      <c r="U184" s="180" t="n">
        <f aca="false">E184*$B$22</f>
        <v>13719.898766479</v>
      </c>
      <c r="V184" s="180" t="n">
        <f aca="false">IF($B$23=1,0,MAX(0,ALIQ_GANHO_CAP*MAX(0,E184-U184-$B$30)))</f>
        <v>8954.26210122559</v>
      </c>
      <c r="W184" s="181" t="n">
        <f aca="false">IF($B$5=0,0,E184-U184-V184+R184-T184)</f>
        <v>352229.291944084</v>
      </c>
      <c r="X184" s="180" t="n">
        <f aca="false">W184/$D184</f>
        <v>231055.905109299</v>
      </c>
      <c r="Y184" s="180" t="n">
        <f aca="false">IF($B$25=1,0,MAX(0,N184))</f>
        <v>0</v>
      </c>
      <c r="Z184" s="180" t="n">
        <f aca="false">Z183+O184</f>
        <v>155250</v>
      </c>
    </row>
    <row r="185" customFormat="false" ht="12" hidden="false" customHeight="true" outlineLevel="0" collapsed="false">
      <c r="A185" s="177" t="n">
        <v>130</v>
      </c>
      <c r="B185" s="178" t="n">
        <f aca="false">EDATE(DATA_INICIO,$A185)</f>
        <v>50214</v>
      </c>
      <c r="C185" s="177" t="n">
        <f aca="false">$A185*30</f>
        <v>3900</v>
      </c>
      <c r="D185" s="179" t="n">
        <f aca="false">(1+$B$29)^$A185</f>
        <v>1.52942379387539</v>
      </c>
      <c r="E185" s="180" t="n">
        <f aca="false">$B$6*(1+$B$21)^$A185</f>
        <v>229413.569081309</v>
      </c>
      <c r="F185" s="180" t="n">
        <f aca="false">IF($A185=0,0,$B$13*(1+$B$16)^($A185-1))</f>
        <v>1371.9898766479</v>
      </c>
      <c r="G185" s="180" t="n">
        <f aca="false">F185*$B$14</f>
        <v>109.759190131832</v>
      </c>
      <c r="H185" s="180" t="n">
        <f aca="false">F185-G185</f>
        <v>1262.23068651607</v>
      </c>
      <c r="I185" s="180" t="n">
        <f aca="false">IF($A185=0,0,E185*$B$17/12)</f>
        <v>114.706784540655</v>
      </c>
      <c r="J185" s="180" t="n">
        <f aca="false">H185*$B$19</f>
        <v>100.978454921285</v>
      </c>
      <c r="K185" s="180" t="n">
        <f aca="false">IF($A185=0,0,E185*$B$18/12)</f>
        <v>191.177974234424</v>
      </c>
      <c r="L185" s="180" t="n">
        <f aca="false">MAX(0,H185-I185-J185)</f>
        <v>1046.54544705413</v>
      </c>
      <c r="M185" s="180" t="n">
        <f aca="false">MAX(0,L185*IFERROR(INDEX(TAB_IRPF_ALIQ,MATCH(L185,TAB_IRPF_BASE,1)),0)-IFERROR(INDEX(TAB_IRPF_DED,MATCH(L185,TAB_IRPF_BASE,1)),0))</f>
        <v>0</v>
      </c>
      <c r="N185" s="180" t="n">
        <f aca="false">H185-I185-J185-K185-M185</f>
        <v>855.367472819702</v>
      </c>
      <c r="O185" s="180" t="n">
        <f aca="false">IF(OR($A185=0,$A185&gt;IN_PRAZO,$B$5=0),0,IF(APORTE_CORRIGIDO="Sim",IN_APORTE*$D185,IN_APORTE))</f>
        <v>0</v>
      </c>
      <c r="P185" s="180" t="n">
        <f aca="false">IF($B$25=1,MAX(0,N185),0)</f>
        <v>855.367472819702</v>
      </c>
      <c r="Q185" s="180" t="n">
        <f aca="false">R184*$B$27</f>
        <v>1326.53373172017</v>
      </c>
      <c r="R185" s="180" t="n">
        <f aca="false">R184+Q185+O185+P185</f>
        <v>158364.990867001</v>
      </c>
      <c r="S185" s="180" t="n">
        <f aca="false">S184+O185+P185</f>
        <v>90741.0151886839</v>
      </c>
      <c r="T185" s="180" t="n">
        <f aca="false">MAX(0,IFERROR(INDEX(TAB_IR,MATCH($C185,TAB_IR_DIAS,1),MATCH("RF_REGR",TAB_IR_REGIMES,0)),0)*MAX(0,R185-S185))</f>
        <v>10143.5963517476</v>
      </c>
      <c r="U185" s="180" t="n">
        <f aca="false">E185*$B$22</f>
        <v>13764.8141448785</v>
      </c>
      <c r="V185" s="180" t="n">
        <f aca="false">IF($B$23=1,0,MAX(0,ALIQ_GANHO_CAP*MAX(0,E185-U185-$B$30)))</f>
        <v>9059.81324046457</v>
      </c>
      <c r="W185" s="181" t="n">
        <f aca="false">IF($B$5=0,0,E185-U185-V185+R185-T185)</f>
        <v>354810.33621122</v>
      </c>
      <c r="X185" s="180" t="n">
        <f aca="false">W185/$D185</f>
        <v>231989.549026283</v>
      </c>
      <c r="Y185" s="180" t="n">
        <f aca="false">IF($B$25=1,0,MAX(0,N185))</f>
        <v>0</v>
      </c>
      <c r="Z185" s="180" t="n">
        <f aca="false">Z184+O185</f>
        <v>155250</v>
      </c>
    </row>
    <row r="186" customFormat="false" ht="12" hidden="false" customHeight="true" outlineLevel="0" collapsed="false">
      <c r="A186" s="177" t="n">
        <v>131</v>
      </c>
      <c r="B186" s="178" t="n">
        <f aca="false">EDATE(DATA_INICIO,$A186)</f>
        <v>50244</v>
      </c>
      <c r="C186" s="177" t="n">
        <f aca="false">$A186*30</f>
        <v>3930</v>
      </c>
      <c r="D186" s="179" t="n">
        <f aca="false">(1+$B$29)^$A186</f>
        <v>1.53443072939324</v>
      </c>
      <c r="E186" s="180" t="n">
        <f aca="false">$B$6*(1+$B$21)^$A186</f>
        <v>230164.609408987</v>
      </c>
      <c r="F186" s="180" t="n">
        <f aca="false">IF($A186=0,0,$B$13*(1+$B$16)^($A186-1))</f>
        <v>1376.48141448785</v>
      </c>
      <c r="G186" s="180" t="n">
        <f aca="false">F186*$B$14</f>
        <v>110.118513159028</v>
      </c>
      <c r="H186" s="180" t="n">
        <f aca="false">F186-G186</f>
        <v>1266.36290132883</v>
      </c>
      <c r="I186" s="180" t="n">
        <f aca="false">IF($A186=0,0,E186*$B$17/12)</f>
        <v>115.082304704493</v>
      </c>
      <c r="J186" s="180" t="n">
        <f aca="false">H186*$B$19</f>
        <v>101.309032106306</v>
      </c>
      <c r="K186" s="180" t="n">
        <f aca="false">IF($A186=0,0,E186*$B$18/12)</f>
        <v>191.803841174156</v>
      </c>
      <c r="L186" s="180" t="n">
        <f aca="false">MAX(0,H186-I186-J186)</f>
        <v>1049.97156451803</v>
      </c>
      <c r="M186" s="180" t="n">
        <f aca="false">MAX(0,L186*IFERROR(INDEX(TAB_IRPF_ALIQ,MATCH(L186,TAB_IRPF_BASE,1)),0)-IFERROR(INDEX(TAB_IRPF_DED,MATCH(L186,TAB_IRPF_BASE,1)),0))</f>
        <v>0</v>
      </c>
      <c r="N186" s="180" t="n">
        <f aca="false">H186-I186-J186-K186-M186</f>
        <v>858.167723343871</v>
      </c>
      <c r="O186" s="180" t="n">
        <f aca="false">IF(OR($A186=0,$A186&gt;IN_PRAZO,$B$5=0),0,IF(APORTE_CORRIGIDO="Sim",IN_APORTE*$D186,IN_APORTE))</f>
        <v>0</v>
      </c>
      <c r="P186" s="180" t="n">
        <f aca="false">IF($B$25=1,MAX(0,N186),0)</f>
        <v>858.167723343871</v>
      </c>
      <c r="Q186" s="180" t="n">
        <f aca="false">R185*$B$27</f>
        <v>1345.06560705545</v>
      </c>
      <c r="R186" s="180" t="n">
        <f aca="false">R185+Q186+O186+P186</f>
        <v>160568.224197401</v>
      </c>
      <c r="S186" s="180" t="n">
        <f aca="false">S185+O186+P186</f>
        <v>91599.1829120278</v>
      </c>
      <c r="T186" s="180" t="n">
        <f aca="false">MAX(0,IFERROR(INDEX(TAB_IR,MATCH($C186,TAB_IR_DIAS,1),MATCH("RF_REGR",TAB_IR_REGIMES,0)),0)*MAX(0,R186-S186))</f>
        <v>10345.3561928059</v>
      </c>
      <c r="U186" s="180" t="n">
        <f aca="false">E186*$B$22</f>
        <v>13809.8765645392</v>
      </c>
      <c r="V186" s="180" t="n">
        <f aca="false">IF($B$23=1,0,MAX(0,ALIQ_GANHO_CAP*MAX(0,E186-U186-$B$30)))</f>
        <v>9165.70992666713</v>
      </c>
      <c r="W186" s="181" t="n">
        <f aca="false">IF($B$5=0,0,E186-U186-V186+R186-T186)</f>
        <v>357411.890922375</v>
      </c>
      <c r="X186" s="180" t="n">
        <f aca="false">W186/$D186</f>
        <v>232928.006508124</v>
      </c>
      <c r="Y186" s="180" t="n">
        <f aca="false">IF($B$25=1,0,MAX(0,N186))</f>
        <v>0</v>
      </c>
      <c r="Z186" s="180" t="n">
        <f aca="false">Z185+O186</f>
        <v>155250</v>
      </c>
    </row>
    <row r="187" customFormat="false" ht="12" hidden="false" customHeight="true" outlineLevel="0" collapsed="false">
      <c r="A187" s="177" t="n">
        <v>132</v>
      </c>
      <c r="B187" s="178" t="n">
        <f aca="false">EDATE(DATA_INICIO,$A187)</f>
        <v>50275</v>
      </c>
      <c r="C187" s="177" t="n">
        <f aca="false">$A187*30</f>
        <v>3960</v>
      </c>
      <c r="D187" s="179" t="n">
        <f aca="false">(1+$B$29)^$A187</f>
        <v>1.53945405631509</v>
      </c>
      <c r="E187" s="180" t="n">
        <f aca="false">$B$6*(1+$B$21)^$A187</f>
        <v>230918.108447263</v>
      </c>
      <c r="F187" s="180" t="n">
        <f aca="false">IF($A187=0,0,$B$13*(1+$B$16)^($A187-1))</f>
        <v>1380.98765645392</v>
      </c>
      <c r="G187" s="180" t="n">
        <f aca="false">F187*$B$14</f>
        <v>110.479012516314</v>
      </c>
      <c r="H187" s="180" t="n">
        <f aca="false">F187-G187</f>
        <v>1270.50864393761</v>
      </c>
      <c r="I187" s="180" t="n">
        <f aca="false">IF($A187=0,0,E187*$B$17/12)</f>
        <v>115.459054223632</v>
      </c>
      <c r="J187" s="180" t="n">
        <f aca="false">H187*$B$19</f>
        <v>101.640691515009</v>
      </c>
      <c r="K187" s="180" t="n">
        <f aca="false">IF($A187=0,0,E187*$B$18/12)</f>
        <v>192.431757039386</v>
      </c>
      <c r="L187" s="180" t="n">
        <f aca="false">MAX(0,H187-I187-J187)</f>
        <v>1053.40889819897</v>
      </c>
      <c r="M187" s="180" t="n">
        <f aca="false">MAX(0,L187*IFERROR(INDEX(TAB_IRPF_ALIQ,MATCH(L187,TAB_IRPF_BASE,1)),0)-IFERROR(INDEX(TAB_IRPF_DED,MATCH(L187,TAB_IRPF_BASE,1)),0))</f>
        <v>0</v>
      </c>
      <c r="N187" s="180" t="n">
        <f aca="false">H187-I187-J187-K187-M187</f>
        <v>860.977141159581</v>
      </c>
      <c r="O187" s="180" t="n">
        <f aca="false">IF(OR($A187=0,$A187&gt;IN_PRAZO,$B$5=0),0,IF(APORTE_CORRIGIDO="Sim",IN_APORTE*$D187,IN_APORTE))</f>
        <v>0</v>
      </c>
      <c r="P187" s="180" t="n">
        <f aca="false">IF($B$25=1,MAX(0,N187),0)</f>
        <v>860.977141159581</v>
      </c>
      <c r="Q187" s="180" t="n">
        <f aca="false">R186*$B$27</f>
        <v>1363.77866579914</v>
      </c>
      <c r="R187" s="180" t="n">
        <f aca="false">R186+Q187+O187+P187</f>
        <v>162792.980004359</v>
      </c>
      <c r="S187" s="180" t="n">
        <f aca="false">S186+O187+P187</f>
        <v>92460.1600531874</v>
      </c>
      <c r="T187" s="180" t="n">
        <f aca="false">MAX(0,IFERROR(INDEX(TAB_IR,MATCH($C187,TAB_IR_DIAS,1),MATCH("RF_REGR",TAB_IR_REGIMES,0)),0)*MAX(0,R187-S187))</f>
        <v>10549.9229926758</v>
      </c>
      <c r="U187" s="180" t="n">
        <f aca="false">E187*$B$22</f>
        <v>13855.0865068358</v>
      </c>
      <c r="V187" s="180" t="n">
        <f aca="false">IF($B$23=1,0,MAX(0,ALIQ_GANHO_CAP*MAX(0,E187-U187-$B$30)))</f>
        <v>9271.95329106411</v>
      </c>
      <c r="W187" s="181" t="n">
        <f aca="false">IF($B$5=0,0,E187-U187-V187+R187-T187)</f>
        <v>360034.125661047</v>
      </c>
      <c r="X187" s="180" t="n">
        <f aca="false">W187/$D187</f>
        <v>233871.302741468</v>
      </c>
      <c r="Y187" s="180" t="n">
        <f aca="false">IF($B$25=1,0,MAX(0,N187))</f>
        <v>0</v>
      </c>
      <c r="Z187" s="180" t="n">
        <f aca="false">Z186+O187</f>
        <v>155250</v>
      </c>
    </row>
    <row r="188" customFormat="false" ht="12" hidden="false" customHeight="true" outlineLevel="0" collapsed="false">
      <c r="A188" s="177" t="n">
        <v>133</v>
      </c>
      <c r="B188" s="178" t="n">
        <f aca="false">EDATE(DATA_INICIO,$A188)</f>
        <v>50306</v>
      </c>
      <c r="C188" s="177" t="n">
        <f aca="false">$A188*30</f>
        <v>3990</v>
      </c>
      <c r="D188" s="179" t="n">
        <f aca="false">(1+$B$29)^$A188</f>
        <v>1.54449382830211</v>
      </c>
      <c r="E188" s="180" t="n">
        <f aca="false">$B$6*(1+$B$21)^$A188</f>
        <v>231674.074245317</v>
      </c>
      <c r="F188" s="180" t="n">
        <f aca="false">IF($A188=0,0,$B$13*(1+$B$16)^($A188-1))</f>
        <v>1385.50865068358</v>
      </c>
      <c r="G188" s="180" t="n">
        <f aca="false">F188*$B$14</f>
        <v>110.840692054686</v>
      </c>
      <c r="H188" s="180" t="n">
        <f aca="false">F188-G188</f>
        <v>1274.66795862889</v>
      </c>
      <c r="I188" s="180" t="n">
        <f aca="false">IF($A188=0,0,E188*$B$17/12)</f>
        <v>115.837037122659</v>
      </c>
      <c r="J188" s="180" t="n">
        <f aca="false">H188*$B$19</f>
        <v>101.973436690311</v>
      </c>
      <c r="K188" s="180" t="n">
        <f aca="false">IF($A188=0,0,E188*$B$18/12)</f>
        <v>193.061728537764</v>
      </c>
      <c r="L188" s="180" t="n">
        <f aca="false">MAX(0,H188-I188-J188)</f>
        <v>1056.85748481592</v>
      </c>
      <c r="M188" s="180" t="n">
        <f aca="false">MAX(0,L188*IFERROR(INDEX(TAB_IRPF_ALIQ,MATCH(L188,TAB_IRPF_BASE,1)),0)-IFERROR(INDEX(TAB_IRPF_DED,MATCH(L188,TAB_IRPF_BASE,1)),0))</f>
        <v>0</v>
      </c>
      <c r="N188" s="180" t="n">
        <f aca="false">H188-I188-J188-K188-M188</f>
        <v>863.795756278159</v>
      </c>
      <c r="O188" s="180" t="n">
        <f aca="false">IF(OR($A188=0,$A188&gt;IN_PRAZO,$B$5=0),0,IF(APORTE_CORRIGIDO="Sim",IN_APORTE*$D188,IN_APORTE))</f>
        <v>0</v>
      </c>
      <c r="P188" s="180" t="n">
        <f aca="false">IF($B$25=1,MAX(0,N188),0)</f>
        <v>863.795756278159</v>
      </c>
      <c r="Q188" s="180" t="n">
        <f aca="false">R187*$B$27</f>
        <v>1382.67452468597</v>
      </c>
      <c r="R188" s="180" t="n">
        <f aca="false">R187+Q188+O188+P188</f>
        <v>165039.450285323</v>
      </c>
      <c r="S188" s="180" t="n">
        <f aca="false">S187+O188+P188</f>
        <v>93323.9558094655</v>
      </c>
      <c r="T188" s="180" t="n">
        <f aca="false">MAX(0,IFERROR(INDEX(TAB_IR,MATCH($C188,TAB_IR_DIAS,1),MATCH("RF_REGR",TAB_IR_REGIMES,0)),0)*MAX(0,R188-S188))</f>
        <v>10757.3241713787</v>
      </c>
      <c r="U188" s="180" t="n">
        <f aca="false">E188*$B$22</f>
        <v>13900.444454719</v>
      </c>
      <c r="V188" s="180" t="n">
        <f aca="false">IF($B$23=1,0,MAX(0,ALIQ_GANHO_CAP*MAX(0,E188-U188-$B$30)))</f>
        <v>9378.54446858971</v>
      </c>
      <c r="W188" s="181" t="n">
        <f aca="false">IF($B$5=0,0,E188-U188-V188+R188-T188)</f>
        <v>362677.211435953</v>
      </c>
      <c r="X188" s="180" t="n">
        <f aca="false">W188/$D188</f>
        <v>234819.463043533</v>
      </c>
      <c r="Y188" s="180" t="n">
        <f aca="false">IF($B$25=1,0,MAX(0,N188))</f>
        <v>0</v>
      </c>
      <c r="Z188" s="180" t="n">
        <f aca="false">Z187+O188</f>
        <v>155250</v>
      </c>
    </row>
    <row r="189" customFormat="false" ht="12" hidden="false" customHeight="true" outlineLevel="0" collapsed="false">
      <c r="A189" s="177" t="n">
        <v>134</v>
      </c>
      <c r="B189" s="178" t="n">
        <f aca="false">EDATE(DATA_INICIO,$A189)</f>
        <v>50336</v>
      </c>
      <c r="C189" s="177" t="n">
        <f aca="false">$A189*30</f>
        <v>4020</v>
      </c>
      <c r="D189" s="179" t="n">
        <f aca="false">(1+$B$29)^$A189</f>
        <v>1.54955009919119</v>
      </c>
      <c r="E189" s="180" t="n">
        <f aca="false">$B$6*(1+$B$21)^$A189</f>
        <v>232432.514878678</v>
      </c>
      <c r="F189" s="180" t="n">
        <f aca="false">IF($A189=0,0,$B$13*(1+$B$16)^($A189-1))</f>
        <v>1390.0444454719</v>
      </c>
      <c r="G189" s="180" t="n">
        <f aca="false">F189*$B$14</f>
        <v>111.203555637752</v>
      </c>
      <c r="H189" s="180" t="n">
        <f aca="false">F189-G189</f>
        <v>1278.84088983415</v>
      </c>
      <c r="I189" s="180" t="n">
        <f aca="false">IF($A189=0,0,E189*$B$17/12)</f>
        <v>116.216257439339</v>
      </c>
      <c r="J189" s="180" t="n">
        <f aca="false">H189*$B$19</f>
        <v>102.307271186732</v>
      </c>
      <c r="K189" s="180" t="n">
        <f aca="false">IF($A189=0,0,E189*$B$18/12)</f>
        <v>193.693762398898</v>
      </c>
      <c r="L189" s="180" t="n">
        <f aca="false">MAX(0,H189-I189-J189)</f>
        <v>1060.31736120808</v>
      </c>
      <c r="M189" s="180" t="n">
        <f aca="false">MAX(0,L189*IFERROR(INDEX(TAB_IRPF_ALIQ,MATCH(L189,TAB_IRPF_BASE,1)),0)-IFERROR(INDEX(TAB_IRPF_DED,MATCH(L189,TAB_IRPF_BASE,1)),0))</f>
        <v>0</v>
      </c>
      <c r="N189" s="180" t="n">
        <f aca="false">H189-I189-J189-K189-M189</f>
        <v>866.623598809181</v>
      </c>
      <c r="O189" s="180" t="n">
        <f aca="false">IF(OR($A189=0,$A189&gt;IN_PRAZO,$B$5=0),0,IF(APORTE_CORRIGIDO="Sim",IN_APORTE*$D189,IN_APORTE))</f>
        <v>0</v>
      </c>
      <c r="P189" s="180" t="n">
        <f aca="false">IF($B$25=1,MAX(0,N189),0)</f>
        <v>866.623598809181</v>
      </c>
      <c r="Q189" s="180" t="n">
        <f aca="false">R188*$B$27</f>
        <v>1401.75481443722</v>
      </c>
      <c r="R189" s="180" t="n">
        <f aca="false">R188+Q189+O189+P189</f>
        <v>167307.82869857</v>
      </c>
      <c r="S189" s="180" t="n">
        <f aca="false">S188+O189+P189</f>
        <v>94190.5794082747</v>
      </c>
      <c r="T189" s="180" t="n">
        <f aca="false">MAX(0,IFERROR(INDEX(TAB_IR,MATCH($C189,TAB_IR_DIAS,1),MATCH("RF_REGR",TAB_IR_REGIMES,0)),0)*MAX(0,R189-S189))</f>
        <v>10967.5873935443</v>
      </c>
      <c r="U189" s="180" t="n">
        <f aca="false">E189*$B$22</f>
        <v>13945.9508927207</v>
      </c>
      <c r="V189" s="180" t="n">
        <f aca="false">IF($B$23=1,0,MAX(0,ALIQ_GANHO_CAP*MAX(0,E189-U189-$B$30)))</f>
        <v>9485.48459789361</v>
      </c>
      <c r="W189" s="181" t="n">
        <f aca="false">IF($B$5=0,0,E189-U189-V189+R189-T189)</f>
        <v>365341.320693089</v>
      </c>
      <c r="X189" s="180" t="n">
        <f aca="false">W189/$D189</f>
        <v>235772.512862788</v>
      </c>
      <c r="Y189" s="180" t="n">
        <f aca="false">IF($B$25=1,0,MAX(0,N189))</f>
        <v>0</v>
      </c>
      <c r="Z189" s="180" t="n">
        <f aca="false">Z188+O189</f>
        <v>155250</v>
      </c>
    </row>
    <row r="190" customFormat="false" ht="12" hidden="false" customHeight="true" outlineLevel="0" collapsed="false">
      <c r="A190" s="177" t="n">
        <v>135</v>
      </c>
      <c r="B190" s="178" t="n">
        <f aca="false">EDATE(DATA_INICIO,$A190)</f>
        <v>50367</v>
      </c>
      <c r="C190" s="177" t="n">
        <f aca="false">$A190*30</f>
        <v>4050</v>
      </c>
      <c r="D190" s="179" t="n">
        <f aca="false">(1+$B$29)^$A190</f>
        <v>1.55462292299542</v>
      </c>
      <c r="E190" s="180" t="n">
        <f aca="false">$B$6*(1+$B$21)^$A190</f>
        <v>233193.438449313</v>
      </c>
      <c r="F190" s="180" t="n">
        <f aca="false">IF($A190=0,0,$B$13*(1+$B$16)^($A190-1))</f>
        <v>1394.59508927207</v>
      </c>
      <c r="G190" s="180" t="n">
        <f aca="false">F190*$B$14</f>
        <v>111.567607141765</v>
      </c>
      <c r="H190" s="180" t="n">
        <f aca="false">F190-G190</f>
        <v>1283.0274821303</v>
      </c>
      <c r="I190" s="180" t="n">
        <f aca="false">IF($A190=0,0,E190*$B$17/12)</f>
        <v>116.596719224657</v>
      </c>
      <c r="J190" s="180" t="n">
        <f aca="false">H190*$B$19</f>
        <v>102.642198570424</v>
      </c>
      <c r="K190" s="180" t="n">
        <f aca="false">IF($A190=0,0,E190*$B$18/12)</f>
        <v>194.327865374427</v>
      </c>
      <c r="L190" s="180" t="n">
        <f aca="false">MAX(0,H190-I190-J190)</f>
        <v>1063.78856433522</v>
      </c>
      <c r="M190" s="180" t="n">
        <f aca="false">MAX(0,L190*IFERROR(INDEX(TAB_IRPF_ALIQ,MATCH(L190,TAB_IRPF_BASE,1)),0)-IFERROR(INDEX(TAB_IRPF_DED,MATCH(L190,TAB_IRPF_BASE,1)),0))</f>
        <v>0</v>
      </c>
      <c r="N190" s="180" t="n">
        <f aca="false">H190-I190-J190-K190-M190</f>
        <v>869.460698960795</v>
      </c>
      <c r="O190" s="180" t="n">
        <f aca="false">IF(OR($A190=0,$A190&gt;IN_PRAZO,$B$5=0),0,IF(APORTE_CORRIGIDO="Sim",IN_APORTE*$D190,IN_APORTE))</f>
        <v>0</v>
      </c>
      <c r="P190" s="180" t="n">
        <f aca="false">IF($B$25=1,MAX(0,N190),0)</f>
        <v>869.460698960795</v>
      </c>
      <c r="Q190" s="180" t="n">
        <f aca="false">R189*$B$27</f>
        <v>1421.02117988037</v>
      </c>
      <c r="R190" s="180" t="n">
        <f aca="false">R189+Q190+O190+P190</f>
        <v>169598.310577411</v>
      </c>
      <c r="S190" s="180" t="n">
        <f aca="false">S189+O190+P190</f>
        <v>95060.0401072355</v>
      </c>
      <c r="T190" s="180" t="n">
        <f aca="false">MAX(0,IFERROR(INDEX(TAB_IR,MATCH($C190,TAB_IR_DIAS,1),MATCH("RF_REGR",TAB_IR_REGIMES,0)),0)*MAX(0,R190-S190))</f>
        <v>11180.7405705263</v>
      </c>
      <c r="U190" s="180" t="n">
        <f aca="false">E190*$B$22</f>
        <v>13991.6063069588</v>
      </c>
      <c r="V190" s="180" t="n">
        <f aca="false">IF($B$23=1,0,MAX(0,ALIQ_GANHO_CAP*MAX(0,E190-U190-$B$30)))</f>
        <v>9592.77482135313</v>
      </c>
      <c r="W190" s="181" t="n">
        <f aca="false">IF($B$5=0,0,E190-U190-V190+R190-T190)</f>
        <v>368026.627327886</v>
      </c>
      <c r="X190" s="180" t="n">
        <f aca="false">W190/$D190</f>
        <v>236730.47777964</v>
      </c>
      <c r="Y190" s="180" t="n">
        <f aca="false">IF($B$25=1,0,MAX(0,N190))</f>
        <v>0</v>
      </c>
      <c r="Z190" s="180" t="n">
        <f aca="false">Z189+O190</f>
        <v>155250</v>
      </c>
    </row>
    <row r="191" customFormat="false" ht="12" hidden="false" customHeight="true" outlineLevel="0" collapsed="false">
      <c r="A191" s="177" t="n">
        <v>136</v>
      </c>
      <c r="B191" s="178" t="n">
        <f aca="false">EDATE(DATA_INICIO,$A191)</f>
        <v>50397</v>
      </c>
      <c r="C191" s="177" t="n">
        <f aca="false">$A191*30</f>
        <v>4080</v>
      </c>
      <c r="D191" s="179" t="n">
        <f aca="false">(1+$B$29)^$A191</f>
        <v>1.55971235390475</v>
      </c>
      <c r="E191" s="180" t="n">
        <f aca="false">$B$6*(1+$B$21)^$A191</f>
        <v>233956.853085712</v>
      </c>
      <c r="F191" s="180" t="n">
        <f aca="false">IF($A191=0,0,$B$13*(1+$B$16)^($A191-1))</f>
        <v>1399.16063069588</v>
      </c>
      <c r="G191" s="180" t="n">
        <f aca="false">F191*$B$14</f>
        <v>111.93285045567</v>
      </c>
      <c r="H191" s="180" t="n">
        <f aca="false">F191-G191</f>
        <v>1287.22778024021</v>
      </c>
      <c r="I191" s="180" t="n">
        <f aca="false">IF($A191=0,0,E191*$B$17/12)</f>
        <v>116.978426542856</v>
      </c>
      <c r="J191" s="180" t="n">
        <f aca="false">H191*$B$19</f>
        <v>102.978222419217</v>
      </c>
      <c r="K191" s="180" t="n">
        <f aca="false">IF($A191=0,0,E191*$B$18/12)</f>
        <v>194.964044238094</v>
      </c>
      <c r="L191" s="180" t="n">
        <f aca="false">MAX(0,H191-I191-J191)</f>
        <v>1067.27113127814</v>
      </c>
      <c r="M191" s="180" t="n">
        <f aca="false">MAX(0,L191*IFERROR(INDEX(TAB_IRPF_ALIQ,MATCH(L191,TAB_IRPF_BASE,1)),0)-IFERROR(INDEX(TAB_IRPF_DED,MATCH(L191,TAB_IRPF_BASE,1)),0))</f>
        <v>0</v>
      </c>
      <c r="N191" s="180" t="n">
        <f aca="false">H191-I191-J191-K191-M191</f>
        <v>872.307087040041</v>
      </c>
      <c r="O191" s="180" t="n">
        <f aca="false">IF(OR($A191=0,$A191&gt;IN_PRAZO,$B$5=0),0,IF(APORTE_CORRIGIDO="Sim",IN_APORTE*$D191,IN_APORTE))</f>
        <v>0</v>
      </c>
      <c r="P191" s="180" t="n">
        <f aca="false">IF($B$25=1,MAX(0,N191),0)</f>
        <v>872.307087040041</v>
      </c>
      <c r="Q191" s="180" t="n">
        <f aca="false">R190*$B$27</f>
        <v>1440.47528006973</v>
      </c>
      <c r="R191" s="180" t="n">
        <f aca="false">R190+Q191+O191+P191</f>
        <v>171911.092944521</v>
      </c>
      <c r="S191" s="180" t="n">
        <f aca="false">S190+O191+P191</f>
        <v>95932.3471942755</v>
      </c>
      <c r="T191" s="180" t="n">
        <f aca="false">MAX(0,IFERROR(INDEX(TAB_IR,MATCH($C191,TAB_IR_DIAS,1),MATCH("RF_REGR",TAB_IR_REGIMES,0)),0)*MAX(0,R191-S191))</f>
        <v>11396.8118625368</v>
      </c>
      <c r="U191" s="180" t="n">
        <f aca="false">E191*$B$22</f>
        <v>14037.4111851427</v>
      </c>
      <c r="V191" s="180" t="n">
        <f aca="false">IF($B$23=1,0,MAX(0,ALIQ_GANHO_CAP*MAX(0,E191-U191-$B$30)))</f>
        <v>9700.41628508543</v>
      </c>
      <c r="W191" s="181" t="n">
        <f aca="false">IF($B$5=0,0,E191-U191-V191+R191-T191)</f>
        <v>370733.306697468</v>
      </c>
      <c r="X191" s="180" t="n">
        <f aca="false">W191/$D191</f>
        <v>237693.383507116</v>
      </c>
      <c r="Y191" s="180" t="n">
        <f aca="false">IF($B$25=1,0,MAX(0,N191))</f>
        <v>0</v>
      </c>
      <c r="Z191" s="180" t="n">
        <f aca="false">Z190+O191</f>
        <v>155250</v>
      </c>
    </row>
    <row r="192" customFormat="false" ht="12" hidden="false" customHeight="true" outlineLevel="0" collapsed="false">
      <c r="A192" s="177" t="n">
        <v>137</v>
      </c>
      <c r="B192" s="178" t="n">
        <f aca="false">EDATE(DATA_INICIO,$A192)</f>
        <v>50428</v>
      </c>
      <c r="C192" s="177" t="n">
        <f aca="false">$A192*30</f>
        <v>4110</v>
      </c>
      <c r="D192" s="179" t="n">
        <f aca="false">(1+$B$29)^$A192</f>
        <v>1.56481844628651</v>
      </c>
      <c r="E192" s="180" t="n">
        <f aca="false">$B$6*(1+$B$21)^$A192</f>
        <v>234722.766942977</v>
      </c>
      <c r="F192" s="180" t="n">
        <f aca="false">IF($A192=0,0,$B$13*(1+$B$16)^($A192-1))</f>
        <v>1403.74111851427</v>
      </c>
      <c r="G192" s="180" t="n">
        <f aca="false">F192*$B$14</f>
        <v>112.299289481142</v>
      </c>
      <c r="H192" s="180" t="n">
        <f aca="false">F192-G192</f>
        <v>1291.44182903313</v>
      </c>
      <c r="I192" s="180" t="n">
        <f aca="false">IF($A192=0,0,E192*$B$17/12)</f>
        <v>117.361383471489</v>
      </c>
      <c r="J192" s="180" t="n">
        <f aca="false">H192*$B$19</f>
        <v>103.315346322651</v>
      </c>
      <c r="K192" s="180" t="n">
        <f aca="false">IF($A192=0,0,E192*$B$18/12)</f>
        <v>195.602305785814</v>
      </c>
      <c r="L192" s="180" t="n">
        <f aca="false">MAX(0,H192-I192-J192)</f>
        <v>1070.76509923899</v>
      </c>
      <c r="M192" s="180" t="n">
        <f aca="false">MAX(0,L192*IFERROR(INDEX(TAB_IRPF_ALIQ,MATCH(L192,TAB_IRPF_BASE,1)),0)-IFERROR(INDEX(TAB_IRPF_DED,MATCH(L192,TAB_IRPF_BASE,1)),0))</f>
        <v>0</v>
      </c>
      <c r="N192" s="180" t="n">
        <f aca="false">H192-I192-J192-K192-M192</f>
        <v>875.162793453178</v>
      </c>
      <c r="O192" s="180" t="n">
        <f aca="false">IF(OR($A192=0,$A192&gt;IN_PRAZO,$B$5=0),0,IF(APORTE_CORRIGIDO="Sim",IN_APORTE*$D192,IN_APORTE))</f>
        <v>0</v>
      </c>
      <c r="P192" s="180" t="n">
        <f aca="false">IF($B$25=1,MAX(0,N192),0)</f>
        <v>875.162793453178</v>
      </c>
      <c r="Q192" s="180" t="n">
        <f aca="false">R191*$B$27</f>
        <v>1460.11878840811</v>
      </c>
      <c r="R192" s="180" t="n">
        <f aca="false">R191+Q192+O192+P192</f>
        <v>174246.374526382</v>
      </c>
      <c r="S192" s="180" t="n">
        <f aca="false">S191+O192+P192</f>
        <v>96807.5099877287</v>
      </c>
      <c r="T192" s="180" t="n">
        <f aca="false">MAX(0,IFERROR(INDEX(TAB_IR,MATCH($C192,TAB_IR_DIAS,1),MATCH("RF_REGR",TAB_IR_REGIMES,0)),0)*MAX(0,R192-S192))</f>
        <v>11615.829680798</v>
      </c>
      <c r="U192" s="180" t="n">
        <f aca="false">E192*$B$22</f>
        <v>14083.3660165786</v>
      </c>
      <c r="V192" s="180" t="n">
        <f aca="false">IF($B$23=1,0,MAX(0,ALIQ_GANHO_CAP*MAX(0,E192-U192-$B$30)))</f>
        <v>9808.41013895976</v>
      </c>
      <c r="W192" s="181" t="n">
        <f aca="false">IF($B$5=0,0,E192-U192-V192+R192-T192)</f>
        <v>373461.535633023</v>
      </c>
      <c r="X192" s="180" t="n">
        <f aca="false">W192/$D192</f>
        <v>238661.255891562</v>
      </c>
      <c r="Y192" s="180" t="n">
        <f aca="false">IF($B$25=1,0,MAX(0,N192))</f>
        <v>0</v>
      </c>
      <c r="Z192" s="180" t="n">
        <f aca="false">Z191+O192</f>
        <v>155250</v>
      </c>
    </row>
    <row r="193" customFormat="false" ht="12" hidden="false" customHeight="true" outlineLevel="0" collapsed="false">
      <c r="A193" s="177" t="n">
        <v>138</v>
      </c>
      <c r="B193" s="178" t="n">
        <f aca="false">EDATE(DATA_INICIO,$A193)</f>
        <v>50459</v>
      </c>
      <c r="C193" s="177" t="n">
        <f aca="false">$A193*30</f>
        <v>4140</v>
      </c>
      <c r="D193" s="179" t="n">
        <f aca="false">(1+$B$29)^$A193</f>
        <v>1.56994125468604</v>
      </c>
      <c r="E193" s="180" t="n">
        <f aca="false">$B$6*(1+$B$21)^$A193</f>
        <v>235491.188202906</v>
      </c>
      <c r="F193" s="180" t="n">
        <f aca="false">IF($A193=0,0,$B$13*(1+$B$16)^($A193-1))</f>
        <v>1408.33660165786</v>
      </c>
      <c r="G193" s="180" t="n">
        <f aca="false">F193*$B$14</f>
        <v>112.666928132629</v>
      </c>
      <c r="H193" s="180" t="n">
        <f aca="false">F193-G193</f>
        <v>1295.66967352523</v>
      </c>
      <c r="I193" s="180" t="n">
        <f aca="false">IF($A193=0,0,E193*$B$17/12)</f>
        <v>117.745594101453</v>
      </c>
      <c r="J193" s="180" t="n">
        <f aca="false">H193*$B$19</f>
        <v>103.653573882019</v>
      </c>
      <c r="K193" s="180" t="n">
        <f aca="false">IF($A193=0,0,E193*$B$18/12)</f>
        <v>196.242656835755</v>
      </c>
      <c r="L193" s="180" t="n">
        <f aca="false">MAX(0,H193-I193-J193)</f>
        <v>1074.27050554176</v>
      </c>
      <c r="M193" s="180" t="n">
        <f aca="false">MAX(0,L193*IFERROR(INDEX(TAB_IRPF_ALIQ,MATCH(L193,TAB_IRPF_BASE,1)),0)-IFERROR(INDEX(TAB_IRPF_DED,MATCH(L193,TAB_IRPF_BASE,1)),0))</f>
        <v>0</v>
      </c>
      <c r="N193" s="180" t="n">
        <f aca="false">H193-I193-J193-K193-M193</f>
        <v>878.027848706007</v>
      </c>
      <c r="O193" s="180" t="n">
        <f aca="false">IF(OR($A193=0,$A193&gt;IN_PRAZO,$B$5=0),0,IF(APORTE_CORRIGIDO="Sim",IN_APORTE*$D193,IN_APORTE))</f>
        <v>0</v>
      </c>
      <c r="P193" s="180" t="n">
        <f aca="false">IF($B$25=1,MAX(0,N193),0)</f>
        <v>878.027848706007</v>
      </c>
      <c r="Q193" s="180" t="n">
        <f aca="false">R192*$B$27</f>
        <v>1479.95339276956</v>
      </c>
      <c r="R193" s="180" t="n">
        <f aca="false">R192+Q193+O193+P193</f>
        <v>176604.355767858</v>
      </c>
      <c r="S193" s="180" t="n">
        <f aca="false">S192+O193+P193</f>
        <v>97685.5378364347</v>
      </c>
      <c r="T193" s="180" t="n">
        <f aca="false">MAX(0,IFERROR(INDEX(TAB_IR,MATCH($C193,TAB_IR_DIAS,1),MATCH("RF_REGR",TAB_IR_REGIMES,0)),0)*MAX(0,R193-S193))</f>
        <v>11837.8226897134</v>
      </c>
      <c r="U193" s="180" t="n">
        <f aca="false">E193*$B$22</f>
        <v>14129.4712921744</v>
      </c>
      <c r="V193" s="180" t="n">
        <f aca="false">IF($B$23=1,0,MAX(0,ALIQ_GANHO_CAP*MAX(0,E193-U193-$B$30)))</f>
        <v>9916.75753660975</v>
      </c>
      <c r="W193" s="181" t="n">
        <f aca="false">IF($B$5=0,0,E193-U193-V193+R193-T193)</f>
        <v>376211.492452266</v>
      </c>
      <c r="X193" s="180" t="n">
        <f aca="false">W193/$D193</f>
        <v>239634.120913334</v>
      </c>
      <c r="Y193" s="180" t="n">
        <f aca="false">IF($B$25=1,0,MAX(0,N193))</f>
        <v>0</v>
      </c>
      <c r="Z193" s="180" t="n">
        <f aca="false">Z192+O193</f>
        <v>155250</v>
      </c>
    </row>
    <row r="194" customFormat="false" ht="12" hidden="false" customHeight="true" outlineLevel="0" collapsed="false">
      <c r="A194" s="177" t="n">
        <v>139</v>
      </c>
      <c r="B194" s="178" t="n">
        <f aca="false">EDATE(DATA_INICIO,$A194)</f>
        <v>50487</v>
      </c>
      <c r="C194" s="177" t="n">
        <f aca="false">$A194*30</f>
        <v>4170</v>
      </c>
      <c r="D194" s="179" t="n">
        <f aca="false">(1+$B$29)^$A194</f>
        <v>1.57508083382722</v>
      </c>
      <c r="E194" s="180" t="n">
        <f aca="false">$B$6*(1+$B$21)^$A194</f>
        <v>236262.125074083</v>
      </c>
      <c r="F194" s="180" t="n">
        <f aca="false">IF($A194=0,0,$B$13*(1+$B$16)^($A194-1))</f>
        <v>1412.94712921744</v>
      </c>
      <c r="G194" s="180" t="n">
        <f aca="false">F194*$B$14</f>
        <v>113.035770337395</v>
      </c>
      <c r="H194" s="180" t="n">
        <f aca="false">F194-G194</f>
        <v>1299.91135888004</v>
      </c>
      <c r="I194" s="180" t="n">
        <f aca="false">IF($A194=0,0,E194*$B$17/12)</f>
        <v>118.131062537042</v>
      </c>
      <c r="J194" s="180" t="n">
        <f aca="false">H194*$B$19</f>
        <v>103.992908710403</v>
      </c>
      <c r="K194" s="180" t="n">
        <f aca="false">IF($A194=0,0,E194*$B$18/12)</f>
        <v>196.885104228403</v>
      </c>
      <c r="L194" s="180" t="n">
        <f aca="false">MAX(0,H194-I194-J194)</f>
        <v>1077.7873876326</v>
      </c>
      <c r="M194" s="180" t="n">
        <f aca="false">MAX(0,L194*IFERROR(INDEX(TAB_IRPF_ALIQ,MATCH(L194,TAB_IRPF_BASE,1)),0)-IFERROR(INDEX(TAB_IRPF_DED,MATCH(L194,TAB_IRPF_BASE,1)),0))</f>
        <v>0</v>
      </c>
      <c r="N194" s="180" t="n">
        <f aca="false">H194-I194-J194-K194-M194</f>
        <v>880.902283404194</v>
      </c>
      <c r="O194" s="180" t="n">
        <f aca="false">IF(OR($A194=0,$A194&gt;IN_PRAZO,$B$5=0),0,IF(APORTE_CORRIGIDO="Sim",IN_APORTE*$D194,IN_APORTE))</f>
        <v>0</v>
      </c>
      <c r="P194" s="180" t="n">
        <f aca="false">IF($B$25=1,MAX(0,N194),0)</f>
        <v>880.902283404194</v>
      </c>
      <c r="Q194" s="180" t="n">
        <f aca="false">R193*$B$27</f>
        <v>1499.9807956231</v>
      </c>
      <c r="R194" s="180" t="n">
        <f aca="false">R193+Q194+O194+P194</f>
        <v>178985.238846885</v>
      </c>
      <c r="S194" s="180" t="n">
        <f aca="false">S193+O194+P194</f>
        <v>98566.4401198389</v>
      </c>
      <c r="T194" s="180" t="n">
        <f aca="false">MAX(0,IFERROR(INDEX(TAB_IR,MATCH($C194,TAB_IR_DIAS,1),MATCH("RF_REGR",TAB_IR_REGIMES,0)),0)*MAX(0,R194-S194))</f>
        <v>12062.8198090569</v>
      </c>
      <c r="U194" s="180" t="n">
        <f aca="false">E194*$B$22</f>
        <v>14175.727504445</v>
      </c>
      <c r="V194" s="180" t="n">
        <f aca="false">IF($B$23=1,0,MAX(0,ALIQ_GANHO_CAP*MAX(0,E194-U194-$B$30)))</f>
        <v>10025.4596354457</v>
      </c>
      <c r="W194" s="181" t="n">
        <f aca="false">IF($B$5=0,0,E194-U194-V194+R194-T194)</f>
        <v>378983.356972021</v>
      </c>
      <c r="X194" s="180" t="n">
        <f aca="false">W194/$D194</f>
        <v>240612.004687496</v>
      </c>
      <c r="Y194" s="180" t="n">
        <f aca="false">IF($B$25=1,0,MAX(0,N194))</f>
        <v>0</v>
      </c>
      <c r="Z194" s="180" t="n">
        <f aca="false">Z193+O194</f>
        <v>155250</v>
      </c>
    </row>
    <row r="195" customFormat="false" ht="12" hidden="false" customHeight="true" outlineLevel="0" collapsed="false">
      <c r="A195" s="177" t="n">
        <v>140</v>
      </c>
      <c r="B195" s="178" t="n">
        <f aca="false">EDATE(DATA_INICIO,$A195)</f>
        <v>50518</v>
      </c>
      <c r="C195" s="177" t="n">
        <f aca="false">$A195*30</f>
        <v>4200</v>
      </c>
      <c r="D195" s="179" t="n">
        <f aca="false">(1+$B$29)^$A195</f>
        <v>1.5802372386131</v>
      </c>
      <c r="E195" s="180" t="n">
        <f aca="false">$B$6*(1+$B$21)^$A195</f>
        <v>237035.585791965</v>
      </c>
      <c r="F195" s="180" t="n">
        <f aca="false">IF($A195=0,0,$B$13*(1+$B$16)^($A195-1))</f>
        <v>1417.5727504445</v>
      </c>
      <c r="G195" s="180" t="n">
        <f aca="false">F195*$B$14</f>
        <v>113.40582003556</v>
      </c>
      <c r="H195" s="180" t="n">
        <f aca="false">F195-G195</f>
        <v>1304.16693040894</v>
      </c>
      <c r="I195" s="180" t="n">
        <f aca="false">IF($A195=0,0,E195*$B$17/12)</f>
        <v>118.517792895983</v>
      </c>
      <c r="J195" s="180" t="n">
        <f aca="false">H195*$B$19</f>
        <v>104.333354432715</v>
      </c>
      <c r="K195" s="180" t="n">
        <f aca="false">IF($A195=0,0,E195*$B$18/12)</f>
        <v>197.529654826638</v>
      </c>
      <c r="L195" s="180" t="n">
        <f aca="false">MAX(0,H195-I195-J195)</f>
        <v>1081.31578308024</v>
      </c>
      <c r="M195" s="180" t="n">
        <f aca="false">MAX(0,L195*IFERROR(INDEX(TAB_IRPF_ALIQ,MATCH(L195,TAB_IRPF_BASE,1)),0)-IFERROR(INDEX(TAB_IRPF_DED,MATCH(L195,TAB_IRPF_BASE,1)),0))</f>
        <v>0</v>
      </c>
      <c r="N195" s="180" t="n">
        <f aca="false">H195-I195-J195-K195-M195</f>
        <v>883.786128253604</v>
      </c>
      <c r="O195" s="180" t="n">
        <f aca="false">IF(OR($A195=0,$A195&gt;IN_PRAZO,$B$5=0),0,IF(APORTE_CORRIGIDO="Sim",IN_APORTE*$D195,IN_APORTE))</f>
        <v>0</v>
      </c>
      <c r="P195" s="180" t="n">
        <f aca="false">IF($B$25=1,MAX(0,N195),0)</f>
        <v>883.786128253604</v>
      </c>
      <c r="Q195" s="180" t="n">
        <f aca="false">R194*$B$27</f>
        <v>1520.20271415754</v>
      </c>
      <c r="R195" s="180" t="n">
        <f aca="false">R194+Q195+O195+P195</f>
        <v>181389.227689296</v>
      </c>
      <c r="S195" s="180" t="n">
        <f aca="false">S194+O195+P195</f>
        <v>99450.2262480925</v>
      </c>
      <c r="T195" s="180" t="n">
        <f aca="false">MAX(0,IFERROR(INDEX(TAB_IR,MATCH($C195,TAB_IR_DIAS,1),MATCH("RF_REGR",TAB_IR_REGIMES,0)),0)*MAX(0,R195-S195))</f>
        <v>12290.8502161805</v>
      </c>
      <c r="U195" s="180" t="n">
        <f aca="false">E195*$B$22</f>
        <v>14222.1351475179</v>
      </c>
      <c r="V195" s="180" t="n">
        <f aca="false">IF($B$23=1,0,MAX(0,ALIQ_GANHO_CAP*MAX(0,E195-U195-$B$30)))</f>
        <v>10134.5175966671</v>
      </c>
      <c r="W195" s="181" t="n">
        <f aca="false">IF($B$5=0,0,E195-U195-V195+R195-T195)</f>
        <v>381777.310520896</v>
      </c>
      <c r="X195" s="180" t="n">
        <f aca="false">W195/$D195</f>
        <v>241594.933464524</v>
      </c>
      <c r="Y195" s="180" t="n">
        <f aca="false">IF($B$25=1,0,MAX(0,N195))</f>
        <v>0</v>
      </c>
      <c r="Z195" s="180" t="n">
        <f aca="false">Z194+O195</f>
        <v>155250</v>
      </c>
    </row>
    <row r="196" customFormat="false" ht="12" hidden="false" customHeight="true" outlineLevel="0" collapsed="false">
      <c r="A196" s="177" t="n">
        <v>141</v>
      </c>
      <c r="B196" s="178" t="n">
        <f aca="false">EDATE(DATA_INICIO,$A196)</f>
        <v>50548</v>
      </c>
      <c r="C196" s="177" t="n">
        <f aca="false">$A196*30</f>
        <v>4230</v>
      </c>
      <c r="D196" s="179" t="n">
        <f aca="false">(1+$B$29)^$A196</f>
        <v>1.58541052412646</v>
      </c>
      <c r="E196" s="180" t="n">
        <f aca="false">$B$6*(1+$B$21)^$A196</f>
        <v>237811.578618969</v>
      </c>
      <c r="F196" s="180" t="n">
        <f aca="false">IF($A196=0,0,$B$13*(1+$B$16)^($A196-1))</f>
        <v>1422.21351475179</v>
      </c>
      <c r="G196" s="180" t="n">
        <f aca="false">F196*$B$14</f>
        <v>113.777081180143</v>
      </c>
      <c r="H196" s="180" t="n">
        <f aca="false">F196-G196</f>
        <v>1308.43643357165</v>
      </c>
      <c r="I196" s="180" t="n">
        <f aca="false">IF($A196=0,0,E196*$B$17/12)</f>
        <v>118.905789309485</v>
      </c>
      <c r="J196" s="180" t="n">
        <f aca="false">H196*$B$19</f>
        <v>104.674914685732</v>
      </c>
      <c r="K196" s="180" t="n">
        <f aca="false">IF($A196=0,0,E196*$B$18/12)</f>
        <v>198.176315515808</v>
      </c>
      <c r="L196" s="180" t="n">
        <f aca="false">MAX(0,H196-I196-J196)</f>
        <v>1084.85572957643</v>
      </c>
      <c r="M196" s="180" t="n">
        <f aca="false">MAX(0,L196*IFERROR(INDEX(TAB_IRPF_ALIQ,MATCH(L196,TAB_IRPF_BASE,1)),0)-IFERROR(INDEX(TAB_IRPF_DED,MATCH(L196,TAB_IRPF_BASE,1)),0))</f>
        <v>0</v>
      </c>
      <c r="N196" s="180" t="n">
        <f aca="false">H196-I196-J196-K196-M196</f>
        <v>886.679414060623</v>
      </c>
      <c r="O196" s="180" t="n">
        <f aca="false">IF(OR($A196=0,$A196&gt;IN_PRAZO,$B$5=0),0,IF(APORTE_CORRIGIDO="Sim",IN_APORTE*$D196,IN_APORTE))</f>
        <v>0</v>
      </c>
      <c r="P196" s="180" t="n">
        <f aca="false">IF($B$25=1,MAX(0,N196),0)</f>
        <v>886.679414060623</v>
      </c>
      <c r="Q196" s="180" t="n">
        <f aca="false">R195*$B$27</f>
        <v>1540.62088040735</v>
      </c>
      <c r="R196" s="180" t="n">
        <f aca="false">R195+Q196+O196+P196</f>
        <v>183816.527983764</v>
      </c>
      <c r="S196" s="180" t="n">
        <f aca="false">S195+O196+P196</f>
        <v>100336.905662153</v>
      </c>
      <c r="T196" s="180" t="n">
        <f aca="false">MAX(0,IFERROR(INDEX(TAB_IR,MATCH($C196,TAB_IR_DIAS,1),MATCH("RF_REGR",TAB_IR_REGIMES,0)),0)*MAX(0,R196-S196))</f>
        <v>12521.9433482416</v>
      </c>
      <c r="U196" s="180" t="n">
        <f aca="false">E196*$B$22</f>
        <v>14268.6947171381</v>
      </c>
      <c r="V196" s="180" t="n">
        <f aca="false">IF($B$23=1,0,MAX(0,ALIQ_GANHO_CAP*MAX(0,E196-U196-$B$30)))</f>
        <v>10243.9325852746</v>
      </c>
      <c r="W196" s="181" t="n">
        <f aca="false">IF($B$5=0,0,E196-U196-V196+R196-T196)</f>
        <v>384593.535952079</v>
      </c>
      <c r="X196" s="180" t="n">
        <f aca="false">W196/$D196</f>
        <v>242582.933631013</v>
      </c>
      <c r="Y196" s="180" t="n">
        <f aca="false">IF($B$25=1,0,MAX(0,N196))</f>
        <v>0</v>
      </c>
      <c r="Z196" s="180" t="n">
        <f aca="false">Z195+O196</f>
        <v>155250</v>
      </c>
    </row>
    <row r="197" customFormat="false" ht="12" hidden="false" customHeight="true" outlineLevel="0" collapsed="false">
      <c r="A197" s="177" t="n">
        <v>142</v>
      </c>
      <c r="B197" s="178" t="n">
        <f aca="false">EDATE(DATA_INICIO,$A197)</f>
        <v>50579</v>
      </c>
      <c r="C197" s="177" t="n">
        <f aca="false">$A197*30</f>
        <v>4260</v>
      </c>
      <c r="D197" s="179" t="n">
        <f aca="false">(1+$B$29)^$A197</f>
        <v>1.59060074563041</v>
      </c>
      <c r="E197" s="180" t="n">
        <f aca="false">$B$6*(1+$B$21)^$A197</f>
        <v>238590.111844562</v>
      </c>
      <c r="F197" s="180" t="n">
        <f aca="false">IF($A197=0,0,$B$13*(1+$B$16)^($A197-1))</f>
        <v>1426.86947171381</v>
      </c>
      <c r="G197" s="180" t="n">
        <f aca="false">F197*$B$14</f>
        <v>114.149557737105</v>
      </c>
      <c r="H197" s="180" t="n">
        <f aca="false">F197-G197</f>
        <v>1312.71991397671</v>
      </c>
      <c r="I197" s="180" t="n">
        <f aca="false">IF($A197=0,0,E197*$B$17/12)</f>
        <v>119.295055922281</v>
      </c>
      <c r="J197" s="180" t="n">
        <f aca="false">H197*$B$19</f>
        <v>105.017593118137</v>
      </c>
      <c r="K197" s="180" t="n">
        <f aca="false">IF($A197=0,0,E197*$B$18/12)</f>
        <v>198.825093203801</v>
      </c>
      <c r="L197" s="180" t="n">
        <f aca="false">MAX(0,H197-I197-J197)</f>
        <v>1088.40726493629</v>
      </c>
      <c r="M197" s="180" t="n">
        <f aca="false">MAX(0,L197*IFERROR(INDEX(TAB_IRPF_ALIQ,MATCH(L197,TAB_IRPF_BASE,1)),0)-IFERROR(INDEX(TAB_IRPF_DED,MATCH(L197,TAB_IRPF_BASE,1)),0))</f>
        <v>0</v>
      </c>
      <c r="N197" s="180" t="n">
        <f aca="false">H197-I197-J197-K197-M197</f>
        <v>889.582171732491</v>
      </c>
      <c r="O197" s="180" t="n">
        <f aca="false">IF(OR($A197=0,$A197&gt;IN_PRAZO,$B$5=0),0,IF(APORTE_CORRIGIDO="Sim",IN_APORTE*$D197,IN_APORTE))</f>
        <v>0</v>
      </c>
      <c r="P197" s="180" t="n">
        <f aca="false">IF($B$25=1,MAX(0,N197),0)</f>
        <v>889.582171732491</v>
      </c>
      <c r="Q197" s="180" t="n">
        <f aca="false">R196*$B$27</f>
        <v>1561.23704137961</v>
      </c>
      <c r="R197" s="180" t="n">
        <f aca="false">R196+Q197+O197+P197</f>
        <v>186267.347196876</v>
      </c>
      <c r="S197" s="180" t="n">
        <f aca="false">S196+O197+P197</f>
        <v>101226.487833886</v>
      </c>
      <c r="T197" s="180" t="n">
        <f aca="false">MAX(0,IFERROR(INDEX(TAB_IR,MATCH($C197,TAB_IR_DIAS,1),MATCH("RF_REGR",TAB_IR_REGIMES,0)),0)*MAX(0,R197-S197))</f>
        <v>12756.1289044486</v>
      </c>
      <c r="U197" s="180" t="n">
        <f aca="false">E197*$B$22</f>
        <v>14315.4067106737</v>
      </c>
      <c r="V197" s="180" t="n">
        <f aca="false">IF($B$23=1,0,MAX(0,ALIQ_GANHO_CAP*MAX(0,E197-U197-$B$30)))</f>
        <v>10353.7057700832</v>
      </c>
      <c r="W197" s="181" t="n">
        <f aca="false">IF($B$5=0,0,E197-U197-V197+R197-T197)</f>
        <v>387432.217656232</v>
      </c>
      <c r="X197" s="180" t="n">
        <f aca="false">W197/$D197</f>
        <v>243576.031710383</v>
      </c>
      <c r="Y197" s="180" t="n">
        <f aca="false">IF($B$25=1,0,MAX(0,N197))</f>
        <v>0</v>
      </c>
      <c r="Z197" s="180" t="n">
        <f aca="false">Z196+O197</f>
        <v>155250</v>
      </c>
    </row>
    <row r="198" customFormat="false" ht="12" hidden="false" customHeight="true" outlineLevel="0" collapsed="false">
      <c r="A198" s="177" t="n">
        <v>143</v>
      </c>
      <c r="B198" s="178" t="n">
        <f aca="false">EDATE(DATA_INICIO,$A198)</f>
        <v>50609</v>
      </c>
      <c r="C198" s="177" t="n">
        <f aca="false">$A198*30</f>
        <v>4290</v>
      </c>
      <c r="D198" s="179" t="n">
        <f aca="false">(1+$B$29)^$A198</f>
        <v>1.59580795856898</v>
      </c>
      <c r="E198" s="180" t="n">
        <f aca="false">$B$6*(1+$B$21)^$A198</f>
        <v>239371.193785346</v>
      </c>
      <c r="F198" s="180" t="n">
        <f aca="false">IF($A198=0,0,$B$13*(1+$B$16)^($A198-1))</f>
        <v>1431.54067106737</v>
      </c>
      <c r="G198" s="180" t="n">
        <f aca="false">F198*$B$14</f>
        <v>114.52325368539</v>
      </c>
      <c r="H198" s="180" t="n">
        <f aca="false">F198-G198</f>
        <v>1317.01741738198</v>
      </c>
      <c r="I198" s="180" t="n">
        <f aca="false">IF($A198=0,0,E198*$B$17/12)</f>
        <v>119.685596892673</v>
      </c>
      <c r="J198" s="180" t="n">
        <f aca="false">H198*$B$19</f>
        <v>105.361393390558</v>
      </c>
      <c r="K198" s="180" t="n">
        <f aca="false">IF($A198=0,0,E198*$B$18/12)</f>
        <v>199.475994821122</v>
      </c>
      <c r="L198" s="180" t="n">
        <f aca="false">MAX(0,H198-I198-J198)</f>
        <v>1091.97042709875</v>
      </c>
      <c r="M198" s="180" t="n">
        <f aca="false">MAX(0,L198*IFERROR(INDEX(TAB_IRPF_ALIQ,MATCH(L198,TAB_IRPF_BASE,1)),0)-IFERROR(INDEX(TAB_IRPF_DED,MATCH(L198,TAB_IRPF_BASE,1)),0))</f>
        <v>0</v>
      </c>
      <c r="N198" s="180" t="n">
        <f aca="false">H198-I198-J198-K198-M198</f>
        <v>892.494432277626</v>
      </c>
      <c r="O198" s="180" t="n">
        <f aca="false">IF(OR($A198=0,$A198&gt;IN_PRAZO,$B$5=0),0,IF(APORTE_CORRIGIDO="Sim",IN_APORTE*$D198,IN_APORTE))</f>
        <v>0</v>
      </c>
      <c r="P198" s="180" t="n">
        <f aca="false">IF($B$25=1,MAX(0,N198),0)</f>
        <v>892.494432277626</v>
      </c>
      <c r="Q198" s="180" t="n">
        <f aca="false">R197*$B$27</f>
        <v>1582.05295918203</v>
      </c>
      <c r="R198" s="180" t="n">
        <f aca="false">R197+Q198+O198+P198</f>
        <v>188741.894588336</v>
      </c>
      <c r="S198" s="180" t="n">
        <f aca="false">S197+O198+P198</f>
        <v>102118.982266163</v>
      </c>
      <c r="T198" s="180" t="n">
        <f aca="false">MAX(0,IFERROR(INDEX(TAB_IR,MATCH($C198,TAB_IR_DIAS,1),MATCH("RF_REGR",TAB_IR_REGIMES,0)),0)*MAX(0,R198-S198))</f>
        <v>12993.4368483259</v>
      </c>
      <c r="U198" s="180" t="n">
        <f aca="false">E198*$B$22</f>
        <v>14362.2716271208</v>
      </c>
      <c r="V198" s="180" t="n">
        <f aca="false">IF($B$23=1,0,MAX(0,ALIQ_GANHO_CAP*MAX(0,E198-U198-$B$30)))</f>
        <v>10463.8383237338</v>
      </c>
      <c r="W198" s="181" t="n">
        <f aca="false">IF($B$5=0,0,E198-U198-V198+R198-T198)</f>
        <v>390293.541574502</v>
      </c>
      <c r="X198" s="180" t="n">
        <f aca="false">W198/$D198</f>
        <v>244574.254363597</v>
      </c>
      <c r="Y198" s="180" t="n">
        <f aca="false">IF($B$25=1,0,MAX(0,N198))</f>
        <v>0</v>
      </c>
      <c r="Z198" s="180" t="n">
        <f aca="false">Z197+O198</f>
        <v>155250</v>
      </c>
    </row>
    <row r="199" customFormat="false" ht="12" hidden="false" customHeight="true" outlineLevel="0" collapsed="false">
      <c r="A199" s="177" t="n">
        <v>144</v>
      </c>
      <c r="B199" s="178" t="n">
        <f aca="false">EDATE(DATA_INICIO,$A199)</f>
        <v>50640</v>
      </c>
      <c r="C199" s="177" t="n">
        <f aca="false">$A199*30</f>
        <v>4320</v>
      </c>
      <c r="D199" s="179" t="n">
        <f aca="false">(1+$B$29)^$A199</f>
        <v>1.60103221856769</v>
      </c>
      <c r="E199" s="180" t="n">
        <f aca="false">$B$6*(1+$B$21)^$A199</f>
        <v>240154.832785154</v>
      </c>
      <c r="F199" s="180" t="n">
        <f aca="false">IF($A199=0,0,$B$13*(1+$B$16)^($A199-1))</f>
        <v>1436.22716271208</v>
      </c>
      <c r="G199" s="180" t="n">
        <f aca="false">F199*$B$14</f>
        <v>114.898173016966</v>
      </c>
      <c r="H199" s="180" t="n">
        <f aca="false">F199-G199</f>
        <v>1321.32898969511</v>
      </c>
      <c r="I199" s="180" t="n">
        <f aca="false">IF($A199=0,0,E199*$B$17/12)</f>
        <v>120.077416392577</v>
      </c>
      <c r="J199" s="180" t="n">
        <f aca="false">H199*$B$19</f>
        <v>105.706319175609</v>
      </c>
      <c r="K199" s="180" t="n">
        <f aca="false">IF($A199=0,0,E199*$B$18/12)</f>
        <v>200.129027320962</v>
      </c>
      <c r="L199" s="180" t="n">
        <f aca="false">MAX(0,H199-I199-J199)</f>
        <v>1095.54525412693</v>
      </c>
      <c r="M199" s="180" t="n">
        <f aca="false">MAX(0,L199*IFERROR(INDEX(TAB_IRPF_ALIQ,MATCH(L199,TAB_IRPF_BASE,1)),0)-IFERROR(INDEX(TAB_IRPF_DED,MATCH(L199,TAB_IRPF_BASE,1)),0))</f>
        <v>0</v>
      </c>
      <c r="N199" s="180" t="n">
        <f aca="false">H199-I199-J199-K199-M199</f>
        <v>895.416226805964</v>
      </c>
      <c r="O199" s="180" t="n">
        <f aca="false">IF(OR($A199=0,$A199&gt;IN_PRAZO,$B$5=0),0,IF(APORTE_CORRIGIDO="Sim",IN_APORTE*$D199,IN_APORTE))</f>
        <v>0</v>
      </c>
      <c r="P199" s="180" t="n">
        <f aca="false">IF($B$25=1,MAX(0,N199),0)</f>
        <v>895.416226805964</v>
      </c>
      <c r="Q199" s="180" t="n">
        <f aca="false">R198*$B$27</f>
        <v>1603.07041115206</v>
      </c>
      <c r="R199" s="180" t="n">
        <f aca="false">R198+Q199+O199+P199</f>
        <v>191240.381226294</v>
      </c>
      <c r="S199" s="180" t="n">
        <f aca="false">S198+O199+P199</f>
        <v>103014.398492969</v>
      </c>
      <c r="T199" s="180" t="n">
        <f aca="false">MAX(0,IFERROR(INDEX(TAB_IR,MATCH($C199,TAB_IR_DIAS,1),MATCH("RF_REGR",TAB_IR_REGIMES,0)),0)*MAX(0,R199-S199))</f>
        <v>13233.8974099987</v>
      </c>
      <c r="U199" s="180" t="n">
        <f aca="false">E199*$B$22</f>
        <v>14409.2899671092</v>
      </c>
      <c r="V199" s="180" t="n">
        <f aca="false">IF($B$23=1,0,MAX(0,ALIQ_GANHO_CAP*MAX(0,E199-U199-$B$30)))</f>
        <v>10574.3314227067</v>
      </c>
      <c r="W199" s="181" t="n">
        <f aca="false">IF($B$5=0,0,E199-U199-V199+R199-T199)</f>
        <v>393177.695211633</v>
      </c>
      <c r="X199" s="180" t="n">
        <f aca="false">W199/$D199</f>
        <v>245577.628389875</v>
      </c>
      <c r="Y199" s="180" t="n">
        <f aca="false">IF($B$25=1,0,MAX(0,N199))</f>
        <v>0</v>
      </c>
      <c r="Z199" s="180" t="n">
        <f aca="false">Z198+O199</f>
        <v>155250</v>
      </c>
    </row>
    <row r="200" customFormat="false" ht="12" hidden="false" customHeight="true" outlineLevel="0" collapsed="false">
      <c r="A200" s="177" t="n">
        <v>145</v>
      </c>
      <c r="B200" s="178" t="n">
        <f aca="false">EDATE(DATA_INICIO,$A200)</f>
        <v>50671</v>
      </c>
      <c r="C200" s="177" t="n">
        <f aca="false">$A200*30</f>
        <v>4350</v>
      </c>
      <c r="D200" s="179" t="n">
        <f aca="false">(1+$B$29)^$A200</f>
        <v>1.6062735814342</v>
      </c>
      <c r="E200" s="180" t="n">
        <f aca="false">$B$6*(1+$B$21)^$A200</f>
        <v>240941.03721513</v>
      </c>
      <c r="F200" s="180" t="n">
        <f aca="false">IF($A200=0,0,$B$13*(1+$B$16)^($A200-1))</f>
        <v>1440.92899671092</v>
      </c>
      <c r="G200" s="180" t="n">
        <f aca="false">F200*$B$14</f>
        <v>115.274319736874</v>
      </c>
      <c r="H200" s="180" t="n">
        <f aca="false">F200-G200</f>
        <v>1325.65467697405</v>
      </c>
      <c r="I200" s="180" t="n">
        <f aca="false">IF($A200=0,0,E200*$B$17/12)</f>
        <v>120.470518607565</v>
      </c>
      <c r="J200" s="180" t="n">
        <f aca="false">H200*$B$19</f>
        <v>106.052374157924</v>
      </c>
      <c r="K200" s="180" t="n">
        <f aca="false">IF($A200=0,0,E200*$B$18/12)</f>
        <v>200.784197679275</v>
      </c>
      <c r="L200" s="180" t="n">
        <f aca="false">MAX(0,H200-I200-J200)</f>
        <v>1099.13178420856</v>
      </c>
      <c r="M200" s="180" t="n">
        <f aca="false">MAX(0,L200*IFERROR(INDEX(TAB_IRPF_ALIQ,MATCH(L200,TAB_IRPF_BASE,1)),0)-IFERROR(INDEX(TAB_IRPF_DED,MATCH(L200,TAB_IRPF_BASE,1)),0))</f>
        <v>0</v>
      </c>
      <c r="N200" s="180" t="n">
        <f aca="false">H200-I200-J200-K200-M200</f>
        <v>898.347586529286</v>
      </c>
      <c r="O200" s="180" t="n">
        <f aca="false">IF(OR($A200=0,$A200&gt;IN_PRAZO,$B$5=0),0,IF(APORTE_CORRIGIDO="Sim",IN_APORTE*$D200,IN_APORTE))</f>
        <v>0</v>
      </c>
      <c r="P200" s="180" t="n">
        <f aca="false">IF($B$25=1,MAX(0,N200),0)</f>
        <v>898.347586529286</v>
      </c>
      <c r="Q200" s="180" t="n">
        <f aca="false">R199*$B$27</f>
        <v>1624.29118998712</v>
      </c>
      <c r="R200" s="180" t="n">
        <f aca="false">R199+Q200+O200+P200</f>
        <v>193763.02000281</v>
      </c>
      <c r="S200" s="180" t="n">
        <f aca="false">S199+O200+P200</f>
        <v>103912.746079499</v>
      </c>
      <c r="T200" s="180" t="n">
        <f aca="false">MAX(0,IFERROR(INDEX(TAB_IR,MATCH($C200,TAB_IR_DIAS,1),MATCH("RF_REGR",TAB_IR_REGIMES,0)),0)*MAX(0,R200-S200))</f>
        <v>13477.5410884968</v>
      </c>
      <c r="U200" s="180" t="n">
        <f aca="false">E200*$B$22</f>
        <v>14456.4622329078</v>
      </c>
      <c r="V200" s="180" t="n">
        <f aca="false">IF($B$23=1,0,MAX(0,ALIQ_GANHO_CAP*MAX(0,E200-U200-$B$30)))</f>
        <v>10685.1862473333</v>
      </c>
      <c r="W200" s="181" t="n">
        <f aca="false">IF($B$5=0,0,E200-U200-V200+R200-T200)</f>
        <v>396084.867649202</v>
      </c>
      <c r="X200" s="180" t="n">
        <f aca="false">W200/$D200</f>
        <v>246586.180727413</v>
      </c>
      <c r="Y200" s="180" t="n">
        <f aca="false">IF($B$25=1,0,MAX(0,N200))</f>
        <v>0</v>
      </c>
      <c r="Z200" s="180" t="n">
        <f aca="false">Z199+O200</f>
        <v>155250</v>
      </c>
    </row>
    <row r="201" customFormat="false" ht="12" hidden="false" customHeight="true" outlineLevel="0" collapsed="false">
      <c r="A201" s="177" t="n">
        <v>146</v>
      </c>
      <c r="B201" s="178" t="n">
        <f aca="false">EDATE(DATA_INICIO,$A201)</f>
        <v>50701</v>
      </c>
      <c r="C201" s="177" t="n">
        <f aca="false">$A201*30</f>
        <v>4380</v>
      </c>
      <c r="D201" s="179" t="n">
        <f aca="false">(1+$B$29)^$A201</f>
        <v>1.61153210315884</v>
      </c>
      <c r="E201" s="180" t="n">
        <f aca="false">$B$6*(1+$B$21)^$A201</f>
        <v>241729.815473825</v>
      </c>
      <c r="F201" s="180" t="n">
        <f aca="false">IF($A201=0,0,$B$13*(1+$B$16)^($A201-1))</f>
        <v>1445.64622329078</v>
      </c>
      <c r="G201" s="180" t="n">
        <f aca="false">F201*$B$14</f>
        <v>115.651697863262</v>
      </c>
      <c r="H201" s="180" t="n">
        <f aca="false">F201-G201</f>
        <v>1329.99452542752</v>
      </c>
      <c r="I201" s="180" t="n">
        <f aca="false">IF($A201=0,0,E201*$B$17/12)</f>
        <v>120.864907736913</v>
      </c>
      <c r="J201" s="180" t="n">
        <f aca="false">H201*$B$19</f>
        <v>106.399562034201</v>
      </c>
      <c r="K201" s="180" t="n">
        <f aca="false">IF($A201=0,0,E201*$B$18/12)</f>
        <v>201.441512894854</v>
      </c>
      <c r="L201" s="180" t="n">
        <f aca="false">MAX(0,H201-I201-J201)</f>
        <v>1102.7300556564</v>
      </c>
      <c r="M201" s="180" t="n">
        <f aca="false">MAX(0,L201*IFERROR(INDEX(TAB_IRPF_ALIQ,MATCH(L201,TAB_IRPF_BASE,1)),0)-IFERROR(INDEX(TAB_IRPF_DED,MATCH(L201,TAB_IRPF_BASE,1)),0))</f>
        <v>0</v>
      </c>
      <c r="N201" s="180" t="n">
        <f aca="false">H201-I201-J201-K201-M201</f>
        <v>901.288542761549</v>
      </c>
      <c r="O201" s="180" t="n">
        <f aca="false">IF(OR($A201=0,$A201&gt;IN_PRAZO,$B$5=0),0,IF(APORTE_CORRIGIDO="Sim",IN_APORTE*$D201,IN_APORTE))</f>
        <v>0</v>
      </c>
      <c r="P201" s="180" t="n">
        <f aca="false">IF($B$25=1,MAX(0,N201),0)</f>
        <v>901.288542761549</v>
      </c>
      <c r="Q201" s="180" t="n">
        <f aca="false">R200*$B$27</f>
        <v>1645.71710387591</v>
      </c>
      <c r="R201" s="180" t="n">
        <f aca="false">R200+Q201+O201+P201</f>
        <v>196310.025649448</v>
      </c>
      <c r="S201" s="180" t="n">
        <f aca="false">S200+O201+P201</f>
        <v>104814.03462226</v>
      </c>
      <c r="T201" s="180" t="n">
        <f aca="false">MAX(0,IFERROR(INDEX(TAB_IR,MATCH($C201,TAB_IR_DIAS,1),MATCH("RF_REGR",TAB_IR_REGIMES,0)),0)*MAX(0,R201-S201))</f>
        <v>13724.3986540781</v>
      </c>
      <c r="U201" s="180" t="n">
        <f aca="false">E201*$B$22</f>
        <v>14503.7889284295</v>
      </c>
      <c r="V201" s="180" t="n">
        <f aca="false">IF($B$23=1,0,MAX(0,ALIQ_GANHO_CAP*MAX(0,E201-U201-$B$30)))</f>
        <v>10796.4039818094</v>
      </c>
      <c r="W201" s="181" t="n">
        <f aca="false">IF($B$5=0,0,E201-U201-V201+R201-T201)</f>
        <v>399015.249558956</v>
      </c>
      <c r="X201" s="180" t="n">
        <f aca="false">W201/$D201</f>
        <v>247599.938454114</v>
      </c>
      <c r="Y201" s="180" t="n">
        <f aca="false">IF($B$25=1,0,MAX(0,N201))</f>
        <v>0</v>
      </c>
      <c r="Z201" s="180" t="n">
        <f aca="false">Z200+O201</f>
        <v>155250</v>
      </c>
    </row>
    <row r="202" customFormat="false" ht="12" hidden="false" customHeight="true" outlineLevel="0" collapsed="false">
      <c r="A202" s="177" t="n">
        <v>147</v>
      </c>
      <c r="B202" s="178" t="n">
        <f aca="false">EDATE(DATA_INICIO,$A202)</f>
        <v>50732</v>
      </c>
      <c r="C202" s="177" t="n">
        <f aca="false">$A202*30</f>
        <v>4410</v>
      </c>
      <c r="D202" s="179" t="n">
        <f aca="false">(1+$B$29)^$A202</f>
        <v>1.61680783991524</v>
      </c>
      <c r="E202" s="180" t="n">
        <f aca="false">$B$6*(1+$B$21)^$A202</f>
        <v>242521.175987286</v>
      </c>
      <c r="F202" s="180" t="n">
        <f aca="false">IF($A202=0,0,$B$13*(1+$B$16)^($A202-1))</f>
        <v>1450.37889284295</v>
      </c>
      <c r="G202" s="180" t="n">
        <f aca="false">F202*$B$14</f>
        <v>116.030311427436</v>
      </c>
      <c r="H202" s="180" t="n">
        <f aca="false">F202-G202</f>
        <v>1334.34858141552</v>
      </c>
      <c r="I202" s="180" t="n">
        <f aca="false">IF($A202=0,0,E202*$B$17/12)</f>
        <v>121.260587993643</v>
      </c>
      <c r="J202" s="180" t="n">
        <f aca="false">H202*$B$19</f>
        <v>106.747886513241</v>
      </c>
      <c r="K202" s="180" t="n">
        <f aca="false">IF($A202=0,0,E202*$B$18/12)</f>
        <v>202.100979989405</v>
      </c>
      <c r="L202" s="180" t="n">
        <f aca="false">MAX(0,H202-I202-J202)</f>
        <v>1106.34010690863</v>
      </c>
      <c r="M202" s="180" t="n">
        <f aca="false">MAX(0,L202*IFERROR(INDEX(TAB_IRPF_ALIQ,MATCH(L202,TAB_IRPF_BASE,1)),0)-IFERROR(INDEX(TAB_IRPF_DED,MATCH(L202,TAB_IRPF_BASE,1)),0))</f>
        <v>0</v>
      </c>
      <c r="N202" s="180" t="n">
        <f aca="false">H202-I202-J202-K202-M202</f>
        <v>904.239126919228</v>
      </c>
      <c r="O202" s="180" t="n">
        <f aca="false">IF(OR($A202=0,$A202&gt;IN_PRAZO,$B$5=0),0,IF(APORTE_CORRIGIDO="Sim",IN_APORTE*$D202,IN_APORTE))</f>
        <v>0</v>
      </c>
      <c r="P202" s="180" t="n">
        <f aca="false">IF($B$25=1,MAX(0,N202),0)</f>
        <v>904.239126919228</v>
      </c>
      <c r="Q202" s="180" t="n">
        <f aca="false">R201*$B$27</f>
        <v>1667.34997663089</v>
      </c>
      <c r="R202" s="180" t="n">
        <f aca="false">R201+Q202+O202+P202</f>
        <v>198881.614752998</v>
      </c>
      <c r="S202" s="180" t="n">
        <f aca="false">S201+O202+P202</f>
        <v>105718.273749179</v>
      </c>
      <c r="T202" s="180" t="n">
        <f aca="false">MAX(0,IFERROR(INDEX(TAB_IR,MATCH($C202,TAB_IR_DIAS,1),MATCH("RF_REGR",TAB_IR_REGIMES,0)),0)*MAX(0,R202-S202))</f>
        <v>13974.5011505728</v>
      </c>
      <c r="U202" s="180" t="n">
        <f aca="false">E202*$B$22</f>
        <v>14551.2705592371</v>
      </c>
      <c r="V202" s="180" t="n">
        <f aca="false">IF($B$23=1,0,MAX(0,ALIQ_GANHO_CAP*MAX(0,E202-U202-$B$30)))</f>
        <v>10907.9858142073</v>
      </c>
      <c r="W202" s="181" t="n">
        <f aca="false">IF($B$5=0,0,E202-U202-V202+R202-T202)</f>
        <v>401969.033216266</v>
      </c>
      <c r="X202" s="180" t="n">
        <f aca="false">W202/$D202</f>
        <v>248618.928788309</v>
      </c>
      <c r="Y202" s="180" t="n">
        <f aca="false">IF($B$25=1,0,MAX(0,N202))</f>
        <v>0</v>
      </c>
      <c r="Z202" s="180" t="n">
        <f aca="false">Z201+O202</f>
        <v>155250</v>
      </c>
    </row>
    <row r="203" customFormat="false" ht="12" hidden="false" customHeight="true" outlineLevel="0" collapsed="false">
      <c r="A203" s="177" t="n">
        <v>148</v>
      </c>
      <c r="B203" s="178" t="n">
        <f aca="false">EDATE(DATA_INICIO,$A203)</f>
        <v>50762</v>
      </c>
      <c r="C203" s="177" t="n">
        <f aca="false">$A203*30</f>
        <v>4440</v>
      </c>
      <c r="D203" s="179" t="n">
        <f aca="false">(1+$B$29)^$A203</f>
        <v>1.62210084806094</v>
      </c>
      <c r="E203" s="180" t="n">
        <f aca="false">$B$6*(1+$B$21)^$A203</f>
        <v>243315.127209141</v>
      </c>
      <c r="F203" s="180" t="n">
        <f aca="false">IF($A203=0,0,$B$13*(1+$B$16)^($A203-1))</f>
        <v>1455.12705592371</v>
      </c>
      <c r="G203" s="180" t="n">
        <f aca="false">F203*$B$14</f>
        <v>116.410164473897</v>
      </c>
      <c r="H203" s="180" t="n">
        <f aca="false">F203-G203</f>
        <v>1338.71689144982</v>
      </c>
      <c r="I203" s="180" t="n">
        <f aca="false">IF($A203=0,0,E203*$B$17/12)</f>
        <v>121.65756360457</v>
      </c>
      <c r="J203" s="180" t="n">
        <f aca="false">H203*$B$19</f>
        <v>107.097351315985</v>
      </c>
      <c r="K203" s="180" t="n">
        <f aca="false">IF($A203=0,0,E203*$B$18/12)</f>
        <v>202.762606007617</v>
      </c>
      <c r="L203" s="180" t="n">
        <f aca="false">MAX(0,H203-I203-J203)</f>
        <v>1109.96197652926</v>
      </c>
      <c r="M203" s="180" t="n">
        <f aca="false">MAX(0,L203*IFERROR(INDEX(TAB_IRPF_ALIQ,MATCH(L203,TAB_IRPF_BASE,1)),0)-IFERROR(INDEX(TAB_IRPF_DED,MATCH(L203,TAB_IRPF_BASE,1)),0))</f>
        <v>0</v>
      </c>
      <c r="N203" s="180" t="n">
        <f aca="false">H203-I203-J203-K203-M203</f>
        <v>907.199370521644</v>
      </c>
      <c r="O203" s="180" t="n">
        <f aca="false">IF(OR($A203=0,$A203&gt;IN_PRAZO,$B$5=0),0,IF(APORTE_CORRIGIDO="Sim",IN_APORTE*$D203,IN_APORTE))</f>
        <v>0</v>
      </c>
      <c r="P203" s="180" t="n">
        <f aca="false">IF($B$25=1,MAX(0,N203),0)</f>
        <v>907.199370521644</v>
      </c>
      <c r="Q203" s="180" t="n">
        <f aca="false">R202*$B$27</f>
        <v>1689.19164782177</v>
      </c>
      <c r="R203" s="180" t="n">
        <f aca="false">R202+Q203+O203+P203</f>
        <v>201478.005771341</v>
      </c>
      <c r="S203" s="180" t="n">
        <f aca="false">S202+O203+P203</f>
        <v>106625.473119701</v>
      </c>
      <c r="T203" s="180" t="n">
        <f aca="false">MAX(0,IFERROR(INDEX(TAB_IR,MATCH($C203,TAB_IR_DIAS,1),MATCH("RF_REGR",TAB_IR_REGIMES,0)),0)*MAX(0,R203-S203))</f>
        <v>14227.879897746</v>
      </c>
      <c r="U203" s="180" t="n">
        <f aca="false">E203*$B$22</f>
        <v>14598.9076325485</v>
      </c>
      <c r="V203" s="180" t="n">
        <f aca="false">IF($B$23=1,0,MAX(0,ALIQ_GANHO_CAP*MAX(0,E203-U203-$B$30)))</f>
        <v>11019.9329364889</v>
      </c>
      <c r="W203" s="181" t="n">
        <f aca="false">IF($B$5=0,0,E203-U203-V203+R203-T203)</f>
        <v>404946.412513699</v>
      </c>
      <c r="X203" s="180" t="n">
        <f aca="false">W203/$D203</f>
        <v>249643.179089495</v>
      </c>
      <c r="Y203" s="180" t="n">
        <f aca="false">IF($B$25=1,0,MAX(0,N203))</f>
        <v>0</v>
      </c>
      <c r="Z203" s="180" t="n">
        <f aca="false">Z202+O203</f>
        <v>155250</v>
      </c>
    </row>
    <row r="204" customFormat="false" ht="12" hidden="false" customHeight="true" outlineLevel="0" collapsed="false">
      <c r="A204" s="177" t="n">
        <v>149</v>
      </c>
      <c r="B204" s="178" t="n">
        <f aca="false">EDATE(DATA_INICIO,$A204)</f>
        <v>50793</v>
      </c>
      <c r="C204" s="177" t="n">
        <f aca="false">$A204*30</f>
        <v>4470</v>
      </c>
      <c r="D204" s="179" t="n">
        <f aca="false">(1+$B$29)^$A204</f>
        <v>1.62741118413798</v>
      </c>
      <c r="E204" s="180" t="n">
        <f aca="false">$B$6*(1+$B$21)^$A204</f>
        <v>244111.677620696</v>
      </c>
      <c r="F204" s="180" t="n">
        <f aca="false">IF($A204=0,0,$B$13*(1+$B$16)^($A204-1))</f>
        <v>1459.89076325485</v>
      </c>
      <c r="G204" s="180" t="n">
        <f aca="false">F204*$B$14</f>
        <v>116.791261060388</v>
      </c>
      <c r="H204" s="180" t="n">
        <f aca="false">F204-G204</f>
        <v>1343.09950219446</v>
      </c>
      <c r="I204" s="180" t="n">
        <f aca="false">IF($A204=0,0,E204*$B$17/12)</f>
        <v>122.055838810348</v>
      </c>
      <c r="J204" s="180" t="n">
        <f aca="false">H204*$B$19</f>
        <v>107.447960175557</v>
      </c>
      <c r="K204" s="180" t="n">
        <f aca="false">IF($A204=0,0,E204*$B$18/12)</f>
        <v>203.426398017247</v>
      </c>
      <c r="L204" s="180" t="n">
        <f aca="false">MAX(0,H204-I204-J204)</f>
        <v>1113.59570320855</v>
      </c>
      <c r="M204" s="180" t="n">
        <f aca="false">MAX(0,L204*IFERROR(INDEX(TAB_IRPF_ALIQ,MATCH(L204,TAB_IRPF_BASE,1)),0)-IFERROR(INDEX(TAB_IRPF_DED,MATCH(L204,TAB_IRPF_BASE,1)),0))</f>
        <v>0</v>
      </c>
      <c r="N204" s="180" t="n">
        <f aca="false">H204-I204-J204-K204-M204</f>
        <v>910.169305191306</v>
      </c>
      <c r="O204" s="180" t="n">
        <f aca="false">IF(OR($A204=0,$A204&gt;IN_PRAZO,$B$5=0),0,IF(APORTE_CORRIGIDO="Sim",IN_APORTE*$D204,IN_APORTE))</f>
        <v>0</v>
      </c>
      <c r="P204" s="180" t="n">
        <f aca="false">IF($B$25=1,MAX(0,N204),0)</f>
        <v>910.169305191306</v>
      </c>
      <c r="Q204" s="180" t="n">
        <f aca="false">R203*$B$27</f>
        <v>1711.2439729103</v>
      </c>
      <c r="R204" s="180" t="n">
        <f aca="false">R203+Q204+O204+P204</f>
        <v>204099.419049443</v>
      </c>
      <c r="S204" s="180" t="n">
        <f aca="false">S203+O204+P204</f>
        <v>107535.642424892</v>
      </c>
      <c r="T204" s="180" t="n">
        <f aca="false">MAX(0,IFERROR(INDEX(TAB_IR,MATCH($C204,TAB_IR_DIAS,1),MATCH("RF_REGR",TAB_IR_REGIMES,0)),0)*MAX(0,R204-S204))</f>
        <v>14484.5664936826</v>
      </c>
      <c r="U204" s="180" t="n">
        <f aca="false">E204*$B$22</f>
        <v>14646.7006572418</v>
      </c>
      <c r="V204" s="180" t="n">
        <f aca="false">IF($B$23=1,0,MAX(0,ALIQ_GANHO_CAP*MAX(0,E204-U204-$B$30)))</f>
        <v>11132.2465445182</v>
      </c>
      <c r="W204" s="181" t="n">
        <f aca="false">IF($B$5=0,0,E204-U204-V204+R204-T204)</f>
        <v>407947.582974697</v>
      </c>
      <c r="X204" s="180" t="n">
        <f aca="false">W204/$D204</f>
        <v>250672.716859066</v>
      </c>
      <c r="Y204" s="180" t="n">
        <f aca="false">IF($B$25=1,0,MAX(0,N204))</f>
        <v>0</v>
      </c>
      <c r="Z204" s="180" t="n">
        <f aca="false">Z203+O204</f>
        <v>155250</v>
      </c>
    </row>
    <row r="205" customFormat="false" ht="12" hidden="false" customHeight="true" outlineLevel="0" collapsed="false">
      <c r="A205" s="177" t="n">
        <v>150</v>
      </c>
      <c r="B205" s="178" t="n">
        <f aca="false">EDATE(DATA_INICIO,$A205)</f>
        <v>50824</v>
      </c>
      <c r="C205" s="177" t="n">
        <f aca="false">$A205*30</f>
        <v>4500</v>
      </c>
      <c r="D205" s="179" t="n">
        <f aca="false">(1+$B$29)^$A205</f>
        <v>1.63273890487348</v>
      </c>
      <c r="E205" s="180" t="n">
        <f aca="false">$B$6*(1+$B$21)^$A205</f>
        <v>244910.835731022</v>
      </c>
      <c r="F205" s="180" t="n">
        <f aca="false">IF($A205=0,0,$B$13*(1+$B$16)^($A205-1))</f>
        <v>1464.67006572418</v>
      </c>
      <c r="G205" s="180" t="n">
        <f aca="false">F205*$B$14</f>
        <v>117.173605257934</v>
      </c>
      <c r="H205" s="180" t="n">
        <f aca="false">F205-G205</f>
        <v>1347.49646046624</v>
      </c>
      <c r="I205" s="180" t="n">
        <f aca="false">IF($A205=0,0,E205*$B$17/12)</f>
        <v>122.455417865511</v>
      </c>
      <c r="J205" s="180" t="n">
        <f aca="false">H205*$B$19</f>
        <v>107.799716837299</v>
      </c>
      <c r="K205" s="180" t="n">
        <f aca="false">IF($A205=0,0,E205*$B$18/12)</f>
        <v>204.092363109185</v>
      </c>
      <c r="L205" s="180" t="n">
        <f aca="false">MAX(0,H205-I205-J205)</f>
        <v>1117.24132576343</v>
      </c>
      <c r="M205" s="180" t="n">
        <f aca="false">MAX(0,L205*IFERROR(INDEX(TAB_IRPF_ALIQ,MATCH(L205,TAB_IRPF_BASE,1)),0)-IFERROR(INDEX(TAB_IRPF_DED,MATCH(L205,TAB_IRPF_BASE,1)),0))</f>
        <v>0</v>
      </c>
      <c r="N205" s="180" t="n">
        <f aca="false">H205-I205-J205-K205-M205</f>
        <v>913.148962654247</v>
      </c>
      <c r="O205" s="180" t="n">
        <f aca="false">IF(OR($A205=0,$A205&gt;IN_PRAZO,$B$5=0),0,IF(APORTE_CORRIGIDO="Sim",IN_APORTE*$D205,IN_APORTE))</f>
        <v>0</v>
      </c>
      <c r="P205" s="180" t="n">
        <f aca="false">IF($B$25=1,MAX(0,N205),0)</f>
        <v>913.148962654247</v>
      </c>
      <c r="Q205" s="180" t="n">
        <f aca="false">R204*$B$27</f>
        <v>1733.50882338608</v>
      </c>
      <c r="R205" s="180" t="n">
        <f aca="false">R204+Q205+O205+P205</f>
        <v>206746.076835483</v>
      </c>
      <c r="S205" s="180" t="n">
        <f aca="false">S204+O205+P205</f>
        <v>108448.791387546</v>
      </c>
      <c r="T205" s="180" t="n">
        <f aca="false">MAX(0,IFERROR(INDEX(TAB_IR,MATCH($C205,TAB_IR_DIAS,1),MATCH("RF_REGR",TAB_IR_REGIMES,0)),0)*MAX(0,R205-S205))</f>
        <v>14744.5928171905</v>
      </c>
      <c r="U205" s="180" t="n">
        <f aca="false">E205*$B$22</f>
        <v>14694.6501438613</v>
      </c>
      <c r="V205" s="180" t="n">
        <f aca="false">IF($B$23=1,0,MAX(0,ALIQ_GANHO_CAP*MAX(0,E205-U205-$B$30)))</f>
        <v>11244.9278380742</v>
      </c>
      <c r="W205" s="181" t="n">
        <f aca="false">IF($B$5=0,0,E205-U205-V205+R205-T205)</f>
        <v>410972.74176738</v>
      </c>
      <c r="X205" s="180" t="n">
        <f aca="false">W205/$D205</f>
        <v>251707.569741057</v>
      </c>
      <c r="Y205" s="180" t="n">
        <f aca="false">IF($B$25=1,0,MAX(0,N205))</f>
        <v>0</v>
      </c>
      <c r="Z205" s="180" t="n">
        <f aca="false">Z204+O205</f>
        <v>155250</v>
      </c>
    </row>
    <row r="206" customFormat="false" ht="12" hidden="false" customHeight="true" outlineLevel="0" collapsed="false">
      <c r="A206" s="177" t="n">
        <v>151</v>
      </c>
      <c r="B206" s="178" t="n">
        <f aca="false">EDATE(DATA_INICIO,$A206)</f>
        <v>50852</v>
      </c>
      <c r="C206" s="177" t="n">
        <f aca="false">$A206*30</f>
        <v>4530</v>
      </c>
      <c r="D206" s="179" t="n">
        <f aca="false">(1+$B$29)^$A206</f>
        <v>1.63808406718031</v>
      </c>
      <c r="E206" s="180" t="n">
        <f aca="false">$B$6*(1+$B$21)^$A206</f>
        <v>245712.610077047</v>
      </c>
      <c r="F206" s="180" t="n">
        <f aca="false">IF($A206=0,0,$B$13*(1+$B$16)^($A206-1))</f>
        <v>1469.46501438613</v>
      </c>
      <c r="G206" s="180" t="n">
        <f aca="false">F206*$B$14</f>
        <v>117.557201150891</v>
      </c>
      <c r="H206" s="180" t="n">
        <f aca="false">F206-G206</f>
        <v>1351.90781323524</v>
      </c>
      <c r="I206" s="180" t="n">
        <f aca="false">IF($A206=0,0,E206*$B$17/12)</f>
        <v>122.856305038523</v>
      </c>
      <c r="J206" s="180" t="n">
        <f aca="false">H206*$B$19</f>
        <v>108.15262505882</v>
      </c>
      <c r="K206" s="180" t="n">
        <f aca="false">IF($A206=0,0,E206*$B$18/12)</f>
        <v>204.760508397539</v>
      </c>
      <c r="L206" s="180" t="n">
        <f aca="false">MAX(0,H206-I206-J206)</f>
        <v>1120.8988831379</v>
      </c>
      <c r="M206" s="180" t="n">
        <f aca="false">MAX(0,L206*IFERROR(INDEX(TAB_IRPF_ALIQ,MATCH(L206,TAB_IRPF_BASE,1)),0)-IFERROR(INDEX(TAB_IRPF_DED,MATCH(L206,TAB_IRPF_BASE,1)),0))</f>
        <v>0</v>
      </c>
      <c r="N206" s="180" t="n">
        <f aca="false">H206-I206-J206-K206-M206</f>
        <v>916.138374740362</v>
      </c>
      <c r="O206" s="180" t="n">
        <f aca="false">IF(OR($A206=0,$A206&gt;IN_PRAZO,$B$5=0),0,IF(APORTE_CORRIGIDO="Sim",IN_APORTE*$D206,IN_APORTE))</f>
        <v>0</v>
      </c>
      <c r="P206" s="180" t="n">
        <f aca="false">IF($B$25=1,MAX(0,N206),0)</f>
        <v>916.138374740362</v>
      </c>
      <c r="Q206" s="180" t="n">
        <f aca="false">R205*$B$27</f>
        <v>1755.9880869036</v>
      </c>
      <c r="R206" s="180" t="n">
        <f aca="false">R205+Q206+O206+P206</f>
        <v>209418.203297127</v>
      </c>
      <c r="S206" s="180" t="n">
        <f aca="false">S205+O206+P206</f>
        <v>109364.929762287</v>
      </c>
      <c r="T206" s="180" t="n">
        <f aca="false">MAX(0,IFERROR(INDEX(TAB_IR,MATCH($C206,TAB_IR_DIAS,1),MATCH("RF_REGR",TAB_IR_REGIMES,0)),0)*MAX(0,R206-S206))</f>
        <v>15007.991030226</v>
      </c>
      <c r="U206" s="180" t="n">
        <f aca="false">E206*$B$22</f>
        <v>14742.7566046228</v>
      </c>
      <c r="V206" s="180" t="n">
        <f aca="false">IF($B$23=1,0,MAX(0,ALIQ_GANHO_CAP*MAX(0,E206-U206-$B$30)))</f>
        <v>11357.9780208636</v>
      </c>
      <c r="W206" s="181" t="n">
        <f aca="false">IF($B$5=0,0,E206-U206-V206+R206-T206)</f>
        <v>414022.087718461</v>
      </c>
      <c r="X206" s="180" t="n">
        <f aca="false">W206/$D206</f>
        <v>252747.765522884</v>
      </c>
      <c r="Y206" s="180" t="n">
        <f aca="false">IF($B$25=1,0,MAX(0,N206))</f>
        <v>0</v>
      </c>
      <c r="Z206" s="180" t="n">
        <f aca="false">Z205+O206</f>
        <v>155250</v>
      </c>
    </row>
    <row r="207" customFormat="false" ht="12" hidden="false" customHeight="true" outlineLevel="0" collapsed="false">
      <c r="A207" s="177" t="n">
        <v>152</v>
      </c>
      <c r="B207" s="178" t="n">
        <f aca="false">EDATE(DATA_INICIO,$A207)</f>
        <v>50883</v>
      </c>
      <c r="C207" s="177" t="n">
        <f aca="false">$A207*30</f>
        <v>4560</v>
      </c>
      <c r="D207" s="179" t="n">
        <f aca="false">(1+$B$29)^$A207</f>
        <v>1.64344672815763</v>
      </c>
      <c r="E207" s="180" t="n">
        <f aca="false">$B$6*(1+$B$21)^$A207</f>
        <v>246517.009223644</v>
      </c>
      <c r="F207" s="180" t="n">
        <f aca="false">IF($A207=0,0,$B$13*(1+$B$16)^($A207-1))</f>
        <v>1474.27566046228</v>
      </c>
      <c r="G207" s="180" t="n">
        <f aca="false">F207*$B$14</f>
        <v>117.942052836982</v>
      </c>
      <c r="H207" s="180" t="n">
        <f aca="false">F207-G207</f>
        <v>1356.3336076253</v>
      </c>
      <c r="I207" s="180" t="n">
        <f aca="false">IF($A207=0,0,E207*$B$17/12)</f>
        <v>123.258504611822</v>
      </c>
      <c r="J207" s="180" t="n">
        <f aca="false">H207*$B$19</f>
        <v>108.506688610024</v>
      </c>
      <c r="K207" s="180" t="n">
        <f aca="false">IF($A207=0,0,E207*$B$18/12)</f>
        <v>205.430841019703</v>
      </c>
      <c r="L207" s="180" t="n">
        <f aca="false">MAX(0,H207-I207-J207)</f>
        <v>1124.56841440345</v>
      </c>
      <c r="M207" s="180" t="n">
        <f aca="false">MAX(0,L207*IFERROR(INDEX(TAB_IRPF_ALIQ,MATCH(L207,TAB_IRPF_BASE,1)),0)-IFERROR(INDEX(TAB_IRPF_DED,MATCH(L207,TAB_IRPF_BASE,1)),0))</f>
        <v>0</v>
      </c>
      <c r="N207" s="180" t="n">
        <f aca="false">H207-I207-J207-K207-M207</f>
        <v>919.137573383749</v>
      </c>
      <c r="O207" s="180" t="n">
        <f aca="false">IF(OR($A207=0,$A207&gt;IN_PRAZO,$B$5=0),0,IF(APORTE_CORRIGIDO="Sim",IN_APORTE*$D207,IN_APORTE))</f>
        <v>0</v>
      </c>
      <c r="P207" s="180" t="n">
        <f aca="false">IF($B$25=1,MAX(0,N207),0)</f>
        <v>919.137573383749</v>
      </c>
      <c r="Q207" s="180" t="n">
        <f aca="false">R206*$B$27</f>
        <v>1778.68366742037</v>
      </c>
      <c r="R207" s="180" t="n">
        <f aca="false">R206+Q207+O207+P207</f>
        <v>212116.024537931</v>
      </c>
      <c r="S207" s="180" t="n">
        <f aca="false">S206+O207+P207</f>
        <v>110284.067335671</v>
      </c>
      <c r="T207" s="180" t="n">
        <f aca="false">MAX(0,IFERROR(INDEX(TAB_IR,MATCH($C207,TAB_IR_DIAS,1),MATCH("RF_REGR",TAB_IR_REGIMES,0)),0)*MAX(0,R207-S207))</f>
        <v>15274.7935803391</v>
      </c>
      <c r="U207" s="180" t="n">
        <f aca="false">E207*$B$22</f>
        <v>14791.0205534186</v>
      </c>
      <c r="V207" s="180" t="n">
        <f aca="false">IF($B$23=1,0,MAX(0,ALIQ_GANHO_CAP*MAX(0,E207-U207-$B$30)))</f>
        <v>11471.3983005338</v>
      </c>
      <c r="W207" s="181" t="n">
        <f aca="false">IF($B$5=0,0,E207-U207-V207+R207-T207)</f>
        <v>417095.821327284</v>
      </c>
      <c r="X207" s="180" t="n">
        <f aca="false">W207/$D207</f>
        <v>253793.332136093</v>
      </c>
      <c r="Y207" s="180" t="n">
        <f aca="false">IF($B$25=1,0,MAX(0,N207))</f>
        <v>0</v>
      </c>
      <c r="Z207" s="180" t="n">
        <f aca="false">Z206+O207</f>
        <v>155250</v>
      </c>
    </row>
    <row r="208" customFormat="false" ht="12" hidden="false" customHeight="true" outlineLevel="0" collapsed="false">
      <c r="A208" s="177" t="n">
        <v>153</v>
      </c>
      <c r="B208" s="178" t="n">
        <f aca="false">EDATE(DATA_INICIO,$A208)</f>
        <v>50913</v>
      </c>
      <c r="C208" s="177" t="n">
        <f aca="false">$A208*30</f>
        <v>4590</v>
      </c>
      <c r="D208" s="179" t="n">
        <f aca="false">(1+$B$29)^$A208</f>
        <v>1.64882694509152</v>
      </c>
      <c r="E208" s="180" t="n">
        <f aca="false">$B$6*(1+$B$21)^$A208</f>
        <v>247324.041763728</v>
      </c>
      <c r="F208" s="180" t="n">
        <f aca="false">IF($A208=0,0,$B$13*(1+$B$16)^($A208-1))</f>
        <v>1479.10205534186</v>
      </c>
      <c r="G208" s="180" t="n">
        <f aca="false">F208*$B$14</f>
        <v>118.328164427349</v>
      </c>
      <c r="H208" s="180" t="n">
        <f aca="false">F208-G208</f>
        <v>1360.77389091451</v>
      </c>
      <c r="I208" s="180" t="n">
        <f aca="false">IF($A208=0,0,E208*$B$17/12)</f>
        <v>123.662020881864</v>
      </c>
      <c r="J208" s="180" t="n">
        <f aca="false">H208*$B$19</f>
        <v>108.861911273161</v>
      </c>
      <c r="K208" s="180" t="n">
        <f aca="false">IF($A208=0,0,E208*$B$18/12)</f>
        <v>206.10336813644</v>
      </c>
      <c r="L208" s="180" t="n">
        <f aca="false">MAX(0,H208-I208-J208)</f>
        <v>1128.24995875949</v>
      </c>
      <c r="M208" s="180" t="n">
        <f aca="false">MAX(0,L208*IFERROR(INDEX(TAB_IRPF_ALIQ,MATCH(L208,TAB_IRPF_BASE,1)),0)-IFERROR(INDEX(TAB_IRPF_DED,MATCH(L208,TAB_IRPF_BASE,1)),0))</f>
        <v>0</v>
      </c>
      <c r="N208" s="180" t="n">
        <f aca="false">H208-I208-J208-K208-M208</f>
        <v>922.146590623049</v>
      </c>
      <c r="O208" s="180" t="n">
        <f aca="false">IF(OR($A208=0,$A208&gt;IN_PRAZO,$B$5=0),0,IF(APORTE_CORRIGIDO="Sim",IN_APORTE*$D208,IN_APORTE))</f>
        <v>0</v>
      </c>
      <c r="P208" s="180" t="n">
        <f aca="false">IF($B$25=1,MAX(0,N208),0)</f>
        <v>922.146590623049</v>
      </c>
      <c r="Q208" s="180" t="n">
        <f aca="false">R207*$B$27</f>
        <v>1801.59748533633</v>
      </c>
      <c r="R208" s="180" t="n">
        <f aca="false">R207+Q208+O208+P208</f>
        <v>214839.768613891</v>
      </c>
      <c r="S208" s="180" t="n">
        <f aca="false">S207+O208+P208</f>
        <v>111206.213926294</v>
      </c>
      <c r="T208" s="180" t="n">
        <f aca="false">MAX(0,IFERROR(INDEX(TAB_IR,MATCH($C208,TAB_IR_DIAS,1),MATCH("RF_REGR",TAB_IR_REGIMES,0)),0)*MAX(0,R208-S208))</f>
        <v>15545.0332031396</v>
      </c>
      <c r="U208" s="180" t="n">
        <f aca="false">E208*$B$22</f>
        <v>14839.4425058237</v>
      </c>
      <c r="V208" s="180" t="n">
        <f aca="false">IF($B$23=1,0,MAX(0,ALIQ_GANHO_CAP*MAX(0,E208-U208-$B$30)))</f>
        <v>11585.1898886856</v>
      </c>
      <c r="W208" s="181" t="n">
        <f aca="false">IF($B$5=0,0,E208-U208-V208+R208-T208)</f>
        <v>420194.14477997</v>
      </c>
      <c r="X208" s="180" t="n">
        <f aca="false">W208/$D208</f>
        <v>254844.297657112</v>
      </c>
      <c r="Y208" s="180" t="n">
        <f aca="false">IF($B$25=1,0,MAX(0,N208))</f>
        <v>0</v>
      </c>
      <c r="Z208" s="180" t="n">
        <f aca="false">Z207+O208</f>
        <v>155250</v>
      </c>
    </row>
    <row r="209" customFormat="false" ht="12" hidden="false" customHeight="true" outlineLevel="0" collapsed="false">
      <c r="A209" s="177" t="n">
        <v>154</v>
      </c>
      <c r="B209" s="178" t="n">
        <f aca="false">EDATE(DATA_INICIO,$A209)</f>
        <v>50944</v>
      </c>
      <c r="C209" s="177" t="n">
        <f aca="false">$A209*30</f>
        <v>4620</v>
      </c>
      <c r="D209" s="179" t="n">
        <f aca="false">(1+$B$29)^$A209</f>
        <v>1.65422477545563</v>
      </c>
      <c r="E209" s="180" t="n">
        <f aca="false">$B$6*(1+$B$21)^$A209</f>
        <v>248133.716318344</v>
      </c>
      <c r="F209" s="180" t="n">
        <f aca="false">IF($A209=0,0,$B$13*(1+$B$16)^($A209-1))</f>
        <v>1483.94425058237</v>
      </c>
      <c r="G209" s="180" t="n">
        <f aca="false">F209*$B$14</f>
        <v>118.715540046589</v>
      </c>
      <c r="H209" s="180" t="n">
        <f aca="false">F209-G209</f>
        <v>1365.22871053578</v>
      </c>
      <c r="I209" s="180" t="n">
        <f aca="false">IF($A209=0,0,E209*$B$17/12)</f>
        <v>124.066858159172</v>
      </c>
      <c r="J209" s="180" t="n">
        <f aca="false">H209*$B$19</f>
        <v>109.218296842862</v>
      </c>
      <c r="K209" s="180" t="n">
        <f aca="false">IF($A209=0,0,E209*$B$18/12)</f>
        <v>206.778096931953</v>
      </c>
      <c r="L209" s="180" t="n">
        <f aca="false">MAX(0,H209-I209-J209)</f>
        <v>1131.94355553374</v>
      </c>
      <c r="M209" s="180" t="n">
        <f aca="false">MAX(0,L209*IFERROR(INDEX(TAB_IRPF_ALIQ,MATCH(L209,TAB_IRPF_BASE,1)),0)-IFERROR(INDEX(TAB_IRPF_DED,MATCH(L209,TAB_IRPF_BASE,1)),0))</f>
        <v>0</v>
      </c>
      <c r="N209" s="180" t="n">
        <f aca="false">H209-I209-J209-K209-M209</f>
        <v>925.165458601791</v>
      </c>
      <c r="O209" s="180" t="n">
        <f aca="false">IF(OR($A209=0,$A209&gt;IN_PRAZO,$B$5=0),0,IF(APORTE_CORRIGIDO="Sim",IN_APORTE*$D209,IN_APORTE))</f>
        <v>0</v>
      </c>
      <c r="P209" s="180" t="n">
        <f aca="false">IF($B$25=1,MAX(0,N209),0)</f>
        <v>925.165458601791</v>
      </c>
      <c r="Q209" s="180" t="n">
        <f aca="false">R208*$B$27</f>
        <v>1824.73147763436</v>
      </c>
      <c r="R209" s="180" t="n">
        <f aca="false">R208+Q209+O209+P209</f>
        <v>217589.665550127</v>
      </c>
      <c r="S209" s="180" t="n">
        <f aca="false">S208+O209+P209</f>
        <v>112131.379384895</v>
      </c>
      <c r="T209" s="180" t="n">
        <f aca="false">MAX(0,IFERROR(INDEX(TAB_IR,MATCH($C209,TAB_IR_DIAS,1),MATCH("RF_REGR",TAB_IR_REGIMES,0)),0)*MAX(0,R209-S209))</f>
        <v>15818.7429247847</v>
      </c>
      <c r="U209" s="180" t="n">
        <f aca="false">E209*$B$22</f>
        <v>14888.0229791006</v>
      </c>
      <c r="V209" s="180" t="n">
        <f aca="false">IF($B$23=1,0,MAX(0,ALIQ_GANHO_CAP*MAX(0,E209-U209-$B$30)))</f>
        <v>11699.3540008865</v>
      </c>
      <c r="W209" s="181" t="n">
        <f aca="false">IF($B$5=0,0,E209-U209-V209+R209-T209)</f>
        <v>423317.261963699</v>
      </c>
      <c r="X209" s="180" t="n">
        <f aca="false">W209/$D209</f>
        <v>255900.690308005</v>
      </c>
      <c r="Y209" s="180" t="n">
        <f aca="false">IF($B$25=1,0,MAX(0,N209))</f>
        <v>0</v>
      </c>
      <c r="Z209" s="180" t="n">
        <f aca="false">Z208+O209</f>
        <v>155250</v>
      </c>
    </row>
    <row r="210" customFormat="false" ht="12" hidden="false" customHeight="true" outlineLevel="0" collapsed="false">
      <c r="A210" s="177" t="n">
        <v>155</v>
      </c>
      <c r="B210" s="178" t="n">
        <f aca="false">EDATE(DATA_INICIO,$A210)</f>
        <v>50974</v>
      </c>
      <c r="C210" s="177" t="n">
        <f aca="false">$A210*30</f>
        <v>4650</v>
      </c>
      <c r="D210" s="179" t="n">
        <f aca="false">(1+$B$29)^$A210</f>
        <v>1.65964027691174</v>
      </c>
      <c r="E210" s="180" t="n">
        <f aca="false">$B$6*(1+$B$21)^$A210</f>
        <v>248946.04153676</v>
      </c>
      <c r="F210" s="180" t="n">
        <f aca="false">IF($A210=0,0,$B$13*(1+$B$16)^($A210-1))</f>
        <v>1488.80229791006</v>
      </c>
      <c r="G210" s="180" t="n">
        <f aca="false">F210*$B$14</f>
        <v>119.104183832805</v>
      </c>
      <c r="H210" s="180" t="n">
        <f aca="false">F210-G210</f>
        <v>1369.69811407726</v>
      </c>
      <c r="I210" s="180" t="n">
        <f aca="false">IF($A210=0,0,E210*$B$17/12)</f>
        <v>124.47302076838</v>
      </c>
      <c r="J210" s="180" t="n">
        <f aca="false">H210*$B$19</f>
        <v>109.575849126181</v>
      </c>
      <c r="K210" s="180" t="n">
        <f aca="false">IF($A210=0,0,E210*$B$18/12)</f>
        <v>207.455034613967</v>
      </c>
      <c r="L210" s="180" t="n">
        <f aca="false">MAX(0,H210-I210-J210)</f>
        <v>1135.6492441827</v>
      </c>
      <c r="M210" s="180" t="n">
        <f aca="false">MAX(0,L210*IFERROR(INDEX(TAB_IRPF_ALIQ,MATCH(L210,TAB_IRPF_BASE,1)),0)-IFERROR(INDEX(TAB_IRPF_DED,MATCH(L210,TAB_IRPF_BASE,1)),0))</f>
        <v>0</v>
      </c>
      <c r="N210" s="180" t="n">
        <f aca="false">H210-I210-J210-K210-M210</f>
        <v>928.194209568732</v>
      </c>
      <c r="O210" s="180" t="n">
        <f aca="false">IF(OR($A210=0,$A210&gt;IN_PRAZO,$B$5=0),0,IF(APORTE_CORRIGIDO="Sim",IN_APORTE*$D210,IN_APORTE))</f>
        <v>0</v>
      </c>
      <c r="P210" s="180" t="n">
        <f aca="false">IF($B$25=1,MAX(0,N210),0)</f>
        <v>928.194209568732</v>
      </c>
      <c r="Q210" s="180" t="n">
        <f aca="false">R209*$B$27</f>
        <v>1848.08759802201</v>
      </c>
      <c r="R210" s="180" t="n">
        <f aca="false">R209+Q210+O210+P210</f>
        <v>220365.947357718</v>
      </c>
      <c r="S210" s="180" t="n">
        <f aca="false">S209+O210+P210</f>
        <v>113059.573594464</v>
      </c>
      <c r="T210" s="180" t="n">
        <f aca="false">MAX(0,IFERROR(INDEX(TAB_IR,MATCH($C210,TAB_IR_DIAS,1),MATCH("RF_REGR",TAB_IR_REGIMES,0)),0)*MAX(0,R210-S210))</f>
        <v>16095.956064488</v>
      </c>
      <c r="U210" s="180" t="n">
        <f aca="false">E210*$B$22</f>
        <v>14936.7624922056</v>
      </c>
      <c r="V210" s="180" t="n">
        <f aca="false">IF($B$23=1,0,MAX(0,ALIQ_GANHO_CAP*MAX(0,E210-U210-$B$30)))</f>
        <v>11813.8918566832</v>
      </c>
      <c r="W210" s="181" t="n">
        <f aca="false">IF($B$5=0,0,E210-U210-V210+R210-T210)</f>
        <v>426465.378481101</v>
      </c>
      <c r="X210" s="180" t="n">
        <f aca="false">W210/$D210</f>
        <v>256962.538457231</v>
      </c>
      <c r="Y210" s="180" t="n">
        <f aca="false">IF($B$25=1,0,MAX(0,N210))</f>
        <v>0</v>
      </c>
      <c r="Z210" s="180" t="n">
        <f aca="false">Z209+O210</f>
        <v>155250</v>
      </c>
    </row>
    <row r="211" customFormat="false" ht="12" hidden="false" customHeight="true" outlineLevel="0" collapsed="false">
      <c r="A211" s="177" t="n">
        <v>156</v>
      </c>
      <c r="B211" s="178" t="n">
        <f aca="false">EDATE(DATA_INICIO,$A211)</f>
        <v>51005</v>
      </c>
      <c r="C211" s="177" t="n">
        <f aca="false">$A211*30</f>
        <v>4680</v>
      </c>
      <c r="D211" s="179" t="n">
        <f aca="false">(1+$B$29)^$A211</f>
        <v>1.6650735073104</v>
      </c>
      <c r="E211" s="180" t="n">
        <f aca="false">$B$6*(1+$B$21)^$A211</f>
        <v>249761.02609656</v>
      </c>
      <c r="F211" s="180" t="n">
        <f aca="false">IF($A211=0,0,$B$13*(1+$B$16)^($A211-1))</f>
        <v>1493.67624922056</v>
      </c>
      <c r="G211" s="180" t="n">
        <f aca="false">F211*$B$14</f>
        <v>119.494099937645</v>
      </c>
      <c r="H211" s="180" t="n">
        <f aca="false">F211-G211</f>
        <v>1374.18214928292</v>
      </c>
      <c r="I211" s="180" t="n">
        <f aca="false">IF($A211=0,0,E211*$B$17/12)</f>
        <v>124.88051304828</v>
      </c>
      <c r="J211" s="180" t="n">
        <f aca="false">H211*$B$19</f>
        <v>109.934571942633</v>
      </c>
      <c r="K211" s="180" t="n">
        <f aca="false">IF($A211=0,0,E211*$B$18/12)</f>
        <v>208.1341884138</v>
      </c>
      <c r="L211" s="180" t="n">
        <f aca="false">MAX(0,H211-I211-J211)</f>
        <v>1139.367064292</v>
      </c>
      <c r="M211" s="180" t="n">
        <f aca="false">MAX(0,L211*IFERROR(INDEX(TAB_IRPF_ALIQ,MATCH(L211,TAB_IRPF_BASE,1)),0)-IFERROR(INDEX(TAB_IRPF_DED,MATCH(L211,TAB_IRPF_BASE,1)),0))</f>
        <v>0</v>
      </c>
      <c r="N211" s="180" t="n">
        <f aca="false">H211-I211-J211-K211-M211</f>
        <v>931.232875878204</v>
      </c>
      <c r="O211" s="180" t="n">
        <f aca="false">IF(OR($A211=0,$A211&gt;IN_PRAZO,$B$5=0),0,IF(APORTE_CORRIGIDO="Sim",IN_APORTE*$D211,IN_APORTE))</f>
        <v>0</v>
      </c>
      <c r="P211" s="180" t="n">
        <f aca="false">IF($B$25=1,MAX(0,N211),0)</f>
        <v>931.232875878204</v>
      </c>
      <c r="Q211" s="180" t="n">
        <f aca="false">R210*$B$27</f>
        <v>1871.66781707446</v>
      </c>
      <c r="R211" s="180" t="n">
        <f aca="false">R210+Q211+O211+P211</f>
        <v>223168.84805067</v>
      </c>
      <c r="S211" s="180" t="n">
        <f aca="false">S210+O211+P211</f>
        <v>113990.806470342</v>
      </c>
      <c r="T211" s="180" t="n">
        <f aca="false">MAX(0,IFERROR(INDEX(TAB_IR,MATCH($C211,TAB_IR_DIAS,1),MATCH("RF_REGR",TAB_IR_REGIMES,0)),0)*MAX(0,R211-S211))</f>
        <v>16376.7062370492</v>
      </c>
      <c r="U211" s="180" t="n">
        <f aca="false">E211*$B$22</f>
        <v>14985.6615657936</v>
      </c>
      <c r="V211" s="180" t="n">
        <f aca="false">IF($B$23=1,0,MAX(0,ALIQ_GANHO_CAP*MAX(0,E211-U211-$B$30)))</f>
        <v>11928.804679615</v>
      </c>
      <c r="W211" s="181" t="n">
        <f aca="false">IF($B$5=0,0,E211-U211-V211+R211-T211)</f>
        <v>429638.701664773</v>
      </c>
      <c r="X211" s="180" t="n">
        <f aca="false">W211/$D211</f>
        <v>258029.870620409</v>
      </c>
      <c r="Y211" s="180" t="n">
        <f aca="false">IF($B$25=1,0,MAX(0,N211))</f>
        <v>0</v>
      </c>
      <c r="Z211" s="180" t="n">
        <f aca="false">Z210+O211</f>
        <v>155250</v>
      </c>
    </row>
    <row r="212" customFormat="false" ht="12" hidden="false" customHeight="true" outlineLevel="0" collapsed="false">
      <c r="A212" s="177" t="n">
        <v>157</v>
      </c>
      <c r="B212" s="178" t="n">
        <f aca="false">EDATE(DATA_INICIO,$A212)</f>
        <v>51036</v>
      </c>
      <c r="C212" s="177" t="n">
        <f aca="false">$A212*30</f>
        <v>4710</v>
      </c>
      <c r="D212" s="179" t="n">
        <f aca="false">(1+$B$29)^$A212</f>
        <v>1.67052452469157</v>
      </c>
      <c r="E212" s="180" t="n">
        <f aca="false">$B$6*(1+$B$21)^$A212</f>
        <v>250578.678703735</v>
      </c>
      <c r="F212" s="180" t="n">
        <f aca="false">IF($A212=0,0,$B$13*(1+$B$16)^($A212-1))</f>
        <v>1498.56615657936</v>
      </c>
      <c r="G212" s="180" t="n">
        <f aca="false">F212*$B$14</f>
        <v>119.885292526349</v>
      </c>
      <c r="H212" s="180" t="n">
        <f aca="false">F212-G212</f>
        <v>1378.68086405301</v>
      </c>
      <c r="I212" s="180" t="n">
        <f aca="false">IF($A212=0,0,E212*$B$17/12)</f>
        <v>125.289339351868</v>
      </c>
      <c r="J212" s="180" t="n">
        <f aca="false">H212*$B$19</f>
        <v>110.294469124241</v>
      </c>
      <c r="K212" s="180" t="n">
        <f aca="false">IF($A212=0,0,E212*$B$18/12)</f>
        <v>208.815565586446</v>
      </c>
      <c r="L212" s="180" t="n">
        <f aca="false">MAX(0,H212-I212-J212)</f>
        <v>1143.0970555769</v>
      </c>
      <c r="M212" s="180" t="n">
        <f aca="false">MAX(0,L212*IFERROR(INDEX(TAB_IRPF_ALIQ,MATCH(L212,TAB_IRPF_BASE,1)),0)-IFERROR(INDEX(TAB_IRPF_DED,MATCH(L212,TAB_IRPF_BASE,1)),0))</f>
        <v>0</v>
      </c>
      <c r="N212" s="180" t="n">
        <f aca="false">H212-I212-J212-K212-M212</f>
        <v>934.281489990457</v>
      </c>
      <c r="O212" s="180" t="n">
        <f aca="false">IF(OR($A212=0,$A212&gt;IN_PRAZO,$B$5=0),0,IF(APORTE_CORRIGIDO="Sim",IN_APORTE*$D212,IN_APORTE))</f>
        <v>0</v>
      </c>
      <c r="P212" s="180" t="n">
        <f aca="false">IF($B$25=1,MAX(0,N212),0)</f>
        <v>934.281489990457</v>
      </c>
      <c r="Q212" s="180" t="n">
        <f aca="false">R211*$B$27</f>
        <v>1895.4741223787</v>
      </c>
      <c r="R212" s="180" t="n">
        <f aca="false">R211+Q212+O212+P212</f>
        <v>225998.603663039</v>
      </c>
      <c r="S212" s="180" t="n">
        <f aca="false">S211+O212+P212</f>
        <v>114925.087960333</v>
      </c>
      <c r="T212" s="180" t="n">
        <f aca="false">MAX(0,IFERROR(INDEX(TAB_IR,MATCH($C212,TAB_IR_DIAS,1),MATCH("RF_REGR",TAB_IR_REGIMES,0)),0)*MAX(0,R212-S212))</f>
        <v>16661.027355406</v>
      </c>
      <c r="U212" s="180" t="n">
        <f aca="false">E212*$B$22</f>
        <v>15034.7207222241</v>
      </c>
      <c r="V212" s="180" t="n">
        <f aca="false">IF($B$23=1,0,MAX(0,ALIQ_GANHO_CAP*MAX(0,E212-U212-$B$30)))</f>
        <v>12044.0936972267</v>
      </c>
      <c r="W212" s="181" t="n">
        <f aca="false">IF($B$5=0,0,E212-U212-V212+R212-T212)</f>
        <v>432837.440591918</v>
      </c>
      <c r="X212" s="180" t="n">
        <f aca="false">W212/$D212</f>
        <v>259102.715461081</v>
      </c>
      <c r="Y212" s="180" t="n">
        <f aca="false">IF($B$25=1,0,MAX(0,N212))</f>
        <v>0</v>
      </c>
      <c r="Z212" s="180" t="n">
        <f aca="false">Z211+O212</f>
        <v>155250</v>
      </c>
    </row>
    <row r="213" customFormat="false" ht="12" hidden="false" customHeight="true" outlineLevel="0" collapsed="false">
      <c r="A213" s="177" t="n">
        <v>158</v>
      </c>
      <c r="B213" s="178" t="n">
        <f aca="false">EDATE(DATA_INICIO,$A213)</f>
        <v>51066</v>
      </c>
      <c r="C213" s="177" t="n">
        <f aca="false">$A213*30</f>
        <v>4740</v>
      </c>
      <c r="D213" s="179" t="n">
        <f aca="false">(1+$B$29)^$A213</f>
        <v>1.67599338728519</v>
      </c>
      <c r="E213" s="180" t="n">
        <f aca="false">$B$6*(1+$B$21)^$A213</f>
        <v>251399.008092779</v>
      </c>
      <c r="F213" s="180" t="n">
        <f aca="false">IF($A213=0,0,$B$13*(1+$B$16)^($A213-1))</f>
        <v>1503.47207222241</v>
      </c>
      <c r="G213" s="180" t="n">
        <f aca="false">F213*$B$14</f>
        <v>120.277765777793</v>
      </c>
      <c r="H213" s="180" t="n">
        <f aca="false">F213-G213</f>
        <v>1383.19430644462</v>
      </c>
      <c r="I213" s="180" t="n">
        <f aca="false">IF($A213=0,0,E213*$B$17/12)</f>
        <v>125.699504046389</v>
      </c>
      <c r="J213" s="180" t="n">
        <f aca="false">H213*$B$19</f>
        <v>110.65554451557</v>
      </c>
      <c r="K213" s="180" t="n">
        <f aca="false">IF($A213=0,0,E213*$B$18/12)</f>
        <v>209.499173410649</v>
      </c>
      <c r="L213" s="180" t="n">
        <f aca="false">MAX(0,H213-I213-J213)</f>
        <v>1146.83925788266</v>
      </c>
      <c r="M213" s="180" t="n">
        <f aca="false">MAX(0,L213*IFERROR(INDEX(TAB_IRPF_ALIQ,MATCH(L213,TAB_IRPF_BASE,1)),0)-IFERROR(INDEX(TAB_IRPF_DED,MATCH(L213,TAB_IRPF_BASE,1)),0))</f>
        <v>0</v>
      </c>
      <c r="N213" s="180" t="n">
        <f aca="false">H213-I213-J213-K213-M213</f>
        <v>937.340084472011</v>
      </c>
      <c r="O213" s="180" t="n">
        <f aca="false">IF(OR($A213=0,$A213&gt;IN_PRAZO,$B$5=0),0,IF(APORTE_CORRIGIDO="Sim",IN_APORTE*$D213,IN_APORTE))</f>
        <v>0</v>
      </c>
      <c r="P213" s="180" t="n">
        <f aca="false">IF($B$25=1,MAX(0,N213),0)</f>
        <v>937.340084472011</v>
      </c>
      <c r="Q213" s="180" t="n">
        <f aca="false">R212*$B$27</f>
        <v>1919.50851867886</v>
      </c>
      <c r="R213" s="180" t="n">
        <f aca="false">R212+Q213+O213+P213</f>
        <v>228855.45226619</v>
      </c>
      <c r="S213" s="180" t="n">
        <f aca="false">S212+O213+P213</f>
        <v>115862.428044805</v>
      </c>
      <c r="T213" s="180" t="n">
        <f aca="false">MAX(0,IFERROR(INDEX(TAB_IR,MATCH($C213,TAB_IR_DIAS,1),MATCH("RF_REGR",TAB_IR_REGIMES,0)),0)*MAX(0,R213-S213))</f>
        <v>16948.9536332078</v>
      </c>
      <c r="U213" s="180" t="n">
        <f aca="false">E213*$B$22</f>
        <v>15083.9404855667</v>
      </c>
      <c r="V213" s="180" t="n">
        <f aca="false">IF($B$23=1,0,MAX(0,ALIQ_GANHO_CAP*MAX(0,E213-U213-$B$30)))</f>
        <v>12159.7601410818</v>
      </c>
      <c r="W213" s="181" t="n">
        <f aca="false">IF($B$5=0,0,E213-U213-V213+R213-T213)</f>
        <v>436061.806099112</v>
      </c>
      <c r="X213" s="180" t="n">
        <f aca="false">W213/$D213</f>
        <v>260181.10179149</v>
      </c>
      <c r="Y213" s="180" t="n">
        <f aca="false">IF($B$25=1,0,MAX(0,N213))</f>
        <v>0</v>
      </c>
      <c r="Z213" s="180" t="n">
        <f aca="false">Z212+O213</f>
        <v>155250</v>
      </c>
    </row>
    <row r="214" customFormat="false" ht="12" hidden="false" customHeight="true" outlineLevel="0" collapsed="false">
      <c r="A214" s="177" t="n">
        <v>159</v>
      </c>
      <c r="B214" s="178" t="n">
        <f aca="false">EDATE(DATA_INICIO,$A214)</f>
        <v>51097</v>
      </c>
      <c r="C214" s="177" t="n">
        <f aca="false">$A214*30</f>
        <v>4770</v>
      </c>
      <c r="D214" s="179" t="n">
        <f aca="false">(1+$B$29)^$A214</f>
        <v>1.68148015351185</v>
      </c>
      <c r="E214" s="180" t="n">
        <f aca="false">$B$6*(1+$B$21)^$A214</f>
        <v>252222.023026777</v>
      </c>
      <c r="F214" s="180" t="n">
        <f aca="false">IF($A214=0,0,$B$13*(1+$B$16)^($A214-1))</f>
        <v>1508.39404855667</v>
      </c>
      <c r="G214" s="180" t="n">
        <f aca="false">F214*$B$14</f>
        <v>120.671523884534</v>
      </c>
      <c r="H214" s="180" t="n">
        <f aca="false">F214-G214</f>
        <v>1387.72252467214</v>
      </c>
      <c r="I214" s="180" t="n">
        <f aca="false">IF($A214=0,0,E214*$B$17/12)</f>
        <v>126.111011513389</v>
      </c>
      <c r="J214" s="180" t="n">
        <f aca="false">H214*$B$19</f>
        <v>111.017801973771</v>
      </c>
      <c r="K214" s="180" t="n">
        <f aca="false">IF($A214=0,0,E214*$B$18/12)</f>
        <v>210.185019188981</v>
      </c>
      <c r="L214" s="180" t="n">
        <f aca="false">MAX(0,H214-I214-J214)</f>
        <v>1150.59371118498</v>
      </c>
      <c r="M214" s="180" t="n">
        <f aca="false">MAX(0,L214*IFERROR(INDEX(TAB_IRPF_ALIQ,MATCH(L214,TAB_IRPF_BASE,1)),0)-IFERROR(INDEX(TAB_IRPF_DED,MATCH(L214,TAB_IRPF_BASE,1)),0))</f>
        <v>0</v>
      </c>
      <c r="N214" s="180" t="n">
        <f aca="false">H214-I214-J214-K214-M214</f>
        <v>940.408691995997</v>
      </c>
      <c r="O214" s="180" t="n">
        <f aca="false">IF(OR($A214=0,$A214&gt;IN_PRAZO,$B$5=0),0,IF(APORTE_CORRIGIDO="Sim",IN_APORTE*$D214,IN_APORTE))</f>
        <v>0</v>
      </c>
      <c r="P214" s="180" t="n">
        <f aca="false">IF($B$25=1,MAX(0,N214),0)</f>
        <v>940.408691995997</v>
      </c>
      <c r="Q214" s="180" t="n">
        <f aca="false">R213*$B$27</f>
        <v>1943.77302802291</v>
      </c>
      <c r="R214" s="180" t="n">
        <f aca="false">R213+Q214+O214+P214</f>
        <v>231739.633986209</v>
      </c>
      <c r="S214" s="180" t="n">
        <f aca="false">S213+O214+P214</f>
        <v>116802.836736801</v>
      </c>
      <c r="T214" s="180" t="n">
        <f aca="false">MAX(0,IFERROR(INDEX(TAB_IR,MATCH($C214,TAB_IR_DIAS,1),MATCH("RF_REGR",TAB_IR_REGIMES,0)),0)*MAX(0,R214-S214))</f>
        <v>17240.5195874112</v>
      </c>
      <c r="U214" s="180" t="n">
        <f aca="false">E214*$B$22</f>
        <v>15133.3213816066</v>
      </c>
      <c r="V214" s="180" t="n">
        <f aca="false">IF($B$23=1,0,MAX(0,ALIQ_GANHO_CAP*MAX(0,E214-U214-$B$30)))</f>
        <v>12275.8052467756</v>
      </c>
      <c r="W214" s="181" t="n">
        <f aca="false">IF($B$5=0,0,E214-U214-V214+R214-T214)</f>
        <v>439312.010797193</v>
      </c>
      <c r="X214" s="180" t="n">
        <f aca="false">W214/$D214</f>
        <v>261265.058573347</v>
      </c>
      <c r="Y214" s="180" t="n">
        <f aca="false">IF($B$25=1,0,MAX(0,N214))</f>
        <v>0</v>
      </c>
      <c r="Z214" s="180" t="n">
        <f aca="false">Z213+O214</f>
        <v>155250</v>
      </c>
    </row>
    <row r="215" customFormat="false" ht="12" hidden="false" customHeight="true" outlineLevel="0" collapsed="false">
      <c r="A215" s="177" t="n">
        <v>160</v>
      </c>
      <c r="B215" s="178" t="n">
        <f aca="false">EDATE(DATA_INICIO,$A215)</f>
        <v>51127</v>
      </c>
      <c r="C215" s="177" t="n">
        <f aca="false">$A215*30</f>
        <v>4800</v>
      </c>
      <c r="D215" s="179" t="n">
        <f aca="false">(1+$B$29)^$A215</f>
        <v>1.68698488198338</v>
      </c>
      <c r="E215" s="180" t="n">
        <f aca="false">$B$6*(1+$B$21)^$A215</f>
        <v>253047.732297507</v>
      </c>
      <c r="F215" s="180" t="n">
        <f aca="false">IF($A215=0,0,$B$13*(1+$B$16)^($A215-1))</f>
        <v>1513.33213816066</v>
      </c>
      <c r="G215" s="180" t="n">
        <f aca="false">F215*$B$14</f>
        <v>121.066571052853</v>
      </c>
      <c r="H215" s="180" t="n">
        <f aca="false">F215-G215</f>
        <v>1392.26556710781</v>
      </c>
      <c r="I215" s="180" t="n">
        <f aca="false">IF($A215=0,0,E215*$B$17/12)</f>
        <v>126.523866148753</v>
      </c>
      <c r="J215" s="180" t="n">
        <f aca="false">H215*$B$19</f>
        <v>111.381245368625</v>
      </c>
      <c r="K215" s="180" t="n">
        <f aca="false">IF($A215=0,0,E215*$B$18/12)</f>
        <v>210.873110247922</v>
      </c>
      <c r="L215" s="180" t="n">
        <f aca="false">MAX(0,H215-I215-J215)</f>
        <v>1154.36045559043</v>
      </c>
      <c r="M215" s="180" t="n">
        <f aca="false">MAX(0,L215*IFERROR(INDEX(TAB_IRPF_ALIQ,MATCH(L215,TAB_IRPF_BASE,1)),0)-IFERROR(INDEX(TAB_IRPF_DED,MATCH(L215,TAB_IRPF_BASE,1)),0))</f>
        <v>0</v>
      </c>
      <c r="N215" s="180" t="n">
        <f aca="false">H215-I215-J215-K215-M215</f>
        <v>943.48734534251</v>
      </c>
      <c r="O215" s="180" t="n">
        <f aca="false">IF(OR($A215=0,$A215&gt;IN_PRAZO,$B$5=0),0,IF(APORTE_CORRIGIDO="Sim",IN_APORTE*$D215,IN_APORTE))</f>
        <v>0</v>
      </c>
      <c r="P215" s="180" t="n">
        <f aca="false">IF($B$25=1,MAX(0,N215),0)</f>
        <v>943.48734534251</v>
      </c>
      <c r="Q215" s="180" t="n">
        <f aca="false">R214*$B$27</f>
        <v>1968.26968991047</v>
      </c>
      <c r="R215" s="180" t="n">
        <f aca="false">R214+Q215+O215+P215</f>
        <v>234651.391021462</v>
      </c>
      <c r="S215" s="180" t="n">
        <f aca="false">S214+O215+P215</f>
        <v>117746.324082143</v>
      </c>
      <c r="T215" s="180" t="n">
        <f aca="false">MAX(0,IFERROR(INDEX(TAB_IR,MATCH($C215,TAB_IR_DIAS,1),MATCH("RF_REGR",TAB_IR_REGIMES,0)),0)*MAX(0,R215-S215))</f>
        <v>17535.7600408978</v>
      </c>
      <c r="U215" s="180" t="n">
        <f aca="false">E215*$B$22</f>
        <v>15182.8639378504</v>
      </c>
      <c r="V215" s="180" t="n">
        <f aca="false">IF($B$23=1,0,MAX(0,ALIQ_GANHO_CAP*MAX(0,E215-U215-$B$30)))</f>
        <v>12392.2302539484</v>
      </c>
      <c r="W215" s="181" t="n">
        <f aca="false">IF($B$5=0,0,E215-U215-V215+R215-T215)</f>
        <v>442588.269086272</v>
      </c>
      <c r="X215" s="180" t="n">
        <f aca="false">W215/$D215</f>
        <v>262354.614918614</v>
      </c>
      <c r="Y215" s="180" t="n">
        <f aca="false">IF($B$25=1,0,MAX(0,N215))</f>
        <v>0</v>
      </c>
      <c r="Z215" s="180" t="n">
        <f aca="false">Z214+O215</f>
        <v>155250</v>
      </c>
    </row>
    <row r="216" customFormat="false" ht="12" hidden="false" customHeight="true" outlineLevel="0" collapsed="false">
      <c r="A216" s="177" t="n">
        <v>161</v>
      </c>
      <c r="B216" s="178" t="n">
        <f aca="false">EDATE(DATA_INICIO,$A216)</f>
        <v>51158</v>
      </c>
      <c r="C216" s="177" t="n">
        <f aca="false">$A216*30</f>
        <v>4830</v>
      </c>
      <c r="D216" s="179" t="n">
        <f aca="false">(1+$B$29)^$A216</f>
        <v>1.6925076315035</v>
      </c>
      <c r="E216" s="180" t="n">
        <f aca="false">$B$6*(1+$B$21)^$A216</f>
        <v>253876.144725524</v>
      </c>
      <c r="F216" s="180" t="n">
        <f aca="false">IF($A216=0,0,$B$13*(1+$B$16)^($A216-1))</f>
        <v>1518.28639378504</v>
      </c>
      <c r="G216" s="180" t="n">
        <f aca="false">F216*$B$14</f>
        <v>121.462911502803</v>
      </c>
      <c r="H216" s="180" t="n">
        <f aca="false">F216-G216</f>
        <v>1396.82348228224</v>
      </c>
      <c r="I216" s="180" t="n">
        <f aca="false">IF($A216=0,0,E216*$B$17/12)</f>
        <v>126.938072362762</v>
      </c>
      <c r="J216" s="180" t="n">
        <f aca="false">H216*$B$19</f>
        <v>111.745878582579</v>
      </c>
      <c r="K216" s="180" t="n">
        <f aca="false">IF($A216=0,0,E216*$B$18/12)</f>
        <v>211.563453937937</v>
      </c>
      <c r="L216" s="180" t="n">
        <f aca="false">MAX(0,H216-I216-J216)</f>
        <v>1158.1395313369</v>
      </c>
      <c r="M216" s="180" t="n">
        <f aca="false">MAX(0,L216*IFERROR(INDEX(TAB_IRPF_ALIQ,MATCH(L216,TAB_IRPF_BASE,1)),0)-IFERROR(INDEX(TAB_IRPF_DED,MATCH(L216,TAB_IRPF_BASE,1)),0))</f>
        <v>0</v>
      </c>
      <c r="N216" s="180" t="n">
        <f aca="false">H216-I216-J216-K216-M216</f>
        <v>946.576077398959</v>
      </c>
      <c r="O216" s="180" t="n">
        <f aca="false">IF(OR($A216=0,$A216&gt;IN_PRAZO,$B$5=0),0,IF(APORTE_CORRIGIDO="Sim",IN_APORTE*$D216,IN_APORTE))</f>
        <v>0</v>
      </c>
      <c r="P216" s="180" t="n">
        <f aca="false">IF($B$25=1,MAX(0,N216),0)</f>
        <v>946.576077398959</v>
      </c>
      <c r="Q216" s="180" t="n">
        <f aca="false">R215*$B$27</f>
        <v>1993.00056144198</v>
      </c>
      <c r="R216" s="180" t="n">
        <f aca="false">R215+Q216+O216+P216</f>
        <v>237590.967660303</v>
      </c>
      <c r="S216" s="180" t="n">
        <f aca="false">S215+O216+P216</f>
        <v>118692.900159542</v>
      </c>
      <c r="T216" s="180" t="n">
        <f aca="false">MAX(0,IFERROR(INDEX(TAB_IR,MATCH($C216,TAB_IR_DIAS,1),MATCH("RF_REGR",TAB_IR_REGIMES,0)),0)*MAX(0,R216-S216))</f>
        <v>17834.7101251141</v>
      </c>
      <c r="U216" s="180" t="n">
        <f aca="false">E216*$B$22</f>
        <v>15232.5686835315</v>
      </c>
      <c r="V216" s="180" t="n">
        <f aca="false">IF($B$23=1,0,MAX(0,ALIQ_GANHO_CAP*MAX(0,E216-U216-$B$30)))</f>
        <v>12509.0364062989</v>
      </c>
      <c r="W216" s="181" t="n">
        <f aca="false">IF($B$5=0,0,E216-U216-V216+R216-T216)</f>
        <v>445890.797170883</v>
      </c>
      <c r="X216" s="180" t="n">
        <f aca="false">W216/$D216</f>
        <v>263449.800090288</v>
      </c>
      <c r="Y216" s="180" t="n">
        <f aca="false">IF($B$25=1,0,MAX(0,N216))</f>
        <v>0</v>
      </c>
      <c r="Z216" s="180" t="n">
        <f aca="false">Z215+O216</f>
        <v>155250</v>
      </c>
    </row>
    <row r="217" customFormat="false" ht="12" hidden="false" customHeight="true" outlineLevel="0" collapsed="false">
      <c r="A217" s="177" t="n">
        <v>162</v>
      </c>
      <c r="B217" s="178" t="n">
        <f aca="false">EDATE(DATA_INICIO,$A217)</f>
        <v>51189</v>
      </c>
      <c r="C217" s="177" t="n">
        <f aca="false">$A217*30</f>
        <v>4860</v>
      </c>
      <c r="D217" s="179" t="n">
        <f aca="false">(1+$B$29)^$A217</f>
        <v>1.69804846106842</v>
      </c>
      <c r="E217" s="180" t="n">
        <f aca="false">$B$6*(1+$B$21)^$A217</f>
        <v>254707.269160263</v>
      </c>
      <c r="F217" s="180" t="n">
        <f aca="false">IF($A217=0,0,$B$13*(1+$B$16)^($A217-1))</f>
        <v>1523.25686835315</v>
      </c>
      <c r="G217" s="180" t="n">
        <f aca="false">F217*$B$14</f>
        <v>121.860549468252</v>
      </c>
      <c r="H217" s="180" t="n">
        <f aca="false">F217-G217</f>
        <v>1401.39631888489</v>
      </c>
      <c r="I217" s="180" t="n">
        <f aca="false">IF($A217=0,0,E217*$B$17/12)</f>
        <v>127.353634580132</v>
      </c>
      <c r="J217" s="180" t="n">
        <f aca="false">H217*$B$19</f>
        <v>112.111705510792</v>
      </c>
      <c r="K217" s="180" t="n">
        <f aca="false">IF($A217=0,0,E217*$B$18/12)</f>
        <v>212.256057633553</v>
      </c>
      <c r="L217" s="180" t="n">
        <f aca="false">MAX(0,H217-I217-J217)</f>
        <v>1161.93097879397</v>
      </c>
      <c r="M217" s="180" t="n">
        <f aca="false">MAX(0,L217*IFERROR(INDEX(TAB_IRPF_ALIQ,MATCH(L217,TAB_IRPF_BASE,1)),0)-IFERROR(INDEX(TAB_IRPF_DED,MATCH(L217,TAB_IRPF_BASE,1)),0))</f>
        <v>0</v>
      </c>
      <c r="N217" s="180" t="n">
        <f aca="false">H217-I217-J217-K217-M217</f>
        <v>949.674921160418</v>
      </c>
      <c r="O217" s="180" t="n">
        <f aca="false">IF(OR($A217=0,$A217&gt;IN_PRAZO,$B$5=0),0,IF(APORTE_CORRIGIDO="Sim",IN_APORTE*$D217,IN_APORTE))</f>
        <v>0</v>
      </c>
      <c r="P217" s="180" t="n">
        <f aca="false">IF($B$25=1,MAX(0,N217),0)</f>
        <v>949.674921160418</v>
      </c>
      <c r="Q217" s="180" t="n">
        <f aca="false">R216*$B$27</f>
        <v>2017.9677174691</v>
      </c>
      <c r="R217" s="180" t="n">
        <f aca="false">R216+Q217+O217+P217</f>
        <v>240558.610298933</v>
      </c>
      <c r="S217" s="180" t="n">
        <f aca="false">S216+O217+P217</f>
        <v>119642.575080703</v>
      </c>
      <c r="T217" s="180" t="n">
        <f aca="false">MAX(0,IFERROR(INDEX(TAB_IR,MATCH($C217,TAB_IR_DIAS,1),MATCH("RF_REGR",TAB_IR_REGIMES,0)),0)*MAX(0,R217-S217))</f>
        <v>18137.4052827345</v>
      </c>
      <c r="U217" s="180" t="n">
        <f aca="false">E217*$B$22</f>
        <v>15282.4361496158</v>
      </c>
      <c r="V217" s="180" t="n">
        <f aca="false">IF($B$23=1,0,MAX(0,ALIQ_GANHO_CAP*MAX(0,E217-U217-$B$30)))</f>
        <v>12626.2249515972</v>
      </c>
      <c r="W217" s="181" t="n">
        <f aca="false">IF($B$5=0,0,E217-U217-V217+R217-T217)</f>
        <v>449219.813075249</v>
      </c>
      <c r="X217" s="180" t="n">
        <f aca="false">W217/$D217</f>
        <v>264550.643503187</v>
      </c>
      <c r="Y217" s="180" t="n">
        <f aca="false">IF($B$25=1,0,MAX(0,N217))</f>
        <v>0</v>
      </c>
      <c r="Z217" s="180" t="n">
        <f aca="false">Z216+O217</f>
        <v>155250</v>
      </c>
    </row>
    <row r="218" customFormat="false" ht="12" hidden="false" customHeight="true" outlineLevel="0" collapsed="false">
      <c r="A218" s="177" t="n">
        <v>163</v>
      </c>
      <c r="B218" s="178" t="n">
        <f aca="false">EDATE(DATA_INICIO,$A218)</f>
        <v>51218</v>
      </c>
      <c r="C218" s="177" t="n">
        <f aca="false">$A218*30</f>
        <v>4890</v>
      </c>
      <c r="D218" s="179" t="n">
        <f aca="false">(1+$B$29)^$A218</f>
        <v>1.70360742986752</v>
      </c>
      <c r="E218" s="180" t="n">
        <f aca="false">$B$6*(1+$B$21)^$A218</f>
        <v>255541.114480129</v>
      </c>
      <c r="F218" s="180" t="n">
        <f aca="false">IF($A218=0,0,$B$13*(1+$B$16)^($A218-1))</f>
        <v>1528.24361496158</v>
      </c>
      <c r="G218" s="180" t="n">
        <f aca="false">F218*$B$14</f>
        <v>122.259489196926</v>
      </c>
      <c r="H218" s="180" t="n">
        <f aca="false">F218-G218</f>
        <v>1405.98412576465</v>
      </c>
      <c r="I218" s="180" t="n">
        <f aca="false">IF($A218=0,0,E218*$B$17/12)</f>
        <v>127.770557240064</v>
      </c>
      <c r="J218" s="180" t="n">
        <f aca="false">H218*$B$19</f>
        <v>112.478730061172</v>
      </c>
      <c r="K218" s="180" t="n">
        <f aca="false">IF($A218=0,0,E218*$B$18/12)</f>
        <v>212.950928733441</v>
      </c>
      <c r="L218" s="180" t="n">
        <f aca="false">MAX(0,H218-I218-J218)</f>
        <v>1165.73483846342</v>
      </c>
      <c r="M218" s="180" t="n">
        <f aca="false">MAX(0,L218*IFERROR(INDEX(TAB_IRPF_ALIQ,MATCH(L218,TAB_IRPF_BASE,1)),0)-IFERROR(INDEX(TAB_IRPF_DED,MATCH(L218,TAB_IRPF_BASE,1)),0))</f>
        <v>0</v>
      </c>
      <c r="N218" s="180" t="n">
        <f aca="false">H218-I218-J218-K218-M218</f>
        <v>952.783909729977</v>
      </c>
      <c r="O218" s="180" t="n">
        <f aca="false">IF(OR($A218=0,$A218&gt;IN_PRAZO,$B$5=0),0,IF(APORTE_CORRIGIDO="Sim",IN_APORTE*$D218,IN_APORTE))</f>
        <v>0</v>
      </c>
      <c r="P218" s="180" t="n">
        <f aca="false">IF($B$25=1,MAX(0,N218),0)</f>
        <v>952.783909729977</v>
      </c>
      <c r="Q218" s="180" t="n">
        <f aca="false">R217*$B$27</f>
        <v>2043.17325074636</v>
      </c>
      <c r="R218" s="180" t="n">
        <f aca="false">R217+Q218+O218+P218</f>
        <v>243554.567459409</v>
      </c>
      <c r="S218" s="180" t="n">
        <f aca="false">S217+O218+P218</f>
        <v>120595.358990433</v>
      </c>
      <c r="T218" s="180" t="n">
        <f aca="false">MAX(0,IFERROR(INDEX(TAB_IR,MATCH($C218,TAB_IR_DIAS,1),MATCH("RF_REGR",TAB_IR_REGIMES,0)),0)*MAX(0,R218-S218))</f>
        <v>18443.8812703464</v>
      </c>
      <c r="U218" s="180" t="n">
        <f aca="false">E218*$B$22</f>
        <v>15332.4668688077</v>
      </c>
      <c r="V218" s="180" t="n">
        <f aca="false">IF($B$23=1,0,MAX(0,ALIQ_GANHO_CAP*MAX(0,E218-U218-$B$30)))</f>
        <v>12743.7971416981</v>
      </c>
      <c r="W218" s="181" t="n">
        <f aca="false">IF($B$5=0,0,E218-U218-V218+R218-T218)</f>
        <v>452575.536658685</v>
      </c>
      <c r="X218" s="180" t="n">
        <f aca="false">W218/$D218</f>
        <v>265657.174724742</v>
      </c>
      <c r="Y218" s="180" t="n">
        <f aca="false">IF($B$25=1,0,MAX(0,N218))</f>
        <v>0</v>
      </c>
      <c r="Z218" s="180" t="n">
        <f aca="false">Z217+O218</f>
        <v>155250</v>
      </c>
    </row>
    <row r="219" customFormat="false" ht="12" hidden="false" customHeight="true" outlineLevel="0" collapsed="false">
      <c r="A219" s="177" t="n">
        <v>164</v>
      </c>
      <c r="B219" s="178" t="n">
        <f aca="false">EDATE(DATA_INICIO,$A219)</f>
        <v>51249</v>
      </c>
      <c r="C219" s="177" t="n">
        <f aca="false">$A219*30</f>
        <v>4920</v>
      </c>
      <c r="D219" s="179" t="n">
        <f aca="false">(1+$B$29)^$A219</f>
        <v>1.70918459728393</v>
      </c>
      <c r="E219" s="180" t="n">
        <f aca="false">$B$6*(1+$B$21)^$A219</f>
        <v>256377.68959259</v>
      </c>
      <c r="F219" s="180" t="n">
        <f aca="false">IF($A219=0,0,$B$13*(1+$B$16)^($A219-1))</f>
        <v>1533.24668688077</v>
      </c>
      <c r="G219" s="180" t="n">
        <f aca="false">F219*$B$14</f>
        <v>122.659734950462</v>
      </c>
      <c r="H219" s="180" t="n">
        <f aca="false">F219-G219</f>
        <v>1410.58695193031</v>
      </c>
      <c r="I219" s="180" t="n">
        <f aca="false">IF($A219=0,0,E219*$B$17/12)</f>
        <v>128.188844796295</v>
      </c>
      <c r="J219" s="180" t="n">
        <f aca="false">H219*$B$19</f>
        <v>112.846956154425</v>
      </c>
      <c r="K219" s="180" t="n">
        <f aca="false">IF($A219=0,0,E219*$B$18/12)</f>
        <v>213.648074660491</v>
      </c>
      <c r="L219" s="180" t="n">
        <f aca="false">MAX(0,H219-I219-J219)</f>
        <v>1169.55115097959</v>
      </c>
      <c r="M219" s="180" t="n">
        <f aca="false">MAX(0,L219*IFERROR(INDEX(TAB_IRPF_ALIQ,MATCH(L219,TAB_IRPF_BASE,1)),0)-IFERROR(INDEX(TAB_IRPF_DED,MATCH(L219,TAB_IRPF_BASE,1)),0))</f>
        <v>0</v>
      </c>
      <c r="N219" s="180" t="n">
        <f aca="false">H219-I219-J219-K219-M219</f>
        <v>955.903076319099</v>
      </c>
      <c r="O219" s="180" t="n">
        <f aca="false">IF(OR($A219=0,$A219&gt;IN_PRAZO,$B$5=0),0,IF(APORTE_CORRIGIDO="Sim",IN_APORTE*$D219,IN_APORTE))</f>
        <v>0</v>
      </c>
      <c r="P219" s="180" t="n">
        <f aca="false">IF($B$25=1,MAX(0,N219),0)</f>
        <v>955.903076319099</v>
      </c>
      <c r="Q219" s="180" t="n">
        <f aca="false">R218*$B$27</f>
        <v>2068.6192720842</v>
      </c>
      <c r="R219" s="180" t="n">
        <f aca="false">R218+Q219+O219+P219</f>
        <v>246579.089807812</v>
      </c>
      <c r="S219" s="180" t="n">
        <f aca="false">S218+O219+P219</f>
        <v>121551.262066752</v>
      </c>
      <c r="T219" s="180" t="n">
        <f aca="false">MAX(0,IFERROR(INDEX(TAB_IR,MATCH($C219,TAB_IR_DIAS,1),MATCH("RF_REGR",TAB_IR_REGIMES,0)),0)*MAX(0,R219-S219))</f>
        <v>18754.1741611591</v>
      </c>
      <c r="U219" s="180" t="n">
        <f aca="false">E219*$B$22</f>
        <v>15382.6613755554</v>
      </c>
      <c r="V219" s="180" t="n">
        <f aca="false">IF($B$23=1,0,MAX(0,ALIQ_GANHO_CAP*MAX(0,E219-U219-$B$30)))</f>
        <v>12861.7542325552</v>
      </c>
      <c r="W219" s="181" t="n">
        <f aca="false">IF($B$5=0,0,E219-U219-V219+R219-T219)</f>
        <v>455958.189631132</v>
      </c>
      <c r="X219" s="180" t="n">
        <f aca="false">W219/$D219</f>
        <v>266769.423475789</v>
      </c>
      <c r="Y219" s="180" t="n">
        <f aca="false">IF($B$25=1,0,MAX(0,N219))</f>
        <v>0</v>
      </c>
      <c r="Z219" s="180" t="n">
        <f aca="false">Z218+O219</f>
        <v>155250</v>
      </c>
    </row>
    <row r="220" customFormat="false" ht="12" hidden="false" customHeight="true" outlineLevel="0" collapsed="false">
      <c r="A220" s="177" t="n">
        <v>165</v>
      </c>
      <c r="B220" s="178" t="n">
        <f aca="false">EDATE(DATA_INICIO,$A220)</f>
        <v>51279</v>
      </c>
      <c r="C220" s="177" t="n">
        <f aca="false">$A220*30</f>
        <v>4950</v>
      </c>
      <c r="D220" s="179" t="n">
        <f aca="false">(1+$B$29)^$A220</f>
        <v>1.71478002289518</v>
      </c>
      <c r="E220" s="180" t="n">
        <f aca="false">$B$6*(1+$B$21)^$A220</f>
        <v>257217.003434277</v>
      </c>
      <c r="F220" s="180" t="n">
        <f aca="false">IF($A220=0,0,$B$13*(1+$B$16)^($A220-1))</f>
        <v>1538.26613755554</v>
      </c>
      <c r="G220" s="180" t="n">
        <f aca="false">F220*$B$14</f>
        <v>123.061291004443</v>
      </c>
      <c r="H220" s="180" t="n">
        <f aca="false">F220-G220</f>
        <v>1415.2048465511</v>
      </c>
      <c r="I220" s="180" t="n">
        <f aca="false">IF($A220=0,0,E220*$B$17/12)</f>
        <v>128.608501717139</v>
      </c>
      <c r="J220" s="180" t="n">
        <f aca="false">H220*$B$19</f>
        <v>113.216387724088</v>
      </c>
      <c r="K220" s="180" t="n">
        <f aca="false">IF($A220=0,0,E220*$B$18/12)</f>
        <v>214.347502861898</v>
      </c>
      <c r="L220" s="180" t="n">
        <f aca="false">MAX(0,H220-I220-J220)</f>
        <v>1173.37995710987</v>
      </c>
      <c r="M220" s="180" t="n">
        <f aca="false">MAX(0,L220*IFERROR(INDEX(TAB_IRPF_ALIQ,MATCH(L220,TAB_IRPF_BASE,1)),0)-IFERROR(INDEX(TAB_IRPF_DED,MATCH(L220,TAB_IRPF_BASE,1)),0))</f>
        <v>0</v>
      </c>
      <c r="N220" s="180" t="n">
        <f aca="false">H220-I220-J220-K220-M220</f>
        <v>959.032454247972</v>
      </c>
      <c r="O220" s="180" t="n">
        <f aca="false">IF(OR($A220=0,$A220&gt;IN_PRAZO,$B$5=0),0,IF(APORTE_CORRIGIDO="Sim",IN_APORTE*$D220,IN_APORTE))</f>
        <v>0</v>
      </c>
      <c r="P220" s="180" t="n">
        <f aca="false">IF($B$25=1,MAX(0,N220),0)</f>
        <v>959.032454247972</v>
      </c>
      <c r="Q220" s="180" t="n">
        <f aca="false">R219*$B$27</f>
        <v>2094.30791050318</v>
      </c>
      <c r="R220" s="180" t="n">
        <f aca="false">R219+Q220+O220+P220</f>
        <v>249632.430172563</v>
      </c>
      <c r="S220" s="180" t="n">
        <f aca="false">S219+O220+P220</f>
        <v>122510.294521</v>
      </c>
      <c r="T220" s="180" t="n">
        <f aca="false">MAX(0,IFERROR(INDEX(TAB_IR,MATCH($C220,TAB_IR_DIAS,1),MATCH("RF_REGR",TAB_IR_REGIMES,0)),0)*MAX(0,R220-S220))</f>
        <v>19068.3203477345</v>
      </c>
      <c r="U220" s="180" t="n">
        <f aca="false">E220*$B$22</f>
        <v>15433.0202060566</v>
      </c>
      <c r="V220" s="180" t="n">
        <f aca="false">IF($B$23=1,0,MAX(0,ALIQ_GANHO_CAP*MAX(0,E220-U220-$B$30)))</f>
        <v>12980.0974842331</v>
      </c>
      <c r="W220" s="181" t="n">
        <f aca="false">IF($B$5=0,0,E220-U220-V220+R220-T220)</f>
        <v>459367.995568816</v>
      </c>
      <c r="X220" s="180" t="n">
        <f aca="false">W220/$D220</f>
        <v>267887.419631373</v>
      </c>
      <c r="Y220" s="180" t="n">
        <f aca="false">IF($B$25=1,0,MAX(0,N220))</f>
        <v>0</v>
      </c>
      <c r="Z220" s="180" t="n">
        <f aca="false">Z219+O220</f>
        <v>155250</v>
      </c>
    </row>
    <row r="221" customFormat="false" ht="12" hidden="false" customHeight="true" outlineLevel="0" collapsed="false">
      <c r="A221" s="177" t="n">
        <v>166</v>
      </c>
      <c r="B221" s="178" t="n">
        <f aca="false">EDATE(DATA_INICIO,$A221)</f>
        <v>51310</v>
      </c>
      <c r="C221" s="177" t="n">
        <f aca="false">$A221*30</f>
        <v>4980</v>
      </c>
      <c r="D221" s="179" t="n">
        <f aca="false">(1+$B$29)^$A221</f>
        <v>1.72039376647385</v>
      </c>
      <c r="E221" s="180" t="n">
        <f aca="false">$B$6*(1+$B$21)^$A221</f>
        <v>258059.064971078</v>
      </c>
      <c r="F221" s="180" t="n">
        <f aca="false">IF($A221=0,0,$B$13*(1+$B$16)^($A221-1))</f>
        <v>1543.30202060566</v>
      </c>
      <c r="G221" s="180" t="n">
        <f aca="false">F221*$B$14</f>
        <v>123.464161648453</v>
      </c>
      <c r="H221" s="180" t="n">
        <f aca="false">F221-G221</f>
        <v>1419.83785895721</v>
      </c>
      <c r="I221" s="180" t="n">
        <f aca="false">IF($A221=0,0,E221*$B$17/12)</f>
        <v>129.029532485539</v>
      </c>
      <c r="J221" s="180" t="n">
        <f aca="false">H221*$B$19</f>
        <v>113.587028716577</v>
      </c>
      <c r="K221" s="180" t="n">
        <f aca="false">IF($A221=0,0,E221*$B$18/12)</f>
        <v>215.049220809232</v>
      </c>
      <c r="L221" s="180" t="n">
        <f aca="false">MAX(0,H221-I221-J221)</f>
        <v>1177.22129775509</v>
      </c>
      <c r="M221" s="180" t="n">
        <f aca="false">MAX(0,L221*IFERROR(INDEX(TAB_IRPF_ALIQ,MATCH(L221,TAB_IRPF_BASE,1)),0)-IFERROR(INDEX(TAB_IRPF_DED,MATCH(L221,TAB_IRPF_BASE,1)),0))</f>
        <v>0</v>
      </c>
      <c r="N221" s="180" t="n">
        <f aca="false">H221-I221-J221-K221-M221</f>
        <v>962.172076945863</v>
      </c>
      <c r="O221" s="180" t="n">
        <f aca="false">IF(OR($A221=0,$A221&gt;IN_PRAZO,$B$5=0),0,IF(APORTE_CORRIGIDO="Sim",IN_APORTE*$D221,IN_APORTE))</f>
        <v>0</v>
      </c>
      <c r="P221" s="180" t="n">
        <f aca="false">IF($B$25=1,MAX(0,N221),0)</f>
        <v>962.172076945863</v>
      </c>
      <c r="Q221" s="180" t="n">
        <f aca="false">R220*$B$27</f>
        <v>2120.24131338962</v>
      </c>
      <c r="R221" s="180" t="n">
        <f aca="false">R220+Q221+O221+P221</f>
        <v>252714.843562899</v>
      </c>
      <c r="S221" s="180" t="n">
        <f aca="false">S220+O221+P221</f>
        <v>123472.466597946</v>
      </c>
      <c r="T221" s="180" t="n">
        <f aca="false">MAX(0,IFERROR(INDEX(TAB_IR,MATCH($C221,TAB_IR_DIAS,1),MATCH("RF_REGR",TAB_IR_REGIMES,0)),0)*MAX(0,R221-S221))</f>
        <v>19386.356544743</v>
      </c>
      <c r="U221" s="180" t="n">
        <f aca="false">E221*$B$22</f>
        <v>15483.5438982647</v>
      </c>
      <c r="V221" s="180" t="n">
        <f aca="false">IF($B$23=1,0,MAX(0,ALIQ_GANHO_CAP*MAX(0,E221-U221-$B$30)))</f>
        <v>13098.828160922</v>
      </c>
      <c r="W221" s="181" t="n">
        <f aca="false">IF($B$5=0,0,E221-U221-V221+R221-T221)</f>
        <v>462805.179930047</v>
      </c>
      <c r="X221" s="180" t="n">
        <f aca="false">W221/$D221</f>
        <v>269011.19322155</v>
      </c>
      <c r="Y221" s="180" t="n">
        <f aca="false">IF($B$25=1,0,MAX(0,N221))</f>
        <v>0</v>
      </c>
      <c r="Z221" s="180" t="n">
        <f aca="false">Z220+O221</f>
        <v>155250</v>
      </c>
    </row>
    <row r="222" customFormat="false" ht="12" hidden="false" customHeight="true" outlineLevel="0" collapsed="false">
      <c r="A222" s="177" t="n">
        <v>167</v>
      </c>
      <c r="B222" s="178" t="n">
        <f aca="false">EDATE(DATA_INICIO,$A222)</f>
        <v>51340</v>
      </c>
      <c r="C222" s="177" t="n">
        <f aca="false">$A222*30</f>
        <v>5010</v>
      </c>
      <c r="D222" s="179" t="n">
        <f aca="false">(1+$B$29)^$A222</f>
        <v>1.72602588798821</v>
      </c>
      <c r="E222" s="180" t="n">
        <f aca="false">$B$6*(1+$B$21)^$A222</f>
        <v>258903.883198231</v>
      </c>
      <c r="F222" s="180" t="n">
        <f aca="false">IF($A222=0,0,$B$13*(1+$B$16)^($A222-1))</f>
        <v>1548.35438982647</v>
      </c>
      <c r="G222" s="180" t="n">
        <f aca="false">F222*$B$14</f>
        <v>123.868351186117</v>
      </c>
      <c r="H222" s="180" t="n">
        <f aca="false">F222-G222</f>
        <v>1424.48603864035</v>
      </c>
      <c r="I222" s="180" t="n">
        <f aca="false">IF($A222=0,0,E222*$B$17/12)</f>
        <v>129.451941599115</v>
      </c>
      <c r="J222" s="180" t="n">
        <f aca="false">H222*$B$19</f>
        <v>113.958883091228</v>
      </c>
      <c r="K222" s="180" t="n">
        <f aca="false">IF($A222=0,0,E222*$B$18/12)</f>
        <v>215.753235998526</v>
      </c>
      <c r="L222" s="180" t="n">
        <f aca="false">MAX(0,H222-I222-J222)</f>
        <v>1181.07521395001</v>
      </c>
      <c r="M222" s="180" t="n">
        <f aca="false">MAX(0,L222*IFERROR(INDEX(TAB_IRPF_ALIQ,MATCH(L222,TAB_IRPF_BASE,1)),0)-IFERROR(INDEX(TAB_IRPF_DED,MATCH(L222,TAB_IRPF_BASE,1)),0))</f>
        <v>0</v>
      </c>
      <c r="N222" s="180" t="n">
        <f aca="false">H222-I222-J222-K222-M222</f>
        <v>965.321977951482</v>
      </c>
      <c r="O222" s="180" t="n">
        <f aca="false">IF(OR($A222=0,$A222&gt;IN_PRAZO,$B$5=0),0,IF(APORTE_CORRIGIDO="Sim",IN_APORTE*$D222,IN_APORTE))</f>
        <v>0</v>
      </c>
      <c r="P222" s="180" t="n">
        <f aca="false">IF($B$25=1,MAX(0,N222),0)</f>
        <v>965.321977951482</v>
      </c>
      <c r="Q222" s="180" t="n">
        <f aca="false">R221*$B$27</f>
        <v>2146.42164665248</v>
      </c>
      <c r="R222" s="180" t="n">
        <f aca="false">R221+Q222+O222+P222</f>
        <v>255826.587187503</v>
      </c>
      <c r="S222" s="180" t="n">
        <f aca="false">S221+O222+P222</f>
        <v>124437.788575897</v>
      </c>
      <c r="T222" s="180" t="n">
        <f aca="false">MAX(0,IFERROR(INDEX(TAB_IR,MATCH($C222,TAB_IR_DIAS,1),MATCH("RF_REGR",TAB_IR_REGIMES,0)),0)*MAX(0,R222-S222))</f>
        <v>19708.3197917409</v>
      </c>
      <c r="U222" s="180" t="n">
        <f aca="false">E222*$B$22</f>
        <v>15534.2329918939</v>
      </c>
      <c r="V222" s="180" t="n">
        <f aca="false">IF($B$23=1,0,MAX(0,ALIQ_GANHO_CAP*MAX(0,E222-U222-$B$30)))</f>
        <v>13217.9475309506</v>
      </c>
      <c r="W222" s="181" t="n">
        <f aca="false">IF($B$5=0,0,E222-U222-V222+R222-T222)</f>
        <v>466269.970071148</v>
      </c>
      <c r="X222" s="180" t="n">
        <f aca="false">W222/$D222</f>
        <v>270140.774432194</v>
      </c>
      <c r="Y222" s="180" t="n">
        <f aca="false">IF($B$25=1,0,MAX(0,N222))</f>
        <v>0</v>
      </c>
      <c r="Z222" s="180" t="n">
        <f aca="false">Z221+O222</f>
        <v>155250</v>
      </c>
    </row>
    <row r="223" customFormat="false" ht="12" hidden="false" customHeight="true" outlineLevel="0" collapsed="false">
      <c r="A223" s="177" t="n">
        <v>168</v>
      </c>
      <c r="B223" s="178" t="n">
        <f aca="false">EDATE(DATA_INICIO,$A223)</f>
        <v>51371</v>
      </c>
      <c r="C223" s="177" t="n">
        <f aca="false">$A223*30</f>
        <v>5040</v>
      </c>
      <c r="D223" s="179" t="n">
        <f aca="false">(1+$B$29)^$A223</f>
        <v>1.73167644760282</v>
      </c>
      <c r="E223" s="180" t="n">
        <f aca="false">$B$6*(1+$B$21)^$A223</f>
        <v>259751.467140423</v>
      </c>
      <c r="F223" s="180" t="n">
        <f aca="false">IF($A223=0,0,$B$13*(1+$B$16)^($A223-1))</f>
        <v>1553.42329918939</v>
      </c>
      <c r="G223" s="180" t="n">
        <f aca="false">F223*$B$14</f>
        <v>124.273863935151</v>
      </c>
      <c r="H223" s="180" t="n">
        <f aca="false">F223-G223</f>
        <v>1429.14943525423</v>
      </c>
      <c r="I223" s="180" t="n">
        <f aca="false">IF($A223=0,0,E223*$B$17/12)</f>
        <v>129.875733570211</v>
      </c>
      <c r="J223" s="180" t="n">
        <f aca="false">H223*$B$19</f>
        <v>114.331954820339</v>
      </c>
      <c r="K223" s="180" t="n">
        <f aca="false">IF($A223=0,0,E223*$B$18/12)</f>
        <v>216.459555950352</v>
      </c>
      <c r="L223" s="180" t="n">
        <f aca="false">MAX(0,H223-I223-J223)</f>
        <v>1184.94174686368</v>
      </c>
      <c r="M223" s="180" t="n">
        <f aca="false">MAX(0,L223*IFERROR(INDEX(TAB_IRPF_ALIQ,MATCH(L223,TAB_IRPF_BASE,1)),0)-IFERROR(INDEX(TAB_IRPF_DED,MATCH(L223,TAB_IRPF_BASE,1)),0))</f>
        <v>0</v>
      </c>
      <c r="N223" s="180" t="n">
        <f aca="false">H223-I223-J223-K223-M223</f>
        <v>968.482190913332</v>
      </c>
      <c r="O223" s="180" t="n">
        <f aca="false">IF(OR($A223=0,$A223&gt;IN_PRAZO,$B$5=0),0,IF(APORTE_CORRIGIDO="Sim",IN_APORTE*$D223,IN_APORTE))</f>
        <v>0</v>
      </c>
      <c r="P223" s="180" t="n">
        <f aca="false">IF($B$25=1,MAX(0,N223),0)</f>
        <v>968.482190913332</v>
      </c>
      <c r="Q223" s="180" t="n">
        <f aca="false">R222*$B$27</f>
        <v>2172.85109488162</v>
      </c>
      <c r="R223" s="180" t="n">
        <f aca="false">R222+Q223+O223+P223</f>
        <v>258967.920473298</v>
      </c>
      <c r="S223" s="180" t="n">
        <f aca="false">S222+O223+P223</f>
        <v>125406.27076681</v>
      </c>
      <c r="T223" s="180" t="n">
        <f aca="false">MAX(0,IFERROR(INDEX(TAB_IR,MATCH($C223,TAB_IR_DIAS,1),MATCH("RF_REGR",TAB_IR_REGIMES,0)),0)*MAX(0,R223-S223))</f>
        <v>20034.2474559731</v>
      </c>
      <c r="U223" s="180" t="n">
        <f aca="false">E223*$B$22</f>
        <v>15585.0880284254</v>
      </c>
      <c r="V223" s="180" t="n">
        <f aca="false">IF($B$23=1,0,MAX(0,ALIQ_GANHO_CAP*MAX(0,E223-U223-$B$30)))</f>
        <v>13337.4568667996</v>
      </c>
      <c r="W223" s="181" t="n">
        <f aca="false">IF($B$5=0,0,E223-U223-V223+R223-T223)</f>
        <v>469762.595262522</v>
      </c>
      <c r="X223" s="180" t="n">
        <f aca="false">W223/$D223</f>
        <v>271276.193605809</v>
      </c>
      <c r="Y223" s="180" t="n">
        <f aca="false">IF($B$25=1,0,MAX(0,N223))</f>
        <v>0</v>
      </c>
      <c r="Z223" s="180" t="n">
        <f aca="false">Z222+O223</f>
        <v>155250</v>
      </c>
    </row>
    <row r="224" customFormat="false" ht="12" hidden="false" customHeight="true" outlineLevel="0" collapsed="false">
      <c r="A224" s="177" t="n">
        <v>169</v>
      </c>
      <c r="B224" s="178" t="n">
        <f aca="false">EDATE(DATA_INICIO,$A224)</f>
        <v>51402</v>
      </c>
      <c r="C224" s="177" t="n">
        <f aca="false">$A224*30</f>
        <v>5070</v>
      </c>
      <c r="D224" s="179" t="n">
        <f aca="false">(1+$B$29)^$A224</f>
        <v>1.73734550567923</v>
      </c>
      <c r="E224" s="180" t="n">
        <f aca="false">$B$6*(1+$B$21)^$A224</f>
        <v>260601.825851885</v>
      </c>
      <c r="F224" s="180" t="n">
        <f aca="false">IF($A224=0,0,$B$13*(1+$B$16)^($A224-1))</f>
        <v>1558.50880284254</v>
      </c>
      <c r="G224" s="180" t="n">
        <f aca="false">F224*$B$14</f>
        <v>124.680704227403</v>
      </c>
      <c r="H224" s="180" t="n">
        <f aca="false">F224-G224</f>
        <v>1433.82809861513</v>
      </c>
      <c r="I224" s="180" t="n">
        <f aca="false">IF($A224=0,0,E224*$B$17/12)</f>
        <v>130.300912925942</v>
      </c>
      <c r="J224" s="180" t="n">
        <f aca="false">H224*$B$19</f>
        <v>114.706247889211</v>
      </c>
      <c r="K224" s="180" t="n">
        <f aca="false">IF($A224=0,0,E224*$B$18/12)</f>
        <v>217.168188209904</v>
      </c>
      <c r="L224" s="180" t="n">
        <f aca="false">MAX(0,H224-I224-J224)</f>
        <v>1188.82093779998</v>
      </c>
      <c r="M224" s="180" t="n">
        <f aca="false">MAX(0,L224*IFERROR(INDEX(TAB_IRPF_ALIQ,MATCH(L224,TAB_IRPF_BASE,1)),0)-IFERROR(INDEX(TAB_IRPF_DED,MATCH(L224,TAB_IRPF_BASE,1)),0))</f>
        <v>0</v>
      </c>
      <c r="N224" s="180" t="n">
        <f aca="false">H224-I224-J224-K224-M224</f>
        <v>971.652749590076</v>
      </c>
      <c r="O224" s="180" t="n">
        <f aca="false">IF(OR($A224=0,$A224&gt;IN_PRAZO,$B$5=0),0,IF(APORTE_CORRIGIDO="Sim",IN_APORTE*$D224,IN_APORTE))</f>
        <v>0</v>
      </c>
      <c r="P224" s="180" t="n">
        <f aca="false">IF($B$25=1,MAX(0,N224),0)</f>
        <v>971.652749590076</v>
      </c>
      <c r="Q224" s="180" t="n">
        <f aca="false">R223*$B$27</f>
        <v>2199.53186150743</v>
      </c>
      <c r="R224" s="180" t="n">
        <f aca="false">R223+Q224+O224+P224</f>
        <v>262139.105084395</v>
      </c>
      <c r="S224" s="180" t="n">
        <f aca="false">S223+O224+P224</f>
        <v>126377.923516401</v>
      </c>
      <c r="T224" s="180" t="n">
        <f aca="false">MAX(0,IFERROR(INDEX(TAB_IR,MATCH($C224,TAB_IR_DIAS,1),MATCH("RF_REGR",TAB_IR_REGIMES,0)),0)*MAX(0,R224-S224))</f>
        <v>20364.1772351992</v>
      </c>
      <c r="U224" s="180" t="n">
        <f aca="false">E224*$B$22</f>
        <v>15636.1095511131</v>
      </c>
      <c r="V224" s="180" t="n">
        <f aca="false">IF($B$23=1,0,MAX(0,ALIQ_GANHO_CAP*MAX(0,E224-U224-$B$30)))</f>
        <v>13457.3574451158</v>
      </c>
      <c r="W224" s="181" t="n">
        <f aca="false">IF($B$5=0,0,E224-U224-V224+R224-T224)</f>
        <v>473283.286704852</v>
      </c>
      <c r="X224" s="180" t="n">
        <f aca="false">W224/$D224</f>
        <v>272417.481242349</v>
      </c>
      <c r="Y224" s="180" t="n">
        <f aca="false">IF($B$25=1,0,MAX(0,N224))</f>
        <v>0</v>
      </c>
      <c r="Z224" s="180" t="n">
        <f aca="false">Z223+O224</f>
        <v>155250</v>
      </c>
    </row>
    <row r="225" customFormat="false" ht="12" hidden="false" customHeight="true" outlineLevel="0" collapsed="false">
      <c r="A225" s="177" t="n">
        <v>170</v>
      </c>
      <c r="B225" s="178" t="n">
        <f aca="false">EDATE(DATA_INICIO,$A225)</f>
        <v>51432</v>
      </c>
      <c r="C225" s="177" t="n">
        <f aca="false">$A225*30</f>
        <v>5100</v>
      </c>
      <c r="D225" s="179" t="n">
        <f aca="false">(1+$B$29)^$A225</f>
        <v>1.7430331227766</v>
      </c>
      <c r="E225" s="180" t="n">
        <f aca="false">$B$6*(1+$B$21)^$A225</f>
        <v>261454.96841649</v>
      </c>
      <c r="F225" s="180" t="n">
        <f aca="false">IF($A225=0,0,$B$13*(1+$B$16)^($A225-1))</f>
        <v>1563.61095511131</v>
      </c>
      <c r="G225" s="180" t="n">
        <f aca="false">F225*$B$14</f>
        <v>125.088876408905</v>
      </c>
      <c r="H225" s="180" t="n">
        <f aca="false">F225-G225</f>
        <v>1438.5220787024</v>
      </c>
      <c r="I225" s="180" t="n">
        <f aca="false">IF($A225=0,0,E225*$B$17/12)</f>
        <v>130.727484208245</v>
      </c>
      <c r="J225" s="180" t="n">
        <f aca="false">H225*$B$19</f>
        <v>115.081766296192</v>
      </c>
      <c r="K225" s="180" t="n">
        <f aca="false">IF($A225=0,0,E225*$B$18/12)</f>
        <v>217.879140347075</v>
      </c>
      <c r="L225" s="180" t="n">
        <f aca="false">MAX(0,H225-I225-J225)</f>
        <v>1192.71282819797</v>
      </c>
      <c r="M225" s="180" t="n">
        <f aca="false">MAX(0,L225*IFERROR(INDEX(TAB_IRPF_ALIQ,MATCH(L225,TAB_IRPF_BASE,1)),0)-IFERROR(INDEX(TAB_IRPF_DED,MATCH(L225,TAB_IRPF_BASE,1)),0))</f>
        <v>0</v>
      </c>
      <c r="N225" s="180" t="n">
        <f aca="false">H225-I225-J225-K225-M225</f>
        <v>974.833687850892</v>
      </c>
      <c r="O225" s="180" t="n">
        <f aca="false">IF(OR($A225=0,$A225&gt;IN_PRAZO,$B$5=0),0,IF(APORTE_CORRIGIDO="Sim",IN_APORTE*$D225,IN_APORTE))</f>
        <v>0</v>
      </c>
      <c r="P225" s="180" t="n">
        <f aca="false">IF($B$25=1,MAX(0,N225),0)</f>
        <v>974.833687850892</v>
      </c>
      <c r="Q225" s="180" t="n">
        <f aca="false">R224*$B$27</f>
        <v>2226.46616896174</v>
      </c>
      <c r="R225" s="180" t="n">
        <f aca="false">R224+Q225+O225+P225</f>
        <v>265340.404941208</v>
      </c>
      <c r="S225" s="180" t="n">
        <f aca="false">S224+O225+P225</f>
        <v>127352.757204251</v>
      </c>
      <c r="T225" s="180" t="n">
        <f aca="false">MAX(0,IFERROR(INDEX(TAB_IR,MATCH($C225,TAB_IR_DIAS,1),MATCH("RF_REGR",TAB_IR_REGIMES,0)),0)*MAX(0,R225-S225))</f>
        <v>20698.1471605435</v>
      </c>
      <c r="U225" s="180" t="n">
        <f aca="false">E225*$B$22</f>
        <v>15687.2981049894</v>
      </c>
      <c r="V225" s="180" t="n">
        <f aca="false">IF($B$23=1,0,MAX(0,ALIQ_GANHO_CAP*MAX(0,E225-U225-$B$30)))</f>
        <v>13577.6505467251</v>
      </c>
      <c r="W225" s="181" t="n">
        <f aca="false">IF($B$5=0,0,E225-U225-V225+R225-T225)</f>
        <v>476832.27754544</v>
      </c>
      <c r="X225" s="180" t="n">
        <f aca="false">W225/$D225</f>
        <v>273564.668000032</v>
      </c>
      <c r="Y225" s="180" t="n">
        <f aca="false">IF($B$25=1,0,MAX(0,N225))</f>
        <v>0</v>
      </c>
      <c r="Z225" s="180" t="n">
        <f aca="false">Z224+O225</f>
        <v>155250</v>
      </c>
    </row>
    <row r="226" customFormat="false" ht="12" hidden="false" customHeight="true" outlineLevel="0" collapsed="false">
      <c r="A226" s="177" t="n">
        <v>171</v>
      </c>
      <c r="B226" s="178" t="n">
        <f aca="false">EDATE(DATA_INICIO,$A226)</f>
        <v>51463</v>
      </c>
      <c r="C226" s="177" t="n">
        <f aca="false">$A226*30</f>
        <v>5130</v>
      </c>
      <c r="D226" s="179" t="n">
        <f aca="false">(1+$B$29)^$A226</f>
        <v>1.74873935965232</v>
      </c>
      <c r="E226" s="180" t="n">
        <f aca="false">$B$6*(1+$B$21)^$A226</f>
        <v>262310.903947849</v>
      </c>
      <c r="F226" s="180" t="n">
        <f aca="false">IF($A226=0,0,$B$13*(1+$B$16)^($A226-1))</f>
        <v>1568.72981049894</v>
      </c>
      <c r="G226" s="180" t="n">
        <f aca="false">F226*$B$14</f>
        <v>125.498384839915</v>
      </c>
      <c r="H226" s="180" t="n">
        <f aca="false">F226-G226</f>
        <v>1443.23142565902</v>
      </c>
      <c r="I226" s="180" t="n">
        <f aca="false">IF($A226=0,0,E226*$B$17/12)</f>
        <v>131.155451973924</v>
      </c>
      <c r="J226" s="180" t="n">
        <f aca="false">H226*$B$19</f>
        <v>115.458514052722</v>
      </c>
      <c r="K226" s="180" t="n">
        <f aca="false">IF($A226=0,0,E226*$B$18/12)</f>
        <v>218.59241995654</v>
      </c>
      <c r="L226" s="180" t="n">
        <f aca="false">MAX(0,H226-I226-J226)</f>
        <v>1196.61745963238</v>
      </c>
      <c r="M226" s="180" t="n">
        <f aca="false">MAX(0,L226*IFERROR(INDEX(TAB_IRPF_ALIQ,MATCH(L226,TAB_IRPF_BASE,1)),0)-IFERROR(INDEX(TAB_IRPF_DED,MATCH(L226,TAB_IRPF_BASE,1)),0))</f>
        <v>0</v>
      </c>
      <c r="N226" s="180" t="n">
        <f aca="false">H226-I226-J226-K226-M226</f>
        <v>978.025039675837</v>
      </c>
      <c r="O226" s="180" t="n">
        <f aca="false">IF(OR($A226=0,$A226&gt;IN_PRAZO,$B$5=0),0,IF(APORTE_CORRIGIDO="Sim",IN_APORTE*$D226,IN_APORTE))</f>
        <v>0</v>
      </c>
      <c r="P226" s="180" t="n">
        <f aca="false">IF($B$25=1,MAX(0,N226),0)</f>
        <v>978.025039675837</v>
      </c>
      <c r="Q226" s="180" t="n">
        <f aca="false">R225*$B$27</f>
        <v>2253.65625884017</v>
      </c>
      <c r="R226" s="180" t="n">
        <f aca="false">R225+Q226+O226+P226</f>
        <v>268572.086239724</v>
      </c>
      <c r="S226" s="180" t="n">
        <f aca="false">S225+O226+P226</f>
        <v>128330.782243927</v>
      </c>
      <c r="T226" s="180" t="n">
        <f aca="false">MAX(0,IFERROR(INDEX(TAB_IR,MATCH($C226,TAB_IR_DIAS,1),MATCH("RF_REGR",TAB_IR_REGIMES,0)),0)*MAX(0,R226-S226))</f>
        <v>21036.1955993695</v>
      </c>
      <c r="U226" s="180" t="n">
        <f aca="false">E226*$B$22</f>
        <v>15738.6542368709</v>
      </c>
      <c r="V226" s="180" t="n">
        <f aca="false">IF($B$23=1,0,MAX(0,ALIQ_GANHO_CAP*MAX(0,E226-U226-$B$30)))</f>
        <v>13698.3374566466</v>
      </c>
      <c r="W226" s="181" t="n">
        <f aca="false">IF($B$5=0,0,E226-U226-V226+R226-T226)</f>
        <v>480409.802894685</v>
      </c>
      <c r="X226" s="180" t="n">
        <f aca="false">W226/$D226</f>
        <v>274717.78469617</v>
      </c>
      <c r="Y226" s="180" t="n">
        <f aca="false">IF($B$25=1,0,MAX(0,N226))</f>
        <v>0</v>
      </c>
      <c r="Z226" s="180" t="n">
        <f aca="false">Z225+O226</f>
        <v>155250</v>
      </c>
    </row>
    <row r="227" customFormat="false" ht="12" hidden="false" customHeight="true" outlineLevel="0" collapsed="false">
      <c r="A227" s="177" t="n">
        <v>172</v>
      </c>
      <c r="B227" s="178" t="n">
        <f aca="false">EDATE(DATA_INICIO,$A227)</f>
        <v>51493</v>
      </c>
      <c r="C227" s="177" t="n">
        <f aca="false">$A227*30</f>
        <v>5160</v>
      </c>
      <c r="D227" s="179" t="n">
        <f aca="false">(1+$B$29)^$A227</f>
        <v>1.75446427726271</v>
      </c>
      <c r="E227" s="180" t="n">
        <f aca="false">$B$6*(1+$B$21)^$A227</f>
        <v>263169.641589407</v>
      </c>
      <c r="F227" s="180" t="n">
        <f aca="false">IF($A227=0,0,$B$13*(1+$B$16)^($A227-1))</f>
        <v>1573.86542368709</v>
      </c>
      <c r="G227" s="180" t="n">
        <f aca="false">F227*$B$14</f>
        <v>125.909233894967</v>
      </c>
      <c r="H227" s="180" t="n">
        <f aca="false">F227-G227</f>
        <v>1447.95618979212</v>
      </c>
      <c r="I227" s="180" t="n">
        <f aca="false">IF($A227=0,0,E227*$B$17/12)</f>
        <v>131.584820794704</v>
      </c>
      <c r="J227" s="180" t="n">
        <f aca="false">H227*$B$19</f>
        <v>115.83649518337</v>
      </c>
      <c r="K227" s="180" t="n">
        <f aca="false">IF($A227=0,0,E227*$B$18/12)</f>
        <v>219.308034657839</v>
      </c>
      <c r="L227" s="180" t="n">
        <f aca="false">MAX(0,H227-I227-J227)</f>
        <v>1200.53487381405</v>
      </c>
      <c r="M227" s="180" t="n">
        <f aca="false">MAX(0,L227*IFERROR(INDEX(TAB_IRPF_ALIQ,MATCH(L227,TAB_IRPF_BASE,1)),0)-IFERROR(INDEX(TAB_IRPF_DED,MATCH(L227,TAB_IRPF_BASE,1)),0))</f>
        <v>0</v>
      </c>
      <c r="N227" s="180" t="n">
        <f aca="false">H227-I227-J227-K227-M227</f>
        <v>981.226839156211</v>
      </c>
      <c r="O227" s="180" t="n">
        <f aca="false">IF(OR($A227=0,$A227&gt;IN_PRAZO,$B$5=0),0,IF(APORTE_CORRIGIDO="Sim",IN_APORTE*$D227,IN_APORTE))</f>
        <v>0</v>
      </c>
      <c r="P227" s="180" t="n">
        <f aca="false">IF($B$25=1,MAX(0,N227),0)</f>
        <v>981.226839156211</v>
      </c>
      <c r="Q227" s="180" t="n">
        <f aca="false">R226*$B$27</f>
        <v>2281.10439206583</v>
      </c>
      <c r="R227" s="180" t="n">
        <f aca="false">R226+Q227+O227+P227</f>
        <v>271834.417470946</v>
      </c>
      <c r="S227" s="180" t="n">
        <f aca="false">S226+O227+P227</f>
        <v>129312.009083083</v>
      </c>
      <c r="T227" s="180" t="n">
        <f aca="false">MAX(0,IFERROR(INDEX(TAB_IR,MATCH($C227,TAB_IR_DIAS,1),MATCH("RF_REGR",TAB_IR_REGIMES,0)),0)*MAX(0,R227-S227))</f>
        <v>21378.3612581794</v>
      </c>
      <c r="U227" s="180" t="n">
        <f aca="false">E227*$B$22</f>
        <v>15790.1784953644</v>
      </c>
      <c r="V227" s="180" t="n">
        <f aca="false">IF($B$23=1,0,MAX(0,ALIQ_GANHO_CAP*MAX(0,E227-U227-$B$30)))</f>
        <v>13819.4194641064</v>
      </c>
      <c r="W227" s="181" t="n">
        <f aca="false">IF($B$5=0,0,E227-U227-V227+R227-T227)</f>
        <v>484016.099842703</v>
      </c>
      <c r="X227" s="180" t="n">
        <f aca="false">W227/$D227</f>
        <v>275876.862307996</v>
      </c>
      <c r="Y227" s="180" t="n">
        <f aca="false">IF($B$25=1,0,MAX(0,N227))</f>
        <v>0</v>
      </c>
      <c r="Z227" s="180" t="n">
        <f aca="false">Z226+O227</f>
        <v>155250</v>
      </c>
    </row>
    <row r="228" customFormat="false" ht="12" hidden="false" customHeight="true" outlineLevel="0" collapsed="false">
      <c r="A228" s="177" t="n">
        <v>173</v>
      </c>
      <c r="B228" s="178" t="n">
        <f aca="false">EDATE(DATA_INICIO,$A228)</f>
        <v>51524</v>
      </c>
      <c r="C228" s="177" t="n">
        <f aca="false">$A228*30</f>
        <v>5190</v>
      </c>
      <c r="D228" s="179" t="n">
        <f aca="false">(1+$B$29)^$A228</f>
        <v>1.76020793676364</v>
      </c>
      <c r="E228" s="180" t="n">
        <f aca="false">$B$6*(1+$B$21)^$A228</f>
        <v>264031.190514545</v>
      </c>
      <c r="F228" s="180" t="n">
        <f aca="false">IF($A228=0,0,$B$13*(1+$B$16)^($A228-1))</f>
        <v>1579.01784953644</v>
      </c>
      <c r="G228" s="180" t="n">
        <f aca="false">F228*$B$14</f>
        <v>126.321427962915</v>
      </c>
      <c r="H228" s="180" t="n">
        <f aca="false">F228-G228</f>
        <v>1452.69642157353</v>
      </c>
      <c r="I228" s="180" t="n">
        <f aca="false">IF($A228=0,0,E228*$B$17/12)</f>
        <v>132.015595257273</v>
      </c>
      <c r="J228" s="180" t="n">
        <f aca="false">H228*$B$19</f>
        <v>116.215713725882</v>
      </c>
      <c r="K228" s="180" t="n">
        <f aca="false">IF($A228=0,0,E228*$B$18/12)</f>
        <v>220.025992095454</v>
      </c>
      <c r="L228" s="180" t="n">
        <f aca="false">MAX(0,H228-I228-J228)</f>
        <v>1204.46511259037</v>
      </c>
      <c r="M228" s="180" t="n">
        <f aca="false">MAX(0,L228*IFERROR(INDEX(TAB_IRPF_ALIQ,MATCH(L228,TAB_IRPF_BASE,1)),0)-IFERROR(INDEX(TAB_IRPF_DED,MATCH(L228,TAB_IRPF_BASE,1)),0))</f>
        <v>0</v>
      </c>
      <c r="N228" s="180" t="n">
        <f aca="false">H228-I228-J228-K228-M228</f>
        <v>984.439120494918</v>
      </c>
      <c r="O228" s="180" t="n">
        <f aca="false">IF(OR($A228=0,$A228&gt;IN_PRAZO,$B$5=0),0,IF(APORTE_CORRIGIDO="Sim",IN_APORTE*$D228,IN_APORTE))</f>
        <v>0</v>
      </c>
      <c r="P228" s="180" t="n">
        <f aca="false">IF($B$25=1,MAX(0,N228),0)</f>
        <v>984.439120494918</v>
      </c>
      <c r="Q228" s="180" t="n">
        <f aca="false">R227*$B$27</f>
        <v>2308.81284905444</v>
      </c>
      <c r="R228" s="180" t="n">
        <f aca="false">R227+Q228+O228+P228</f>
        <v>275127.669440495</v>
      </c>
      <c r="S228" s="180" t="n">
        <f aca="false">S227+O228+P228</f>
        <v>130296.448203578</v>
      </c>
      <c r="T228" s="180" t="n">
        <f aca="false">MAX(0,IFERROR(INDEX(TAB_IR,MATCH($C228,TAB_IR_DIAS,1),MATCH("RF_REGR",TAB_IR_REGIMES,0)),0)*MAX(0,R228-S228))</f>
        <v>21724.6831855376</v>
      </c>
      <c r="U228" s="180" t="n">
        <f aca="false">E228*$B$22</f>
        <v>15841.8714308727</v>
      </c>
      <c r="V228" s="180" t="n">
        <f aca="false">IF($B$23=1,0,MAX(0,ALIQ_GANHO_CAP*MAX(0,E228-U228-$B$30)))</f>
        <v>13940.8978625509</v>
      </c>
      <c r="W228" s="181" t="n">
        <f aca="false">IF($B$5=0,0,E228-U228-V228+R228-T228)</f>
        <v>487651.40747608</v>
      </c>
      <c r="X228" s="180" t="n">
        <f aca="false">W228/$D228</f>
        <v>277041.931973496</v>
      </c>
      <c r="Y228" s="180" t="n">
        <f aca="false">IF($B$25=1,0,MAX(0,N228))</f>
        <v>0</v>
      </c>
      <c r="Z228" s="180" t="n">
        <f aca="false">Z227+O228</f>
        <v>155250</v>
      </c>
    </row>
    <row r="229" customFormat="false" ht="12" hidden="false" customHeight="true" outlineLevel="0" collapsed="false">
      <c r="A229" s="177" t="n">
        <v>174</v>
      </c>
      <c r="B229" s="178" t="n">
        <f aca="false">EDATE(DATA_INICIO,$A229)</f>
        <v>51555</v>
      </c>
      <c r="C229" s="177" t="n">
        <f aca="false">$A229*30</f>
        <v>5220</v>
      </c>
      <c r="D229" s="179" t="n">
        <f aca="false">(1+$B$29)^$A229</f>
        <v>1.76597039951116</v>
      </c>
      <c r="E229" s="180" t="n">
        <f aca="false">$B$6*(1+$B$21)^$A229</f>
        <v>264895.559926674</v>
      </c>
      <c r="F229" s="180" t="n">
        <f aca="false">IF($A229=0,0,$B$13*(1+$B$16)^($A229-1))</f>
        <v>1584.18714308727</v>
      </c>
      <c r="G229" s="180" t="n">
        <f aca="false">F229*$B$14</f>
        <v>126.734971446982</v>
      </c>
      <c r="H229" s="180" t="n">
        <f aca="false">F229-G229</f>
        <v>1457.45217164029</v>
      </c>
      <c r="I229" s="180" t="n">
        <f aca="false">IF($A229=0,0,E229*$B$17/12)</f>
        <v>132.447779963337</v>
      </c>
      <c r="J229" s="180" t="n">
        <f aca="false">H229*$B$19</f>
        <v>116.596173731223</v>
      </c>
      <c r="K229" s="180" t="n">
        <f aca="false">IF($A229=0,0,E229*$B$18/12)</f>
        <v>220.746299938895</v>
      </c>
      <c r="L229" s="180" t="n">
        <f aca="false">MAX(0,H229-I229-J229)</f>
        <v>1208.40821794573</v>
      </c>
      <c r="M229" s="180" t="n">
        <f aca="false">MAX(0,L229*IFERROR(INDEX(TAB_IRPF_ALIQ,MATCH(L229,TAB_IRPF_BASE,1)),0)-IFERROR(INDEX(TAB_IRPF_DED,MATCH(L229,TAB_IRPF_BASE,1)),0))</f>
        <v>0</v>
      </c>
      <c r="N229" s="180" t="n">
        <f aca="false">H229-I229-J229-K229-M229</f>
        <v>987.661918006835</v>
      </c>
      <c r="O229" s="180" t="n">
        <f aca="false">IF(OR($A229=0,$A229&gt;IN_PRAZO,$B$5=0),0,IF(APORTE_CORRIGIDO="Sim",IN_APORTE*$D229,IN_APORTE))</f>
        <v>0</v>
      </c>
      <c r="P229" s="180" t="n">
        <f aca="false">IF($B$25=1,MAX(0,N229),0)</f>
        <v>987.661918006835</v>
      </c>
      <c r="Q229" s="180" t="n">
        <f aca="false">R228*$B$27</f>
        <v>2336.78392988081</v>
      </c>
      <c r="R229" s="180" t="n">
        <f aca="false">R228+Q229+O229+P229</f>
        <v>278452.115288383</v>
      </c>
      <c r="S229" s="180" t="n">
        <f aca="false">S228+O229+P229</f>
        <v>131284.110121585</v>
      </c>
      <c r="T229" s="180" t="n">
        <f aca="false">MAX(0,IFERROR(INDEX(TAB_IR,MATCH($C229,TAB_IR_DIAS,1),MATCH("RF_REGR",TAB_IR_REGIMES,0)),0)*MAX(0,R229-S229))</f>
        <v>22075.2007750197</v>
      </c>
      <c r="U229" s="180" t="n">
        <f aca="false">E229*$B$22</f>
        <v>15893.7335956005</v>
      </c>
      <c r="V229" s="180" t="n">
        <f aca="false">IF($B$23=1,0,MAX(0,ALIQ_GANHO_CAP*MAX(0,E229-U229-$B$30)))</f>
        <v>14062.7739496611</v>
      </c>
      <c r="W229" s="181" t="n">
        <f aca="false">IF($B$5=0,0,E229-U229-V229+R229-T229)</f>
        <v>491315.966894776</v>
      </c>
      <c r="X229" s="180" t="n">
        <f aca="false">W229/$D229</f>
        <v>278213.024992252</v>
      </c>
      <c r="Y229" s="180" t="n">
        <f aca="false">IF($B$25=1,0,MAX(0,N229))</f>
        <v>0</v>
      </c>
      <c r="Z229" s="180" t="n">
        <f aca="false">Z228+O229</f>
        <v>155250</v>
      </c>
    </row>
    <row r="230" customFormat="false" ht="12" hidden="false" customHeight="true" outlineLevel="0" collapsed="false">
      <c r="A230" s="177" t="n">
        <v>175</v>
      </c>
      <c r="B230" s="178" t="n">
        <f aca="false">EDATE(DATA_INICIO,$A230)</f>
        <v>51583</v>
      </c>
      <c r="C230" s="177" t="n">
        <f aca="false">$A230*30</f>
        <v>5250</v>
      </c>
      <c r="D230" s="179" t="n">
        <f aca="false">(1+$B$29)^$A230</f>
        <v>1.77175172706223</v>
      </c>
      <c r="E230" s="180" t="n">
        <f aca="false">$B$6*(1+$B$21)^$A230</f>
        <v>265762.759059334</v>
      </c>
      <c r="F230" s="180" t="n">
        <f aca="false">IF($A230=0,0,$B$13*(1+$B$16)^($A230-1))</f>
        <v>1589.37335956005</v>
      </c>
      <c r="G230" s="180" t="n">
        <f aca="false">F230*$B$14</f>
        <v>127.149868764804</v>
      </c>
      <c r="H230" s="180" t="n">
        <f aca="false">F230-G230</f>
        <v>1462.22349079524</v>
      </c>
      <c r="I230" s="180" t="n">
        <f aca="false">IF($A230=0,0,E230*$B$17/12)</f>
        <v>132.881379529667</v>
      </c>
      <c r="J230" s="180" t="n">
        <f aca="false">H230*$B$19</f>
        <v>116.977879263619</v>
      </c>
      <c r="K230" s="180" t="n">
        <f aca="false">IF($A230=0,0,E230*$B$18/12)</f>
        <v>221.468965882778</v>
      </c>
      <c r="L230" s="180" t="n">
        <f aca="false">MAX(0,H230-I230-J230)</f>
        <v>1212.36423200196</v>
      </c>
      <c r="M230" s="180" t="n">
        <f aca="false">MAX(0,L230*IFERROR(INDEX(TAB_IRPF_ALIQ,MATCH(L230,TAB_IRPF_BASE,1)),0)-IFERROR(INDEX(TAB_IRPF_DED,MATCH(L230,TAB_IRPF_BASE,1)),0))</f>
        <v>0</v>
      </c>
      <c r="N230" s="180" t="n">
        <f aca="false">H230-I230-J230-K230-M230</f>
        <v>990.895266119177</v>
      </c>
      <c r="O230" s="180" t="n">
        <f aca="false">IF(OR($A230=0,$A230&gt;IN_PRAZO,$B$5=0),0,IF(APORTE_CORRIGIDO="Sim",IN_APORTE*$D230,IN_APORTE))</f>
        <v>0</v>
      </c>
      <c r="P230" s="180" t="n">
        <f aca="false">IF($B$25=1,MAX(0,N230),0)</f>
        <v>990.895266119177</v>
      </c>
      <c r="Q230" s="180" t="n">
        <f aca="false">R229*$B$27</f>
        <v>2365.0199544468</v>
      </c>
      <c r="R230" s="180" t="n">
        <f aca="false">R229+Q230+O230+P230</f>
        <v>281808.030508949</v>
      </c>
      <c r="S230" s="180" t="n">
        <f aca="false">S229+O230+P230</f>
        <v>132275.005387704</v>
      </c>
      <c r="T230" s="180" t="n">
        <f aca="false">MAX(0,IFERROR(INDEX(TAB_IR,MATCH($C230,TAB_IR_DIAS,1),MATCH("RF_REGR",TAB_IR_REGIMES,0)),0)*MAX(0,R230-S230))</f>
        <v>22429.9537681867</v>
      </c>
      <c r="U230" s="180" t="n">
        <f aca="false">E230*$B$22</f>
        <v>15945.76554356</v>
      </c>
      <c r="V230" s="180" t="n">
        <f aca="false">IF($B$23=1,0,MAX(0,ALIQ_GANHO_CAP*MAX(0,E230-U230-$B$30)))</f>
        <v>14185.0490273661</v>
      </c>
      <c r="W230" s="181" t="n">
        <f aca="false">IF($B$5=0,0,E230-U230-V230+R230-T230)</f>
        <v>495010.02122917</v>
      </c>
      <c r="X230" s="180" t="n">
        <f aca="false">W230/$D230</f>
        <v>279390.172826277</v>
      </c>
      <c r="Y230" s="180" t="n">
        <f aca="false">IF($B$25=1,0,MAX(0,N230))</f>
        <v>0</v>
      </c>
      <c r="Z230" s="180" t="n">
        <f aca="false">Z229+O230</f>
        <v>155250</v>
      </c>
    </row>
    <row r="231" customFormat="false" ht="12" hidden="false" customHeight="true" outlineLevel="0" collapsed="false">
      <c r="A231" s="177" t="n">
        <v>176</v>
      </c>
      <c r="B231" s="178" t="n">
        <f aca="false">EDATE(DATA_INICIO,$A231)</f>
        <v>51614</v>
      </c>
      <c r="C231" s="177" t="n">
        <f aca="false">$A231*30</f>
        <v>5280</v>
      </c>
      <c r="D231" s="179" t="n">
        <f aca="false">(1+$B$29)^$A231</f>
        <v>1.77755198117529</v>
      </c>
      <c r="E231" s="180" t="n">
        <f aca="false">$B$6*(1+$B$21)^$A231</f>
        <v>266632.797176294</v>
      </c>
      <c r="F231" s="180" t="n">
        <f aca="false">IF($A231=0,0,$B$13*(1+$B$16)^($A231-1))</f>
        <v>1594.576554356</v>
      </c>
      <c r="G231" s="180" t="n">
        <f aca="false">F231*$B$14</f>
        <v>127.56612434848</v>
      </c>
      <c r="H231" s="180" t="n">
        <f aca="false">F231-G231</f>
        <v>1467.01043000752</v>
      </c>
      <c r="I231" s="180" t="n">
        <f aca="false">IF($A231=0,0,E231*$B$17/12)</f>
        <v>133.316398588147</v>
      </c>
      <c r="J231" s="180" t="n">
        <f aca="false">H231*$B$19</f>
        <v>117.360834400602</v>
      </c>
      <c r="K231" s="180" t="n">
        <f aca="false">IF($A231=0,0,E231*$B$18/12)</f>
        <v>222.193997646911</v>
      </c>
      <c r="L231" s="180" t="n">
        <f aca="false">MAX(0,H231-I231-J231)</f>
        <v>1216.33319701878</v>
      </c>
      <c r="M231" s="180" t="n">
        <f aca="false">MAX(0,L231*IFERROR(INDEX(TAB_IRPF_ALIQ,MATCH(L231,TAB_IRPF_BASE,1)),0)-IFERROR(INDEX(TAB_IRPF_DED,MATCH(L231,TAB_IRPF_BASE,1)),0))</f>
        <v>0</v>
      </c>
      <c r="N231" s="180" t="n">
        <f aca="false">H231-I231-J231-K231-M231</f>
        <v>994.139199371864</v>
      </c>
      <c r="O231" s="180" t="n">
        <f aca="false">IF(OR($A231=0,$A231&gt;IN_PRAZO,$B$5=0),0,IF(APORTE_CORRIGIDO="Sim",IN_APORTE*$D231,IN_APORTE))</f>
        <v>0</v>
      </c>
      <c r="P231" s="180" t="n">
        <f aca="false">IF($B$25=1,MAX(0,N231),0)</f>
        <v>994.139199371864</v>
      </c>
      <c r="Q231" s="180" t="n">
        <f aca="false">R230*$B$27</f>
        <v>2393.52326265061</v>
      </c>
      <c r="R231" s="180" t="n">
        <f aca="false">R230+Q231+O231+P231</f>
        <v>285195.692970971</v>
      </c>
      <c r="S231" s="180" t="n">
        <f aca="false">S230+O231+P231</f>
        <v>133269.144587076</v>
      </c>
      <c r="T231" s="180" t="n">
        <f aca="false">MAX(0,IFERROR(INDEX(TAB_IR,MATCH($C231,TAB_IR_DIAS,1),MATCH("RF_REGR",TAB_IR_REGIMES,0)),0)*MAX(0,R231-S231))</f>
        <v>22788.9822575843</v>
      </c>
      <c r="U231" s="180" t="n">
        <f aca="false">E231*$B$22</f>
        <v>15997.9678305776</v>
      </c>
      <c r="V231" s="180" t="n">
        <f aca="false">IF($B$23=1,0,MAX(0,ALIQ_GANHO_CAP*MAX(0,E231-U231-$B$30)))</f>
        <v>14307.7244018574</v>
      </c>
      <c r="W231" s="181" t="n">
        <f aca="false">IF($B$5=0,0,E231-U231-V231+R231-T231)</f>
        <v>498733.815657246</v>
      </c>
      <c r="X231" s="180" t="n">
        <f aca="false">W231/$D231</f>
        <v>280573.407100866</v>
      </c>
      <c r="Y231" s="180" t="n">
        <f aca="false">IF($B$25=1,0,MAX(0,N231))</f>
        <v>0</v>
      </c>
      <c r="Z231" s="180" t="n">
        <f aca="false">Z230+O231</f>
        <v>155250</v>
      </c>
    </row>
    <row r="232" customFormat="false" ht="12" hidden="false" customHeight="true" outlineLevel="0" collapsed="false">
      <c r="A232" s="177" t="n">
        <v>177</v>
      </c>
      <c r="B232" s="178" t="n">
        <f aca="false">EDATE(DATA_INICIO,$A232)</f>
        <v>51644</v>
      </c>
      <c r="C232" s="177" t="n">
        <f aca="false">$A232*30</f>
        <v>5310</v>
      </c>
      <c r="D232" s="179" t="n">
        <f aca="false">(1+$B$29)^$A232</f>
        <v>1.78337122381099</v>
      </c>
      <c r="E232" s="180" t="n">
        <f aca="false">$B$6*(1+$B$21)^$A232</f>
        <v>267505.683571649</v>
      </c>
      <c r="F232" s="180" t="n">
        <f aca="false">IF($A232=0,0,$B$13*(1+$B$16)^($A232-1))</f>
        <v>1599.79678305776</v>
      </c>
      <c r="G232" s="180" t="n">
        <f aca="false">F232*$B$14</f>
        <v>127.983742644621</v>
      </c>
      <c r="H232" s="180" t="n">
        <f aca="false">F232-G232</f>
        <v>1471.81304041314</v>
      </c>
      <c r="I232" s="180" t="n">
        <f aca="false">IF($A232=0,0,E232*$B$17/12)</f>
        <v>133.752841785824</v>
      </c>
      <c r="J232" s="180" t="n">
        <f aca="false">H232*$B$19</f>
        <v>117.745043233051</v>
      </c>
      <c r="K232" s="180" t="n">
        <f aca="false">IF($A232=0,0,E232*$B$18/12)</f>
        <v>222.921402976374</v>
      </c>
      <c r="L232" s="180" t="n">
        <f aca="false">MAX(0,H232-I232-J232)</f>
        <v>1220.31515539426</v>
      </c>
      <c r="M232" s="180" t="n">
        <f aca="false">MAX(0,L232*IFERROR(INDEX(TAB_IRPF_ALIQ,MATCH(L232,TAB_IRPF_BASE,1)),0)-IFERROR(INDEX(TAB_IRPF_DED,MATCH(L232,TAB_IRPF_BASE,1)),0))</f>
        <v>0</v>
      </c>
      <c r="N232" s="180" t="n">
        <f aca="false">H232-I232-J232-K232-M232</f>
        <v>997.393752417891</v>
      </c>
      <c r="O232" s="180" t="n">
        <f aca="false">IF(OR($A232=0,$A232&gt;IN_PRAZO,$B$5=0),0,IF(APORTE_CORRIGIDO="Sim",IN_APORTE*$D232,IN_APORTE))</f>
        <v>0</v>
      </c>
      <c r="P232" s="180" t="n">
        <f aca="false">IF($B$25=1,MAX(0,N232),0)</f>
        <v>997.393752417891</v>
      </c>
      <c r="Q232" s="180" t="n">
        <f aca="false">R231*$B$27</f>
        <v>2422.29621455768</v>
      </c>
      <c r="R232" s="180" t="n">
        <f aca="false">R231+Q232+O232+P232</f>
        <v>288615.382937947</v>
      </c>
      <c r="S232" s="180" t="n">
        <f aca="false">S231+O232+P232</f>
        <v>134266.538339494</v>
      </c>
      <c r="T232" s="180" t="n">
        <f aca="false">MAX(0,IFERROR(INDEX(TAB_IR,MATCH($C232,TAB_IR_DIAS,1),MATCH("RF_REGR",TAB_IR_REGIMES,0)),0)*MAX(0,R232-S232))</f>
        <v>23152.3266897679</v>
      </c>
      <c r="U232" s="180" t="n">
        <f aca="false">E232*$B$22</f>
        <v>16050.3410142989</v>
      </c>
      <c r="V232" s="180" t="n">
        <f aca="false">IF($B$23=1,0,MAX(0,ALIQ_GANHO_CAP*MAX(0,E232-U232-$B$30)))</f>
        <v>14430.8013836024</v>
      </c>
      <c r="W232" s="181" t="n">
        <f aca="false">IF($B$5=0,0,E232-U232-V232+R232-T232)</f>
        <v>502487.597421926</v>
      </c>
      <c r="X232" s="180" t="n">
        <f aca="false">W232/$D232</f>
        <v>281762.759605446</v>
      </c>
      <c r="Y232" s="180" t="n">
        <f aca="false">IF($B$25=1,0,MAX(0,N232))</f>
        <v>0</v>
      </c>
      <c r="Z232" s="180" t="n">
        <f aca="false">Z231+O232</f>
        <v>155250</v>
      </c>
    </row>
    <row r="233" customFormat="false" ht="12" hidden="false" customHeight="true" outlineLevel="0" collapsed="false">
      <c r="A233" s="177" t="n">
        <v>178</v>
      </c>
      <c r="B233" s="178" t="n">
        <f aca="false">EDATE(DATA_INICIO,$A233)</f>
        <v>51675</v>
      </c>
      <c r="C233" s="177" t="n">
        <f aca="false">$A233*30</f>
        <v>5340</v>
      </c>
      <c r="D233" s="179" t="n">
        <f aca="false">(1+$B$29)^$A233</f>
        <v>1.78920951713281</v>
      </c>
      <c r="E233" s="180" t="n">
        <f aca="false">$B$6*(1+$B$21)^$A233</f>
        <v>268381.427569921</v>
      </c>
      <c r="F233" s="180" t="n">
        <f aca="false">IF($A233=0,0,$B$13*(1+$B$16)^($A233-1))</f>
        <v>1605.03410142989</v>
      </c>
      <c r="G233" s="180" t="n">
        <f aca="false">F233*$B$14</f>
        <v>128.402728114391</v>
      </c>
      <c r="H233" s="180" t="n">
        <f aca="false">F233-G233</f>
        <v>1476.6313733155</v>
      </c>
      <c r="I233" s="180" t="n">
        <f aca="false">IF($A233=0,0,E233*$B$17/12)</f>
        <v>134.190713784961</v>
      </c>
      <c r="J233" s="180" t="n">
        <f aca="false">H233*$B$19</f>
        <v>118.13050986524</v>
      </c>
      <c r="K233" s="180" t="n">
        <f aca="false">IF($A233=0,0,E233*$B$18/12)</f>
        <v>223.651189641601</v>
      </c>
      <c r="L233" s="180" t="n">
        <f aca="false">MAX(0,H233-I233-J233)</f>
        <v>1224.3101496653</v>
      </c>
      <c r="M233" s="180" t="n">
        <f aca="false">MAX(0,L233*IFERROR(INDEX(TAB_IRPF_ALIQ,MATCH(L233,TAB_IRPF_BASE,1)),0)-IFERROR(INDEX(TAB_IRPF_DED,MATCH(L233,TAB_IRPF_BASE,1)),0))</f>
        <v>0</v>
      </c>
      <c r="N233" s="180" t="n">
        <f aca="false">H233-I233-J233-K233-M233</f>
        <v>1000.6589600237</v>
      </c>
      <c r="O233" s="180" t="n">
        <f aca="false">IF(OR($A233=0,$A233&gt;IN_PRAZO,$B$5=0),0,IF(APORTE_CORRIGIDO="Sim",IN_APORTE*$D233,IN_APORTE))</f>
        <v>0</v>
      </c>
      <c r="P233" s="180" t="n">
        <f aca="false">IF($B$25=1,MAX(0,N233),0)</f>
        <v>1000.6589600237</v>
      </c>
      <c r="Q233" s="180" t="n">
        <f aca="false">R232*$B$27</f>
        <v>2451.34119057283</v>
      </c>
      <c r="R233" s="180" t="n">
        <f aca="false">R232+Q233+O233+P233</f>
        <v>292067.383088544</v>
      </c>
      <c r="S233" s="180" t="n">
        <f aca="false">S232+O233+P233</f>
        <v>135267.197299518</v>
      </c>
      <c r="T233" s="180" t="n">
        <f aca="false">MAX(0,IFERROR(INDEX(TAB_IR,MATCH($C233,TAB_IR_DIAS,1),MATCH("RF_REGR",TAB_IR_REGIMES,0)),0)*MAX(0,R233-S233))</f>
        <v>23520.0278683539</v>
      </c>
      <c r="U233" s="180" t="n">
        <f aca="false">E233*$B$22</f>
        <v>16102.8856541953</v>
      </c>
      <c r="V233" s="180" t="n">
        <f aca="false">IF($B$23=1,0,MAX(0,ALIQ_GANHO_CAP*MAX(0,E233-U233-$B$30)))</f>
        <v>14554.2812873589</v>
      </c>
      <c r="W233" s="181" t="n">
        <f aca="false">IF($B$5=0,0,E233-U233-V233+R233-T233)</f>
        <v>506271.615848557</v>
      </c>
      <c r="X233" s="180" t="n">
        <f aca="false">W233/$D233</f>
        <v>282958.262294431</v>
      </c>
      <c r="Y233" s="180" t="n">
        <f aca="false">IF($B$25=1,0,MAX(0,N233))</f>
        <v>0</v>
      </c>
      <c r="Z233" s="180" t="n">
        <f aca="false">Z232+O233</f>
        <v>155250</v>
      </c>
    </row>
    <row r="234" customFormat="false" ht="12" hidden="false" customHeight="true" outlineLevel="0" collapsed="false">
      <c r="A234" s="177" t="n">
        <v>179</v>
      </c>
      <c r="B234" s="178" t="n">
        <f aca="false">EDATE(DATA_INICIO,$A234)</f>
        <v>51705</v>
      </c>
      <c r="C234" s="177" t="n">
        <f aca="false">$A234*30</f>
        <v>5370</v>
      </c>
      <c r="D234" s="179" t="n">
        <f aca="false">(1+$B$29)^$A234</f>
        <v>1.79506692350774</v>
      </c>
      <c r="E234" s="180" t="n">
        <f aca="false">$B$6*(1+$B$21)^$A234</f>
        <v>269260.03852616</v>
      </c>
      <c r="F234" s="180" t="n">
        <f aca="false">IF($A234=0,0,$B$13*(1+$B$16)^($A234-1))</f>
        <v>1610.28856541953</v>
      </c>
      <c r="G234" s="180" t="n">
        <f aca="false">F234*$B$14</f>
        <v>128.823085233562</v>
      </c>
      <c r="H234" s="180" t="n">
        <f aca="false">F234-G234</f>
        <v>1481.46548018597</v>
      </c>
      <c r="I234" s="180" t="n">
        <f aca="false">IF($A234=0,0,E234*$B$17/12)</f>
        <v>134.63001926308</v>
      </c>
      <c r="J234" s="180" t="n">
        <f aca="false">H234*$B$19</f>
        <v>118.517238414877</v>
      </c>
      <c r="K234" s="180" t="n">
        <f aca="false">IF($A234=0,0,E234*$B$18/12)</f>
        <v>224.383365438467</v>
      </c>
      <c r="L234" s="180" t="n">
        <f aca="false">MAX(0,H234-I234-J234)</f>
        <v>1228.31822250801</v>
      </c>
      <c r="M234" s="180" t="n">
        <f aca="false">MAX(0,L234*IFERROR(INDEX(TAB_IRPF_ALIQ,MATCH(L234,TAB_IRPF_BASE,1)),0)-IFERROR(INDEX(TAB_IRPF_DED,MATCH(L234,TAB_IRPF_BASE,1)),0))</f>
        <v>0</v>
      </c>
      <c r="N234" s="180" t="n">
        <f aca="false">H234-I234-J234-K234-M234</f>
        <v>1003.93485706954</v>
      </c>
      <c r="O234" s="180" t="n">
        <f aca="false">IF(OR($A234=0,$A234&gt;IN_PRAZO,$B$5=0),0,IF(APORTE_CORRIGIDO="Sim",IN_APORTE*$D234,IN_APORTE))</f>
        <v>0</v>
      </c>
      <c r="P234" s="180" t="n">
        <f aca="false">IF($B$25=1,MAX(0,N234),0)</f>
        <v>1003.93485706954</v>
      </c>
      <c r="Q234" s="180" t="n">
        <f aca="false">R233*$B$27</f>
        <v>2480.66059161404</v>
      </c>
      <c r="R234" s="180" t="n">
        <f aca="false">R233+Q234+O234+P234</f>
        <v>295551.978537227</v>
      </c>
      <c r="S234" s="180" t="n">
        <f aca="false">S233+O234+P234</f>
        <v>136271.132156587</v>
      </c>
      <c r="T234" s="180" t="n">
        <f aca="false">MAX(0,IFERROR(INDEX(TAB_IR,MATCH($C234,TAB_IR_DIAS,1),MATCH("RF_REGR",TAB_IR_REGIMES,0)),0)*MAX(0,R234-S234))</f>
        <v>23892.126957096</v>
      </c>
      <c r="U234" s="180" t="n">
        <f aca="false">E234*$B$22</f>
        <v>16155.6023115696</v>
      </c>
      <c r="V234" s="180" t="n">
        <f aca="false">IF($B$23=1,0,MAX(0,ALIQ_GANHO_CAP*MAX(0,E234-U234-$B$30)))</f>
        <v>14678.1654321886</v>
      </c>
      <c r="W234" s="181" t="n">
        <f aca="false">IF($B$5=0,0,E234-U234-V234+R234-T234)</f>
        <v>510086.122362533</v>
      </c>
      <c r="X234" s="180" t="n">
        <f aca="false">W234/$D234</f>
        <v>284159.94728808</v>
      </c>
      <c r="Y234" s="180" t="n">
        <f aca="false">IF($B$25=1,0,MAX(0,N234))</f>
        <v>0</v>
      </c>
      <c r="Z234" s="180" t="n">
        <f aca="false">Z233+O234</f>
        <v>155250</v>
      </c>
    </row>
    <row r="235" customFormat="false" ht="12" hidden="false" customHeight="true" outlineLevel="0" collapsed="false">
      <c r="A235" s="177" t="n">
        <v>180</v>
      </c>
      <c r="B235" s="178" t="n">
        <f aca="false">EDATE(DATA_INICIO,$A235)</f>
        <v>51736</v>
      </c>
      <c r="C235" s="177" t="n">
        <f aca="false">$A235*30</f>
        <v>5400</v>
      </c>
      <c r="D235" s="179" t="n">
        <f aca="false">(1+$B$29)^$A235</f>
        <v>1.80094350550693</v>
      </c>
      <c r="E235" s="180" t="n">
        <f aca="false">$B$6*(1+$B$21)^$A235</f>
        <v>270141.52582604</v>
      </c>
      <c r="F235" s="180" t="n">
        <f aca="false">IF($A235=0,0,$B$13*(1+$B$16)^($A235-1))</f>
        <v>1615.56023115696</v>
      </c>
      <c r="G235" s="180" t="n">
        <f aca="false">F235*$B$14</f>
        <v>129.244818492557</v>
      </c>
      <c r="H235" s="180" t="n">
        <f aca="false">F235-G235</f>
        <v>1486.31541266441</v>
      </c>
      <c r="I235" s="180" t="n">
        <f aca="false">IF($A235=0,0,E235*$B$17/12)</f>
        <v>135.07076291302</v>
      </c>
      <c r="J235" s="180" t="n">
        <f aca="false">H235*$B$19</f>
        <v>118.905233013152</v>
      </c>
      <c r="K235" s="180" t="n">
        <f aca="false">IF($A235=0,0,E235*$B$18/12)</f>
        <v>225.117938188366</v>
      </c>
      <c r="L235" s="180" t="n">
        <f aca="false">MAX(0,H235-I235-J235)</f>
        <v>1232.33941673823</v>
      </c>
      <c r="M235" s="180" t="n">
        <f aca="false">MAX(0,L235*IFERROR(INDEX(TAB_IRPF_ALIQ,MATCH(L235,TAB_IRPF_BASE,1)),0)-IFERROR(INDEX(TAB_IRPF_DED,MATCH(L235,TAB_IRPF_BASE,1)),0))</f>
        <v>0</v>
      </c>
      <c r="N235" s="180" t="n">
        <f aca="false">H235-I235-J235-K235-M235</f>
        <v>1007.22147854987</v>
      </c>
      <c r="O235" s="180" t="n">
        <f aca="false">IF(OR($A235=0,$A235&gt;IN_PRAZO,$B$5=0),0,IF(APORTE_CORRIGIDO="Sim",IN_APORTE*$D235,IN_APORTE))</f>
        <v>0</v>
      </c>
      <c r="P235" s="180" t="n">
        <f aca="false">IF($B$25=1,MAX(0,N235),0)</f>
        <v>1007.22147854987</v>
      </c>
      <c r="Q235" s="180" t="n">
        <f aca="false">R234*$B$27</f>
        <v>2510.25683928764</v>
      </c>
      <c r="R235" s="180" t="n">
        <f aca="false">R234+Q235+O235+P235</f>
        <v>299069.456855065</v>
      </c>
      <c r="S235" s="180" t="n">
        <f aca="false">S234+O235+P235</f>
        <v>137278.353635137</v>
      </c>
      <c r="T235" s="180" t="n">
        <f aca="false">MAX(0,IFERROR(INDEX(TAB_IR,MATCH($C235,TAB_IR_DIAS,1),MATCH("RF_REGR",TAB_IR_REGIMES,0)),0)*MAX(0,R235-S235))</f>
        <v>24268.6654829891</v>
      </c>
      <c r="U235" s="180" t="n">
        <f aca="false">E235*$B$22</f>
        <v>16208.4915495624</v>
      </c>
      <c r="V235" s="180" t="n">
        <f aca="false">IF($B$23=1,0,MAX(0,ALIQ_GANHO_CAP*MAX(0,E235-U235-$B$30)))</f>
        <v>14802.4551414716</v>
      </c>
      <c r="W235" s="181" t="n">
        <f aca="false">IF($B$5=0,0,E235-U235-V235+R235-T235)</f>
        <v>513931.370507081</v>
      </c>
      <c r="X235" s="180" t="n">
        <f aca="false">W235/$D235</f>
        <v>285367.846873364</v>
      </c>
      <c r="Y235" s="180" t="n">
        <f aca="false">IF($B$25=1,0,MAX(0,N235))</f>
        <v>0</v>
      </c>
      <c r="Z235" s="180" t="n">
        <f aca="false">Z234+O235</f>
        <v>155250</v>
      </c>
    </row>
    <row r="236" customFormat="false" ht="12" hidden="false" customHeight="true" outlineLevel="0" collapsed="false">
      <c r="A236" s="177" t="n">
        <v>181</v>
      </c>
      <c r="B236" s="178" t="n">
        <f aca="false">EDATE(DATA_INICIO,$A236)</f>
        <v>51767</v>
      </c>
      <c r="C236" s="177" t="n">
        <f aca="false">$A236*30</f>
        <v>5430</v>
      </c>
      <c r="D236" s="179" t="n">
        <f aca="false">(1+$B$29)^$A236</f>
        <v>1.8068393259064</v>
      </c>
      <c r="E236" s="180" t="n">
        <f aca="false">$B$6*(1+$B$21)^$A236</f>
        <v>271025.89888596</v>
      </c>
      <c r="F236" s="180" t="n">
        <f aca="false">IF($A236=0,0,$B$13*(1+$B$16)^($A236-1))</f>
        <v>1620.84915495624</v>
      </c>
      <c r="G236" s="180" t="n">
        <f aca="false">F236*$B$14</f>
        <v>129.667932396499</v>
      </c>
      <c r="H236" s="180" t="n">
        <f aca="false">F236-G236</f>
        <v>1491.18122255974</v>
      </c>
      <c r="I236" s="180" t="n">
        <f aca="false">IF($A236=0,0,E236*$B$17/12)</f>
        <v>135.51294944298</v>
      </c>
      <c r="J236" s="180" t="n">
        <f aca="false">H236*$B$19</f>
        <v>119.294497804779</v>
      </c>
      <c r="K236" s="180" t="n">
        <f aca="false">IF($A236=0,0,E236*$B$18/12)</f>
        <v>225.8549157383</v>
      </c>
      <c r="L236" s="180" t="n">
        <f aca="false">MAX(0,H236-I236-J236)</f>
        <v>1236.37377531198</v>
      </c>
      <c r="M236" s="180" t="n">
        <f aca="false">MAX(0,L236*IFERROR(INDEX(TAB_IRPF_ALIQ,MATCH(L236,TAB_IRPF_BASE,1)),0)-IFERROR(INDEX(TAB_IRPF_DED,MATCH(L236,TAB_IRPF_BASE,1)),0))</f>
        <v>0</v>
      </c>
      <c r="N236" s="180" t="n">
        <f aca="false">H236-I236-J236-K236-M236</f>
        <v>1010.51885957368</v>
      </c>
      <c r="O236" s="180" t="n">
        <f aca="false">IF(OR($A236=0,$A236&gt;IN_PRAZO,$B$5=0),0,IF(APORTE_CORRIGIDO="Sim",IN_APORTE*$D236,IN_APORTE))</f>
        <v>0</v>
      </c>
      <c r="P236" s="180" t="n">
        <f aca="false">IF($B$25=1,MAX(0,N236),0)</f>
        <v>1010.51885957368</v>
      </c>
      <c r="Q236" s="180" t="n">
        <f aca="false">R235*$B$27</f>
        <v>2540.13237606495</v>
      </c>
      <c r="R236" s="180" t="n">
        <f aca="false">R235+Q236+O236+P236</f>
        <v>302620.108090703</v>
      </c>
      <c r="S236" s="180" t="n">
        <f aca="false">S235+O236+P236</f>
        <v>138288.872494711</v>
      </c>
      <c r="T236" s="180" t="n">
        <f aca="false">MAX(0,IFERROR(INDEX(TAB_IR,MATCH($C236,TAB_IR_DIAS,1),MATCH("RF_REGR",TAB_IR_REGIMES,0)),0)*MAX(0,R236-S236))</f>
        <v>24649.6853393989</v>
      </c>
      <c r="U236" s="180" t="n">
        <f aca="false">E236*$B$22</f>
        <v>16261.5539331576</v>
      </c>
      <c r="V236" s="180" t="n">
        <f aca="false">IF($B$23=1,0,MAX(0,ALIQ_GANHO_CAP*MAX(0,E236-U236-$B$30)))</f>
        <v>14927.1517429204</v>
      </c>
      <c r="W236" s="181" t="n">
        <f aca="false">IF($B$5=0,0,E236-U236-V236+R236-T236)</f>
        <v>517807.615961187</v>
      </c>
      <c r="X236" s="180" t="n">
        <f aca="false">W236/$D236</f>
        <v>286581.993504834</v>
      </c>
      <c r="Y236" s="180" t="n">
        <f aca="false">IF($B$25=1,0,MAX(0,N236))</f>
        <v>0</v>
      </c>
      <c r="Z236" s="180" t="n">
        <f aca="false">Z235+O236</f>
        <v>155250</v>
      </c>
    </row>
    <row r="237" customFormat="false" ht="12" hidden="false" customHeight="true" outlineLevel="0" collapsed="false">
      <c r="A237" s="177" t="n">
        <v>182</v>
      </c>
      <c r="B237" s="178" t="n">
        <f aca="false">EDATE(DATA_INICIO,$A237)</f>
        <v>51797</v>
      </c>
      <c r="C237" s="177" t="n">
        <f aca="false">$A237*30</f>
        <v>5460</v>
      </c>
      <c r="D237" s="179" t="n">
        <f aca="false">(1+$B$29)^$A237</f>
        <v>1.81275444768766</v>
      </c>
      <c r="E237" s="180" t="n">
        <f aca="false">$B$6*(1+$B$21)^$A237</f>
        <v>271913.16715315</v>
      </c>
      <c r="F237" s="180" t="n">
        <f aca="false">IF($A237=0,0,$B$13*(1+$B$16)^($A237-1))</f>
        <v>1626.15539331576</v>
      </c>
      <c r="G237" s="180" t="n">
        <f aca="false">F237*$B$14</f>
        <v>130.092431465261</v>
      </c>
      <c r="H237" s="180" t="n">
        <f aca="false">F237-G237</f>
        <v>1496.0629618505</v>
      </c>
      <c r="I237" s="180" t="n">
        <f aca="false">IF($A237=0,0,E237*$B$17/12)</f>
        <v>135.956583576575</v>
      </c>
      <c r="J237" s="180" t="n">
        <f aca="false">H237*$B$19</f>
        <v>119.68503694804</v>
      </c>
      <c r="K237" s="180" t="n">
        <f aca="false">IF($A237=0,0,E237*$B$18/12)</f>
        <v>226.594305960958</v>
      </c>
      <c r="L237" s="180" t="n">
        <f aca="false">MAX(0,H237-I237-J237)</f>
        <v>1240.42134132589</v>
      </c>
      <c r="M237" s="180" t="n">
        <f aca="false">MAX(0,L237*IFERROR(INDEX(TAB_IRPF_ALIQ,MATCH(L237,TAB_IRPF_BASE,1)),0)-IFERROR(INDEX(TAB_IRPF_DED,MATCH(L237,TAB_IRPF_BASE,1)),0))</f>
        <v>0</v>
      </c>
      <c r="N237" s="180" t="n">
        <f aca="false">H237-I237-J237-K237-M237</f>
        <v>1013.82703536493</v>
      </c>
      <c r="O237" s="180" t="n">
        <f aca="false">IF(OR($A237=0,$A237&gt;IN_PRAZO,$B$5=0),0,IF(APORTE_CORRIGIDO="Sim",IN_APORTE*$D237,IN_APORTE))</f>
        <v>0</v>
      </c>
      <c r="P237" s="180" t="n">
        <f aca="false">IF($B$25=1,MAX(0,N237),0)</f>
        <v>1013.82703536493</v>
      </c>
      <c r="Q237" s="180" t="n">
        <f aca="false">R236*$B$27</f>
        <v>2570.28966546055</v>
      </c>
      <c r="R237" s="180" t="n">
        <f aca="false">R236+Q237+O237+P237</f>
        <v>306204.224791529</v>
      </c>
      <c r="S237" s="180" t="n">
        <f aca="false">S236+O237+P237</f>
        <v>139302.699530076</v>
      </c>
      <c r="T237" s="180" t="n">
        <f aca="false">MAX(0,IFERROR(INDEX(TAB_IR,MATCH($C237,TAB_IR_DIAS,1),MATCH("RF_REGR",TAB_IR_REGIMES,0)),0)*MAX(0,R237-S237))</f>
        <v>25035.2287892179</v>
      </c>
      <c r="U237" s="180" t="n">
        <f aca="false">E237*$B$22</f>
        <v>16314.790029189</v>
      </c>
      <c r="V237" s="180" t="n">
        <f aca="false">IF($B$23=1,0,MAX(0,ALIQ_GANHO_CAP*MAX(0,E237-U237-$B$30)))</f>
        <v>15052.2565685941</v>
      </c>
      <c r="W237" s="181" t="n">
        <f aca="false">IF($B$5=0,0,E237-U237-V237+R237-T237)</f>
        <v>521715.116557677</v>
      </c>
      <c r="X237" s="180" t="n">
        <f aca="false">W237/$D237</f>
        <v>287802.419805492</v>
      </c>
      <c r="Y237" s="180" t="n">
        <f aca="false">IF($B$25=1,0,MAX(0,N237))</f>
        <v>0</v>
      </c>
      <c r="Z237" s="180" t="n">
        <f aca="false">Z236+O237</f>
        <v>155250</v>
      </c>
    </row>
    <row r="238" customFormat="false" ht="12" hidden="false" customHeight="true" outlineLevel="0" collapsed="false">
      <c r="A238" s="177" t="n">
        <v>183</v>
      </c>
      <c r="B238" s="178" t="n">
        <f aca="false">EDATE(DATA_INICIO,$A238)</f>
        <v>51828</v>
      </c>
      <c r="C238" s="177" t="n">
        <f aca="false">$A238*30</f>
        <v>5490</v>
      </c>
      <c r="D238" s="179" t="n">
        <f aca="false">(1+$B$29)^$A238</f>
        <v>1.81868893403842</v>
      </c>
      <c r="E238" s="180" t="n">
        <f aca="false">$B$6*(1+$B$21)^$A238</f>
        <v>272803.340105763</v>
      </c>
      <c r="F238" s="180" t="n">
        <f aca="false">IF($A238=0,0,$B$13*(1+$B$16)^($A238-1))</f>
        <v>1631.4790029189</v>
      </c>
      <c r="G238" s="180" t="n">
        <f aca="false">F238*$B$14</f>
        <v>130.518320233512</v>
      </c>
      <c r="H238" s="180" t="n">
        <f aca="false">F238-G238</f>
        <v>1500.96068268539</v>
      </c>
      <c r="I238" s="180" t="n">
        <f aca="false">IF($A238=0,0,E238*$B$17/12)</f>
        <v>136.401670052881</v>
      </c>
      <c r="J238" s="180" t="n">
        <f aca="false">H238*$B$19</f>
        <v>120.076854614831</v>
      </c>
      <c r="K238" s="180" t="n">
        <f aca="false">IF($A238=0,0,E238*$B$18/12)</f>
        <v>227.336116754802</v>
      </c>
      <c r="L238" s="180" t="n">
        <f aca="false">MAX(0,H238-I238-J238)</f>
        <v>1244.48215801767</v>
      </c>
      <c r="M238" s="180" t="n">
        <f aca="false">MAX(0,L238*IFERROR(INDEX(TAB_IRPF_ALIQ,MATCH(L238,TAB_IRPF_BASE,1)),0)-IFERROR(INDEX(TAB_IRPF_DED,MATCH(L238,TAB_IRPF_BASE,1)),0))</f>
        <v>0</v>
      </c>
      <c r="N238" s="180" t="n">
        <f aca="false">H238-I238-J238-K238-M238</f>
        <v>1017.14604126287</v>
      </c>
      <c r="O238" s="180" t="n">
        <f aca="false">IF(OR($A238=0,$A238&gt;IN_PRAZO,$B$5=0),0,IF(APORTE_CORRIGIDO="Sim",IN_APORTE*$D238,IN_APORTE))</f>
        <v>0</v>
      </c>
      <c r="P238" s="180" t="n">
        <f aca="false">IF($B$25=1,MAX(0,N238),0)</f>
        <v>1017.14604126287</v>
      </c>
      <c r="Q238" s="180" t="n">
        <f aca="false">R237*$B$27</f>
        <v>2600.73119221188</v>
      </c>
      <c r="R238" s="180" t="n">
        <f aca="false">R237+Q238+O238+P238</f>
        <v>309822.102025004</v>
      </c>
      <c r="S238" s="180" t="n">
        <f aca="false">S237+O238+P238</f>
        <v>140319.845571339</v>
      </c>
      <c r="T238" s="180" t="n">
        <f aca="false">MAX(0,IFERROR(INDEX(TAB_IR,MATCH($C238,TAB_IR_DIAS,1),MATCH("RF_REGR",TAB_IR_REGIMES,0)),0)*MAX(0,R238-S238))</f>
        <v>25425.3384680497</v>
      </c>
      <c r="U238" s="180" t="n">
        <f aca="false">E238*$B$22</f>
        <v>16368.2004063458</v>
      </c>
      <c r="V238" s="180" t="n">
        <f aca="false">IF($B$23=1,0,MAX(0,ALIQ_GANHO_CAP*MAX(0,E238-U238-$B$30)))</f>
        <v>15177.7709549125</v>
      </c>
      <c r="W238" s="181" t="n">
        <f aca="false">IF($B$5=0,0,E238-U238-V238+R238-T238)</f>
        <v>525654.132301458</v>
      </c>
      <c r="X238" s="180" t="n">
        <f aca="false">W238/$D238</f>
        <v>289029.158567671</v>
      </c>
      <c r="Y238" s="180" t="n">
        <f aca="false">IF($B$25=1,0,MAX(0,N238))</f>
        <v>0</v>
      </c>
      <c r="Z238" s="180" t="n">
        <f aca="false">Z237+O238</f>
        <v>155250</v>
      </c>
    </row>
    <row r="239" customFormat="false" ht="12" hidden="false" customHeight="true" outlineLevel="0" collapsed="false">
      <c r="A239" s="177" t="n">
        <v>184</v>
      </c>
      <c r="B239" s="178" t="n">
        <f aca="false">EDATE(DATA_INICIO,$A239)</f>
        <v>51858</v>
      </c>
      <c r="C239" s="177" t="n">
        <f aca="false">$A239*30</f>
        <v>5520</v>
      </c>
      <c r="D239" s="179" t="n">
        <f aca="false">(1+$B$29)^$A239</f>
        <v>1.82464284835322</v>
      </c>
      <c r="E239" s="180" t="n">
        <f aca="false">$B$6*(1+$B$21)^$A239</f>
        <v>273696.427252984</v>
      </c>
      <c r="F239" s="180" t="n">
        <f aca="false">IF($A239=0,0,$B$13*(1+$B$16)^($A239-1))</f>
        <v>1636.82004063458</v>
      </c>
      <c r="G239" s="180" t="n">
        <f aca="false">F239*$B$14</f>
        <v>130.945603250766</v>
      </c>
      <c r="H239" s="180" t="n">
        <f aca="false">F239-G239</f>
        <v>1505.87443738381</v>
      </c>
      <c r="I239" s="180" t="n">
        <f aca="false">IF($A239=0,0,E239*$B$17/12)</f>
        <v>136.848213626492</v>
      </c>
      <c r="J239" s="180" t="n">
        <f aca="false">H239*$B$19</f>
        <v>120.469954990705</v>
      </c>
      <c r="K239" s="180" t="n">
        <f aca="false">IF($A239=0,0,E239*$B$18/12)</f>
        <v>228.080356044153</v>
      </c>
      <c r="L239" s="180" t="n">
        <f aca="false">MAX(0,H239-I239-J239)</f>
        <v>1248.55626876661</v>
      </c>
      <c r="M239" s="180" t="n">
        <f aca="false">MAX(0,L239*IFERROR(INDEX(TAB_IRPF_ALIQ,MATCH(L239,TAB_IRPF_BASE,1)),0)-IFERROR(INDEX(TAB_IRPF_DED,MATCH(L239,TAB_IRPF_BASE,1)),0))</f>
        <v>0</v>
      </c>
      <c r="N239" s="180" t="n">
        <f aca="false">H239-I239-J239-K239-M239</f>
        <v>1020.47591272246</v>
      </c>
      <c r="O239" s="180" t="n">
        <f aca="false">IF(OR($A239=0,$A239&gt;IN_PRAZO,$B$5=0),0,IF(APORTE_CORRIGIDO="Sim",IN_APORTE*$D239,IN_APORTE))</f>
        <v>0</v>
      </c>
      <c r="P239" s="180" t="n">
        <f aca="false">IF($B$25=1,MAX(0,N239),0)</f>
        <v>1020.47591272246</v>
      </c>
      <c r="Q239" s="180" t="n">
        <f aca="false">R238*$B$27</f>
        <v>2631.4594624606</v>
      </c>
      <c r="R239" s="180" t="n">
        <f aca="false">R238+Q239+O239+P239</f>
        <v>313474.037400187</v>
      </c>
      <c r="S239" s="180" t="n">
        <f aca="false">S238+O239+P239</f>
        <v>141340.321484061</v>
      </c>
      <c r="T239" s="180" t="n">
        <f aca="false">MAX(0,IFERROR(INDEX(TAB_IR,MATCH($C239,TAB_IR_DIAS,1),MATCH("RF_REGR",TAB_IR_REGIMES,0)),0)*MAX(0,R239-S239))</f>
        <v>25820.0573874188</v>
      </c>
      <c r="U239" s="180" t="n">
        <f aca="false">E239*$B$22</f>
        <v>16421.785635179</v>
      </c>
      <c r="V239" s="180" t="n">
        <f aca="false">IF($B$23=1,0,MAX(0,ALIQ_GANHO_CAP*MAX(0,E239-U239-$B$30)))</f>
        <v>15303.6962426707</v>
      </c>
      <c r="W239" s="181" t="n">
        <f aca="false">IF($B$5=0,0,E239-U239-V239+R239-T239)</f>
        <v>529624.925387902</v>
      </c>
      <c r="X239" s="180" t="n">
        <f aca="false">W239/$D239</f>
        <v>290262.242753917</v>
      </c>
      <c r="Y239" s="180" t="n">
        <f aca="false">IF($B$25=1,0,MAX(0,N239))</f>
        <v>0</v>
      </c>
      <c r="Z239" s="180" t="n">
        <f aca="false">Z238+O239</f>
        <v>155250</v>
      </c>
    </row>
    <row r="240" customFormat="false" ht="12" hidden="false" customHeight="true" outlineLevel="0" collapsed="false">
      <c r="A240" s="177" t="n">
        <v>185</v>
      </c>
      <c r="B240" s="178" t="n">
        <f aca="false">EDATE(DATA_INICIO,$A240)</f>
        <v>51889</v>
      </c>
      <c r="C240" s="177" t="n">
        <f aca="false">$A240*30</f>
        <v>5550</v>
      </c>
      <c r="D240" s="179" t="n">
        <f aca="false">(1+$B$29)^$A240</f>
        <v>1.83061625423418</v>
      </c>
      <c r="E240" s="180" t="n">
        <f aca="false">$B$6*(1+$B$21)^$A240</f>
        <v>274592.438135127</v>
      </c>
      <c r="F240" s="180" t="n">
        <f aca="false">IF($A240=0,0,$B$13*(1+$B$16)^($A240-1))</f>
        <v>1642.1785635179</v>
      </c>
      <c r="G240" s="180" t="n">
        <f aca="false">F240*$B$14</f>
        <v>131.374285081432</v>
      </c>
      <c r="H240" s="180" t="n">
        <f aca="false">F240-G240</f>
        <v>1510.80427843647</v>
      </c>
      <c r="I240" s="180" t="n">
        <f aca="false">IF($A240=0,0,E240*$B$17/12)</f>
        <v>137.296219067564</v>
      </c>
      <c r="J240" s="180" t="n">
        <f aca="false">H240*$B$19</f>
        <v>120.864342274918</v>
      </c>
      <c r="K240" s="180" t="n">
        <f aca="false">IF($A240=0,0,E240*$B$18/12)</f>
        <v>228.827031779273</v>
      </c>
      <c r="L240" s="180" t="n">
        <f aca="false">MAX(0,H240-I240-J240)</f>
        <v>1252.64371709399</v>
      </c>
      <c r="M240" s="180" t="n">
        <f aca="false">MAX(0,L240*IFERROR(INDEX(TAB_IRPF_ALIQ,MATCH(L240,TAB_IRPF_BASE,1)),0)-IFERROR(INDEX(TAB_IRPF_DED,MATCH(L240,TAB_IRPF_BASE,1)),0))</f>
        <v>0</v>
      </c>
      <c r="N240" s="180" t="n">
        <f aca="false">H240-I240-J240-K240-M240</f>
        <v>1023.81668531472</v>
      </c>
      <c r="O240" s="180" t="n">
        <f aca="false">IF(OR($A240=0,$A240&gt;IN_PRAZO,$B$5=0),0,IF(APORTE_CORRIGIDO="Sim",IN_APORTE*$D240,IN_APORTE))</f>
        <v>0</v>
      </c>
      <c r="P240" s="180" t="n">
        <f aca="false">IF($B$25=1,MAX(0,N240),0)</f>
        <v>1023.81668531472</v>
      </c>
      <c r="Q240" s="180" t="n">
        <f aca="false">R239*$B$27</f>
        <v>2662.47700393523</v>
      </c>
      <c r="R240" s="180" t="n">
        <f aca="false">R239+Q240+O240+P240</f>
        <v>317160.331089437</v>
      </c>
      <c r="S240" s="180" t="n">
        <f aca="false">S239+O240+P240</f>
        <v>142364.138169376</v>
      </c>
      <c r="T240" s="180" t="n">
        <f aca="false">MAX(0,IFERROR(INDEX(TAB_IR,MATCH($C240,TAB_IR_DIAS,1),MATCH("RF_REGR",TAB_IR_REGIMES,0)),0)*MAX(0,R240-S240))</f>
        <v>26219.4289380091</v>
      </c>
      <c r="U240" s="180" t="n">
        <f aca="false">E240*$B$22</f>
        <v>16475.5462881076</v>
      </c>
      <c r="V240" s="180" t="n">
        <f aca="false">IF($B$23=1,0,MAX(0,ALIQ_GANHO_CAP*MAX(0,E240-U240-$B$30)))</f>
        <v>15430.033777053</v>
      </c>
      <c r="W240" s="181" t="n">
        <f aca="false">IF($B$5=0,0,E240-U240-V240+R240-T240)</f>
        <v>533627.760221394</v>
      </c>
      <c r="X240" s="180" t="n">
        <f aca="false">W240/$D240</f>
        <v>291501.705497874</v>
      </c>
      <c r="Y240" s="180" t="n">
        <f aca="false">IF($B$25=1,0,MAX(0,N240))</f>
        <v>0</v>
      </c>
      <c r="Z240" s="180" t="n">
        <f aca="false">Z239+O240</f>
        <v>155250</v>
      </c>
    </row>
    <row r="241" customFormat="false" ht="12" hidden="false" customHeight="true" outlineLevel="0" collapsed="false">
      <c r="A241" s="177" t="n">
        <v>186</v>
      </c>
      <c r="B241" s="178" t="n">
        <f aca="false">EDATE(DATA_INICIO,$A241)</f>
        <v>51920</v>
      </c>
      <c r="C241" s="177" t="n">
        <f aca="false">$A241*30</f>
        <v>5580</v>
      </c>
      <c r="D241" s="179" t="n">
        <f aca="false">(1+$B$29)^$A241</f>
        <v>1.83660921549161</v>
      </c>
      <c r="E241" s="180" t="n">
        <f aca="false">$B$6*(1+$B$21)^$A241</f>
        <v>275491.382323741</v>
      </c>
      <c r="F241" s="180" t="n">
        <f aca="false">IF($A241=0,0,$B$13*(1+$B$16)^($A241-1))</f>
        <v>1647.55462881076</v>
      </c>
      <c r="G241" s="180" t="n">
        <f aca="false">F241*$B$14</f>
        <v>131.804370304861</v>
      </c>
      <c r="H241" s="180" t="n">
        <f aca="false">F241-G241</f>
        <v>1515.7502585059</v>
      </c>
      <c r="I241" s="180" t="n">
        <f aca="false">IF($A241=0,0,E241*$B$17/12)</f>
        <v>137.745691161871</v>
      </c>
      <c r="J241" s="180" t="n">
        <f aca="false">H241*$B$19</f>
        <v>121.260020680472</v>
      </c>
      <c r="K241" s="180" t="n">
        <f aca="false">IF($A241=0,0,E241*$B$18/12)</f>
        <v>229.576151936451</v>
      </c>
      <c r="L241" s="180" t="n">
        <f aca="false">MAX(0,H241-I241-J241)</f>
        <v>1256.74454666356</v>
      </c>
      <c r="M241" s="180" t="n">
        <f aca="false">MAX(0,L241*IFERROR(INDEX(TAB_IRPF_ALIQ,MATCH(L241,TAB_IRPF_BASE,1)),0)-IFERROR(INDEX(TAB_IRPF_DED,MATCH(L241,TAB_IRPF_BASE,1)),0))</f>
        <v>0</v>
      </c>
      <c r="N241" s="180" t="n">
        <f aca="false">H241-I241-J241-K241-M241</f>
        <v>1027.16839472711</v>
      </c>
      <c r="O241" s="180" t="n">
        <f aca="false">IF(OR($A241=0,$A241&gt;IN_PRAZO,$B$5=0),0,IF(APORTE_CORRIGIDO="Sim",IN_APORTE*$D241,IN_APORTE))</f>
        <v>0</v>
      </c>
      <c r="P241" s="180" t="n">
        <f aca="false">IF($B$25=1,MAX(0,N241),0)</f>
        <v>1027.16839472711</v>
      </c>
      <c r="Q241" s="180" t="n">
        <f aca="false">R240*$B$27</f>
        <v>2693.78636613562</v>
      </c>
      <c r="R241" s="180" t="n">
        <f aca="false">R240+Q241+O241+P241</f>
        <v>320881.285850299</v>
      </c>
      <c r="S241" s="180" t="n">
        <f aca="false">S240+O241+P241</f>
        <v>143391.306564103</v>
      </c>
      <c r="T241" s="180" t="n">
        <f aca="false">MAX(0,IFERROR(INDEX(TAB_IR,MATCH($C241,TAB_IR_DIAS,1),MATCH("RF_REGR",TAB_IR_REGIMES,0)),0)*MAX(0,R241-S241))</f>
        <v>26623.4968929294</v>
      </c>
      <c r="U241" s="180" t="n">
        <f aca="false">E241*$B$22</f>
        <v>16529.4829394245</v>
      </c>
      <c r="V241" s="180" t="n">
        <f aca="false">IF($B$23=1,0,MAX(0,ALIQ_GANHO_CAP*MAX(0,E241-U241-$B$30)))</f>
        <v>15556.7849076475</v>
      </c>
      <c r="W241" s="181" t="n">
        <f aca="false">IF($B$5=0,0,E241-U241-V241+R241-T241)</f>
        <v>537662.903434039</v>
      </c>
      <c r="X241" s="180" t="n">
        <f aca="false">W241/$D241</f>
        <v>292747.580105179</v>
      </c>
      <c r="Y241" s="180" t="n">
        <f aca="false">IF($B$25=1,0,MAX(0,N241))</f>
        <v>0</v>
      </c>
      <c r="Z241" s="180" t="n">
        <f aca="false">Z240+O241</f>
        <v>155250</v>
      </c>
    </row>
    <row r="242" customFormat="false" ht="12" hidden="false" customHeight="true" outlineLevel="0" collapsed="false">
      <c r="A242" s="177" t="n">
        <v>187</v>
      </c>
      <c r="B242" s="178" t="n">
        <f aca="false">EDATE(DATA_INICIO,$A242)</f>
        <v>51948</v>
      </c>
      <c r="C242" s="177" t="n">
        <f aca="false">$A242*30</f>
        <v>5610</v>
      </c>
      <c r="D242" s="179" t="n">
        <f aca="false">(1+$B$29)^$A242</f>
        <v>1.84262179614472</v>
      </c>
      <c r="E242" s="180" t="n">
        <f aca="false">$B$6*(1+$B$21)^$A242</f>
        <v>276393.269421708</v>
      </c>
      <c r="F242" s="180" t="n">
        <f aca="false">IF($A242=0,0,$B$13*(1+$B$16)^($A242-1))</f>
        <v>1652.94829394245</v>
      </c>
      <c r="G242" s="180" t="n">
        <f aca="false">F242*$B$14</f>
        <v>132.235863515396</v>
      </c>
      <c r="H242" s="180" t="n">
        <f aca="false">F242-G242</f>
        <v>1520.71243042705</v>
      </c>
      <c r="I242" s="180" t="n">
        <f aca="false">IF($A242=0,0,E242*$B$17/12)</f>
        <v>138.196634710854</v>
      </c>
      <c r="J242" s="180" t="n">
        <f aca="false">H242*$B$19</f>
        <v>121.656994434164</v>
      </c>
      <c r="K242" s="180" t="n">
        <f aca="false">IF($A242=0,0,E242*$B$18/12)</f>
        <v>230.32772451809</v>
      </c>
      <c r="L242" s="180" t="n">
        <f aca="false">MAX(0,H242-I242-J242)</f>
        <v>1260.85880128203</v>
      </c>
      <c r="M242" s="180" t="n">
        <f aca="false">MAX(0,L242*IFERROR(INDEX(TAB_IRPF_ALIQ,MATCH(L242,TAB_IRPF_BASE,1)),0)-IFERROR(INDEX(TAB_IRPF_DED,MATCH(L242,TAB_IRPF_BASE,1)),0))</f>
        <v>0</v>
      </c>
      <c r="N242" s="180" t="n">
        <f aca="false">H242-I242-J242-K242-M242</f>
        <v>1030.53107676394</v>
      </c>
      <c r="O242" s="180" t="n">
        <f aca="false">IF(OR($A242=0,$A242&gt;IN_PRAZO,$B$5=0),0,IF(APORTE_CORRIGIDO="Sim",IN_APORTE*$D242,IN_APORTE))</f>
        <v>0</v>
      </c>
      <c r="P242" s="180" t="n">
        <f aca="false">IF($B$25=1,MAX(0,N242),0)</f>
        <v>1030.53107676394</v>
      </c>
      <c r="Q242" s="180" t="n">
        <f aca="false">R241*$B$27</f>
        <v>2725.39012051874</v>
      </c>
      <c r="R242" s="180" t="n">
        <f aca="false">R241+Q242+O242+P242</f>
        <v>324637.207047582</v>
      </c>
      <c r="S242" s="180" t="n">
        <f aca="false">S241+O242+P242</f>
        <v>144421.837640867</v>
      </c>
      <c r="T242" s="180" t="n">
        <f aca="false">MAX(0,IFERROR(INDEX(TAB_IR,MATCH($C242,TAB_IR_DIAS,1),MATCH("RF_REGR",TAB_IR_REGIMES,0)),0)*MAX(0,R242-S242))</f>
        <v>27032.3054110073</v>
      </c>
      <c r="U242" s="180" t="n">
        <f aca="false">E242*$B$22</f>
        <v>16583.5961653025</v>
      </c>
      <c r="V242" s="180" t="n">
        <f aca="false">IF($B$23=1,0,MAX(0,ALIQ_GANHO_CAP*MAX(0,E242-U242-$B$30)))</f>
        <v>15683.9509884608</v>
      </c>
      <c r="W242" s="181" t="n">
        <f aca="false">IF($B$5=0,0,E242-U242-V242+R242-T242)</f>
        <v>541730.623904519</v>
      </c>
      <c r="X242" s="180" t="n">
        <f aca="false">W242/$D242</f>
        <v>293999.900054353</v>
      </c>
      <c r="Y242" s="180" t="n">
        <f aca="false">IF($B$25=1,0,MAX(0,N242))</f>
        <v>0</v>
      </c>
      <c r="Z242" s="180" t="n">
        <f aca="false">Z241+O242</f>
        <v>155250</v>
      </c>
    </row>
    <row r="243" customFormat="false" ht="12" hidden="false" customHeight="true" outlineLevel="0" collapsed="false">
      <c r="A243" s="177" t="n">
        <v>188</v>
      </c>
      <c r="B243" s="178" t="n">
        <f aca="false">EDATE(DATA_INICIO,$A243)</f>
        <v>51979</v>
      </c>
      <c r="C243" s="177" t="n">
        <f aca="false">$A243*30</f>
        <v>5640</v>
      </c>
      <c r="D243" s="179" t="n">
        <f aca="false">(1+$B$29)^$A243</f>
        <v>1.8486540604223</v>
      </c>
      <c r="E243" s="180" t="n">
        <f aca="false">$B$6*(1+$B$21)^$A243</f>
        <v>277298.109063345</v>
      </c>
      <c r="F243" s="180" t="n">
        <f aca="false">IF($A243=0,0,$B$13*(1+$B$16)^($A243-1))</f>
        <v>1658.35961653025</v>
      </c>
      <c r="G243" s="180" t="n">
        <f aca="false">F243*$B$14</f>
        <v>132.66876932242</v>
      </c>
      <c r="H243" s="180" t="n">
        <f aca="false">F243-G243</f>
        <v>1525.69084720783</v>
      </c>
      <c r="I243" s="180" t="n">
        <f aca="false">IF($A243=0,0,E243*$B$17/12)</f>
        <v>138.649054531673</v>
      </c>
      <c r="J243" s="180" t="n">
        <f aca="false">H243*$B$19</f>
        <v>122.055267776626</v>
      </c>
      <c r="K243" s="180" t="n">
        <f aca="false">IF($A243=0,0,E243*$B$18/12)</f>
        <v>231.081757552788</v>
      </c>
      <c r="L243" s="180" t="n">
        <f aca="false">MAX(0,H243-I243-J243)</f>
        <v>1264.98652489953</v>
      </c>
      <c r="M243" s="180" t="n">
        <f aca="false">MAX(0,L243*IFERROR(INDEX(TAB_IRPF_ALIQ,MATCH(L243,TAB_IRPF_BASE,1)),0)-IFERROR(INDEX(TAB_IRPF_DED,MATCH(L243,TAB_IRPF_BASE,1)),0))</f>
        <v>0</v>
      </c>
      <c r="N243" s="180" t="n">
        <f aca="false">H243-I243-J243-K243-M243</f>
        <v>1033.90476734674</v>
      </c>
      <c r="O243" s="180" t="n">
        <f aca="false">IF(OR($A243=0,$A243&gt;IN_PRAZO,$B$5=0),0,IF(APORTE_CORRIGIDO="Sim",IN_APORTE*$D243,IN_APORTE))</f>
        <v>0</v>
      </c>
      <c r="P243" s="180" t="n">
        <f aca="false">IF($B$25=1,MAX(0,N243),0)</f>
        <v>1033.90476734674</v>
      </c>
      <c r="Q243" s="180" t="n">
        <f aca="false">R242*$B$27</f>
        <v>2757.29086068623</v>
      </c>
      <c r="R243" s="180" t="n">
        <f aca="false">R242+Q243+O243+P243</f>
        <v>328428.402675615</v>
      </c>
      <c r="S243" s="180" t="n">
        <f aca="false">S242+O243+P243</f>
        <v>145455.742408214</v>
      </c>
      <c r="T243" s="180" t="n">
        <f aca="false">MAX(0,IFERROR(INDEX(TAB_IR,MATCH($C243,TAB_IR_DIAS,1),MATCH("RF_REGR",TAB_IR_REGIMES,0)),0)*MAX(0,R243-S243))</f>
        <v>27445.8990401102</v>
      </c>
      <c r="U243" s="180" t="n">
        <f aca="false">E243*$B$22</f>
        <v>16637.8865438007</v>
      </c>
      <c r="V243" s="180" t="n">
        <f aca="false">IF($B$23=1,0,MAX(0,ALIQ_GANHO_CAP*MAX(0,E243-U243-$B$30)))</f>
        <v>15811.5333779317</v>
      </c>
      <c r="W243" s="181" t="n">
        <f aca="false">IF($B$5=0,0,E243-U243-V243+R243-T243)</f>
        <v>545831.192777118</v>
      </c>
      <c r="X243" s="180" t="n">
        <f aca="false">W243/$D243</f>
        <v>295258.698997707</v>
      </c>
      <c r="Y243" s="180" t="n">
        <f aca="false">IF($B$25=1,0,MAX(0,N243))</f>
        <v>0</v>
      </c>
      <c r="Z243" s="180" t="n">
        <f aca="false">Z242+O243</f>
        <v>155250</v>
      </c>
    </row>
    <row r="244" customFormat="false" ht="12" hidden="false" customHeight="true" outlineLevel="0" collapsed="false">
      <c r="A244" s="177" t="n">
        <v>189</v>
      </c>
      <c r="B244" s="178" t="n">
        <f aca="false">EDATE(DATA_INICIO,$A244)</f>
        <v>52009</v>
      </c>
      <c r="C244" s="177" t="n">
        <f aca="false">$A244*30</f>
        <v>5670</v>
      </c>
      <c r="D244" s="179" t="n">
        <f aca="false">(1+$B$29)^$A244</f>
        <v>1.85470607276343</v>
      </c>
      <c r="E244" s="180" t="n">
        <f aca="false">$B$6*(1+$B$21)^$A244</f>
        <v>278205.910914515</v>
      </c>
      <c r="F244" s="180" t="n">
        <f aca="false">IF($A244=0,0,$B$13*(1+$B$16)^($A244-1))</f>
        <v>1663.78865438007</v>
      </c>
      <c r="G244" s="180" t="n">
        <f aca="false">F244*$B$14</f>
        <v>133.103092350406</v>
      </c>
      <c r="H244" s="180" t="n">
        <f aca="false">F244-G244</f>
        <v>1530.68556202967</v>
      </c>
      <c r="I244" s="180" t="n">
        <f aca="false">IF($A244=0,0,E244*$B$17/12)</f>
        <v>139.102955457257</v>
      </c>
      <c r="J244" s="180" t="n">
        <f aca="false">H244*$B$19</f>
        <v>122.454844962373</v>
      </c>
      <c r="K244" s="180" t="n">
        <f aca="false">IF($A244=0,0,E244*$B$18/12)</f>
        <v>231.838259095429</v>
      </c>
      <c r="L244" s="180" t="n">
        <f aca="false">MAX(0,H244-I244-J244)</f>
        <v>1269.12776161004</v>
      </c>
      <c r="M244" s="180" t="n">
        <f aca="false">MAX(0,L244*IFERROR(INDEX(TAB_IRPF_ALIQ,MATCH(L244,TAB_IRPF_BASE,1)),0)-IFERROR(INDEX(TAB_IRPF_DED,MATCH(L244,TAB_IRPF_BASE,1)),0))</f>
        <v>0</v>
      </c>
      <c r="N244" s="180" t="n">
        <f aca="false">H244-I244-J244-K244-M244</f>
        <v>1037.28950251461</v>
      </c>
      <c r="O244" s="180" t="n">
        <f aca="false">IF(OR($A244=0,$A244&gt;IN_PRAZO,$B$5=0),0,IF(APORTE_CORRIGIDO="Sim",IN_APORTE*$D244,IN_APORTE))</f>
        <v>0</v>
      </c>
      <c r="P244" s="180" t="n">
        <f aca="false">IF($B$25=1,MAX(0,N244),0)</f>
        <v>1037.28950251461</v>
      </c>
      <c r="Q244" s="180" t="n">
        <f aca="false">R243*$B$27</f>
        <v>2789.49120257346</v>
      </c>
      <c r="R244" s="180" t="n">
        <f aca="false">R243+Q244+O244+P244</f>
        <v>332255.183380703</v>
      </c>
      <c r="S244" s="180" t="n">
        <f aca="false">S243+O244+P244</f>
        <v>146493.031910728</v>
      </c>
      <c r="T244" s="180" t="n">
        <f aca="false">MAX(0,IFERROR(INDEX(TAB_IR,MATCH($C244,TAB_IR_DIAS,1),MATCH("RF_REGR",TAB_IR_REGIMES,0)),0)*MAX(0,R244-S244))</f>
        <v>27864.3227204962</v>
      </c>
      <c r="U244" s="180" t="n">
        <f aca="false">E244*$B$22</f>
        <v>16692.3546548709</v>
      </c>
      <c r="V244" s="180" t="n">
        <f aca="false">IF($B$23=1,0,MAX(0,ALIQ_GANHO_CAP*MAX(0,E244-U244-$B$30)))</f>
        <v>15939.5334389466</v>
      </c>
      <c r="W244" s="181" t="n">
        <f aca="false">IF($B$5=0,0,E244-U244-V244+R244-T244)</f>
        <v>549964.883480904</v>
      </c>
      <c r="X244" s="180" t="n">
        <f aca="false">W244/$D244</f>
        <v>296524.010762245</v>
      </c>
      <c r="Y244" s="180" t="n">
        <f aca="false">IF($B$25=1,0,MAX(0,N244))</f>
        <v>0</v>
      </c>
      <c r="Z244" s="180" t="n">
        <f aca="false">Z243+O244</f>
        <v>155250</v>
      </c>
    </row>
    <row r="245" customFormat="false" ht="12" hidden="false" customHeight="true" outlineLevel="0" collapsed="false">
      <c r="A245" s="177" t="n">
        <v>190</v>
      </c>
      <c r="B245" s="178" t="n">
        <f aca="false">EDATE(DATA_INICIO,$A245)</f>
        <v>52040</v>
      </c>
      <c r="C245" s="177" t="n">
        <f aca="false">$A245*30</f>
        <v>5700</v>
      </c>
      <c r="D245" s="179" t="n">
        <f aca="false">(1+$B$29)^$A245</f>
        <v>1.86077789781812</v>
      </c>
      <c r="E245" s="180" t="n">
        <f aca="false">$B$6*(1+$B$21)^$A245</f>
        <v>279116.684672718</v>
      </c>
      <c r="F245" s="180" t="n">
        <f aca="false">IF($A245=0,0,$B$13*(1+$B$16)^($A245-1))</f>
        <v>1669.23546548709</v>
      </c>
      <c r="G245" s="180" t="n">
        <f aca="false">F245*$B$14</f>
        <v>133.538837238967</v>
      </c>
      <c r="H245" s="180" t="n">
        <f aca="false">F245-G245</f>
        <v>1535.69662824812</v>
      </c>
      <c r="I245" s="180" t="n">
        <f aca="false">IF($A245=0,0,E245*$B$17/12)</f>
        <v>139.558342336359</v>
      </c>
      <c r="J245" s="180" t="n">
        <f aca="false">H245*$B$19</f>
        <v>122.85573025985</v>
      </c>
      <c r="K245" s="180" t="n">
        <f aca="false">IF($A245=0,0,E245*$B$18/12)</f>
        <v>232.597237227265</v>
      </c>
      <c r="L245" s="180" t="n">
        <f aca="false">MAX(0,H245-I245-J245)</f>
        <v>1273.28255565191</v>
      </c>
      <c r="M245" s="180" t="n">
        <f aca="false">MAX(0,L245*IFERROR(INDEX(TAB_IRPF_ALIQ,MATCH(L245,TAB_IRPF_BASE,1)),0)-IFERROR(INDEX(TAB_IRPF_DED,MATCH(L245,TAB_IRPF_BASE,1)),0))</f>
        <v>0</v>
      </c>
      <c r="N245" s="180" t="n">
        <f aca="false">H245-I245-J245-K245-M245</f>
        <v>1040.68531842465</v>
      </c>
      <c r="O245" s="180" t="n">
        <f aca="false">IF(OR($A245=0,$A245&gt;IN_PRAZO,$B$5=0),0,IF(APORTE_CORRIGIDO="Sim",IN_APORTE*$D245,IN_APORTE))</f>
        <v>0</v>
      </c>
      <c r="P245" s="180" t="n">
        <f aca="false">IF($B$25=1,MAX(0,N245),0)</f>
        <v>1040.68531842465</v>
      </c>
      <c r="Q245" s="180" t="n">
        <f aca="false">R244*$B$27</f>
        <v>2821.99378464023</v>
      </c>
      <c r="R245" s="180" t="n">
        <f aca="false">R244+Q245+O245+P245</f>
        <v>336117.862483768</v>
      </c>
      <c r="S245" s="180" t="n">
        <f aca="false">S244+O245+P245</f>
        <v>147533.717229153</v>
      </c>
      <c r="T245" s="180" t="n">
        <f aca="false">MAX(0,IFERROR(INDEX(TAB_IR,MATCH($C245,TAB_IR_DIAS,1),MATCH("RF_REGR",TAB_IR_REGIMES,0)),0)*MAX(0,R245-S245))</f>
        <v>28287.6217881922</v>
      </c>
      <c r="U245" s="180" t="n">
        <f aca="false">E245*$B$22</f>
        <v>16747.0010803631</v>
      </c>
      <c r="V245" s="180" t="n">
        <f aca="false">IF($B$23=1,0,MAX(0,ALIQ_GANHO_CAP*MAX(0,E245-U245-$B$30)))</f>
        <v>16067.9525388533</v>
      </c>
      <c r="W245" s="181" t="n">
        <f aca="false">IF($B$5=0,0,E245-U245-V245+R245-T245)</f>
        <v>554131.971749078</v>
      </c>
      <c r="X245" s="180" t="n">
        <f aca="false">W245/$D245</f>
        <v>297795.869350572</v>
      </c>
      <c r="Y245" s="180" t="n">
        <f aca="false">IF($B$25=1,0,MAX(0,N245))</f>
        <v>0</v>
      </c>
      <c r="Z245" s="180" t="n">
        <f aca="false">Z244+O245</f>
        <v>155250</v>
      </c>
    </row>
    <row r="246" customFormat="false" ht="12" hidden="false" customHeight="true" outlineLevel="0" collapsed="false">
      <c r="A246" s="177" t="n">
        <v>191</v>
      </c>
      <c r="B246" s="178" t="n">
        <f aca="false">EDATE(DATA_INICIO,$A246)</f>
        <v>52070</v>
      </c>
      <c r="C246" s="177" t="n">
        <f aca="false">$A246*30</f>
        <v>5730</v>
      </c>
      <c r="D246" s="179" t="n">
        <f aca="false">(1+$B$29)^$A246</f>
        <v>1.86686960044805</v>
      </c>
      <c r="E246" s="180" t="n">
        <f aca="false">$B$6*(1+$B$21)^$A246</f>
        <v>280030.440067207</v>
      </c>
      <c r="F246" s="180" t="n">
        <f aca="false">IF($A246=0,0,$B$13*(1+$B$16)^($A246-1))</f>
        <v>1674.70010803631</v>
      </c>
      <c r="G246" s="180" t="n">
        <f aca="false">F246*$B$14</f>
        <v>133.976008642905</v>
      </c>
      <c r="H246" s="180" t="n">
        <f aca="false">F246-G246</f>
        <v>1540.72409939341</v>
      </c>
      <c r="I246" s="180" t="n">
        <f aca="false">IF($A246=0,0,E246*$B$17/12)</f>
        <v>140.015220033603</v>
      </c>
      <c r="J246" s="180" t="n">
        <f aca="false">H246*$B$19</f>
        <v>123.257927951472</v>
      </c>
      <c r="K246" s="180" t="n">
        <f aca="false">IF($A246=0,0,E246*$B$18/12)</f>
        <v>233.358700056006</v>
      </c>
      <c r="L246" s="180" t="n">
        <f aca="false">MAX(0,H246-I246-J246)</f>
        <v>1277.45095140833</v>
      </c>
      <c r="M246" s="180" t="n">
        <f aca="false">MAX(0,L246*IFERROR(INDEX(TAB_IRPF_ALIQ,MATCH(L246,TAB_IRPF_BASE,1)),0)-IFERROR(INDEX(TAB_IRPF_DED,MATCH(L246,TAB_IRPF_BASE,1)),0))</f>
        <v>0</v>
      </c>
      <c r="N246" s="180" t="n">
        <f aca="false">H246-I246-J246-K246-M246</f>
        <v>1044.09225135232</v>
      </c>
      <c r="O246" s="180" t="n">
        <f aca="false">IF(OR($A246=0,$A246&gt;IN_PRAZO,$B$5=0),0,IF(APORTE_CORRIGIDO="Sim",IN_APORTE*$D246,IN_APORTE))</f>
        <v>0</v>
      </c>
      <c r="P246" s="180" t="n">
        <f aca="false">IF($B$25=1,MAX(0,N246),0)</f>
        <v>1044.09225135232</v>
      </c>
      <c r="Q246" s="180" t="n">
        <f aca="false">R245*$B$27</f>
        <v>2854.80126806305</v>
      </c>
      <c r="R246" s="180" t="n">
        <f aca="false">R245+Q246+O246+P246</f>
        <v>340016.756003183</v>
      </c>
      <c r="S246" s="180" t="n">
        <f aca="false">S245+O246+P246</f>
        <v>148577.809480505</v>
      </c>
      <c r="T246" s="180" t="n">
        <f aca="false">MAX(0,IFERROR(INDEX(TAB_IR,MATCH($C246,TAB_IR_DIAS,1),MATCH("RF_REGR",TAB_IR_REGIMES,0)),0)*MAX(0,R246-S246))</f>
        <v>28715.8419784017</v>
      </c>
      <c r="U246" s="180" t="n">
        <f aca="false">E246*$B$22</f>
        <v>16801.8264040324</v>
      </c>
      <c r="V246" s="180" t="n">
        <f aca="false">IF($B$23=1,0,MAX(0,ALIQ_GANHO_CAP*MAX(0,E246-U246-$B$30)))</f>
        <v>16196.7920494762</v>
      </c>
      <c r="W246" s="181" t="n">
        <f aca="false">IF($B$5=0,0,E246-U246-V246+R246-T246)</f>
        <v>558332.73563848</v>
      </c>
      <c r="X246" s="180" t="n">
        <f aca="false">W246/$D246</f>
        <v>299074.308941814</v>
      </c>
      <c r="Y246" s="180" t="n">
        <f aca="false">IF($B$25=1,0,MAX(0,N246))</f>
        <v>0</v>
      </c>
      <c r="Z246" s="180" t="n">
        <f aca="false">Z245+O246</f>
        <v>155250</v>
      </c>
    </row>
    <row r="247" customFormat="false" ht="12" hidden="false" customHeight="true" outlineLevel="0" collapsed="false">
      <c r="A247" s="177" t="n">
        <v>192</v>
      </c>
      <c r="B247" s="178" t="n">
        <f aca="false">EDATE(DATA_INICIO,$A247)</f>
        <v>52101</v>
      </c>
      <c r="C247" s="177" t="n">
        <f aca="false">$A247*30</f>
        <v>5760</v>
      </c>
      <c r="D247" s="179" t="n">
        <f aca="false">(1+$B$29)^$A247</f>
        <v>1.87298124572721</v>
      </c>
      <c r="E247" s="180" t="n">
        <f aca="false">$B$6*(1+$B$21)^$A247</f>
        <v>280947.186859082</v>
      </c>
      <c r="F247" s="180" t="n">
        <f aca="false">IF($A247=0,0,$B$13*(1+$B$16)^($A247-1))</f>
        <v>1680.18264040324</v>
      </c>
      <c r="G247" s="180" t="n">
        <f aca="false">F247*$B$14</f>
        <v>134.414611232259</v>
      </c>
      <c r="H247" s="180" t="n">
        <f aca="false">F247-G247</f>
        <v>1545.76802917098</v>
      </c>
      <c r="I247" s="180" t="n">
        <f aca="false">IF($A247=0,0,E247*$B$17/12)</f>
        <v>140.473593429541</v>
      </c>
      <c r="J247" s="180" t="n">
        <f aca="false">H247*$B$19</f>
        <v>123.661442333679</v>
      </c>
      <c r="K247" s="180" t="n">
        <f aca="false">IF($A247=0,0,E247*$B$18/12)</f>
        <v>234.122655715901</v>
      </c>
      <c r="L247" s="180" t="n">
        <f aca="false">MAX(0,H247-I247-J247)</f>
        <v>1281.63299340776</v>
      </c>
      <c r="M247" s="180" t="n">
        <f aca="false">MAX(0,L247*IFERROR(INDEX(TAB_IRPF_ALIQ,MATCH(L247,TAB_IRPF_BASE,1)),0)-IFERROR(INDEX(TAB_IRPF_DED,MATCH(L247,TAB_IRPF_BASE,1)),0))</f>
        <v>0</v>
      </c>
      <c r="N247" s="180" t="n">
        <f aca="false">H247-I247-J247-K247-M247</f>
        <v>1047.51033769186</v>
      </c>
      <c r="O247" s="180" t="n">
        <f aca="false">IF(OR($A247=0,$A247&gt;IN_PRAZO,$B$5=0),0,IF(APORTE_CORRIGIDO="Sim",IN_APORTE*$D247,IN_APORTE))</f>
        <v>0</v>
      </c>
      <c r="P247" s="180" t="n">
        <f aca="false">IF($B$25=1,MAX(0,N247),0)</f>
        <v>1047.51033769186</v>
      </c>
      <c r="Q247" s="180" t="n">
        <f aca="false">R246*$B$27</f>
        <v>2887.91633692913</v>
      </c>
      <c r="R247" s="180" t="n">
        <f aca="false">R246+Q247+O247+P247</f>
        <v>343952.182677804</v>
      </c>
      <c r="S247" s="180" t="n">
        <f aca="false">S246+O247+P247</f>
        <v>149625.319818197</v>
      </c>
      <c r="T247" s="180" t="n">
        <f aca="false">MAX(0,IFERROR(INDEX(TAB_IR,MATCH($C247,TAB_IR_DIAS,1),MATCH("RF_REGR",TAB_IR_REGIMES,0)),0)*MAX(0,R247-S247))</f>
        <v>29149.0294289411</v>
      </c>
      <c r="U247" s="180" t="n">
        <f aca="false">E247*$B$22</f>
        <v>16856.8312115449</v>
      </c>
      <c r="V247" s="180" t="n">
        <f aca="false">IF($B$23=1,0,MAX(0,ALIQ_GANHO_CAP*MAX(0,E247-U247-$B$30)))</f>
        <v>16326.0533471305</v>
      </c>
      <c r="W247" s="181" t="n">
        <f aca="false">IF($B$5=0,0,E247-U247-V247+R247-T247)</f>
        <v>562567.455549269</v>
      </c>
      <c r="X247" s="180" t="n">
        <f aca="false">W247/$D247</f>
        <v>300359.363892533</v>
      </c>
      <c r="Y247" s="180" t="n">
        <f aca="false">IF($B$25=1,0,MAX(0,N247))</f>
        <v>0</v>
      </c>
      <c r="Z247" s="180" t="n">
        <f aca="false">Z246+O247</f>
        <v>155250</v>
      </c>
    </row>
    <row r="248" customFormat="false" ht="12" hidden="false" customHeight="true" outlineLevel="0" collapsed="false">
      <c r="A248" s="177" t="n">
        <v>193</v>
      </c>
      <c r="B248" s="178" t="n">
        <f aca="false">EDATE(DATA_INICIO,$A248)</f>
        <v>52132</v>
      </c>
      <c r="C248" s="177" t="n">
        <f aca="false">$A248*30</f>
        <v>5790</v>
      </c>
      <c r="D248" s="179" t="n">
        <f aca="false">(1+$B$29)^$A248</f>
        <v>1.87911289894266</v>
      </c>
      <c r="E248" s="180" t="n">
        <f aca="false">$B$6*(1+$B$21)^$A248</f>
        <v>281866.934841399</v>
      </c>
      <c r="F248" s="180" t="n">
        <f aca="false">IF($A248=0,0,$B$13*(1+$B$16)^($A248-1))</f>
        <v>1685.68312115449</v>
      </c>
      <c r="G248" s="180" t="n">
        <f aca="false">F248*$B$14</f>
        <v>134.854649692359</v>
      </c>
      <c r="H248" s="180" t="n">
        <f aca="false">F248-G248</f>
        <v>1550.82847146213</v>
      </c>
      <c r="I248" s="180" t="n">
        <f aca="false">IF($A248=0,0,E248*$B$17/12)</f>
        <v>140.9334674207</v>
      </c>
      <c r="J248" s="180" t="n">
        <f aca="false">H248*$B$19</f>
        <v>124.06627771697</v>
      </c>
      <c r="K248" s="180" t="n">
        <f aca="false">IF($A248=0,0,E248*$B$18/12)</f>
        <v>234.889112367833</v>
      </c>
      <c r="L248" s="180" t="n">
        <f aca="false">MAX(0,H248-I248-J248)</f>
        <v>1285.82872632446</v>
      </c>
      <c r="M248" s="180" t="n">
        <f aca="false">MAX(0,L248*IFERROR(INDEX(TAB_IRPF_ALIQ,MATCH(L248,TAB_IRPF_BASE,1)),0)-IFERROR(INDEX(TAB_IRPF_DED,MATCH(L248,TAB_IRPF_BASE,1)),0))</f>
        <v>0</v>
      </c>
      <c r="N248" s="180" t="n">
        <f aca="false">H248-I248-J248-K248-M248</f>
        <v>1050.93961395663</v>
      </c>
      <c r="O248" s="180" t="n">
        <f aca="false">IF(OR($A248=0,$A248&gt;IN_PRAZO,$B$5=0),0,IF(APORTE_CORRIGIDO="Sim",IN_APORTE*$D248,IN_APORTE))</f>
        <v>0</v>
      </c>
      <c r="P248" s="180" t="n">
        <f aca="false">IF($B$25=1,MAX(0,N248),0)</f>
        <v>1050.93961395663</v>
      </c>
      <c r="Q248" s="180" t="n">
        <f aca="false">R247*$B$27</f>
        <v>2921.34169843196</v>
      </c>
      <c r="R248" s="180" t="n">
        <f aca="false">R247+Q248+O248+P248</f>
        <v>347924.463990193</v>
      </c>
      <c r="S248" s="180" t="n">
        <f aca="false">S247+O248+P248</f>
        <v>150676.259432154</v>
      </c>
      <c r="T248" s="180" t="n">
        <f aca="false">MAX(0,IFERROR(INDEX(TAB_IR,MATCH($C248,TAB_IR_DIAS,1),MATCH("RF_REGR",TAB_IR_REGIMES,0)),0)*MAX(0,R248-S248))</f>
        <v>29587.2306837059</v>
      </c>
      <c r="U248" s="180" t="n">
        <f aca="false">E248*$B$22</f>
        <v>16912.0160904839</v>
      </c>
      <c r="V248" s="180" t="n">
        <f aca="false">IF($B$23=1,0,MAX(0,ALIQ_GANHO_CAP*MAX(0,E248-U248-$B$30)))</f>
        <v>16455.7378126373</v>
      </c>
      <c r="W248" s="181" t="n">
        <f aca="false">IF($B$5=0,0,E248-U248-V248+R248-T248)</f>
        <v>566836.414244765</v>
      </c>
      <c r="X248" s="180" t="n">
        <f aca="false">W248/$D248</f>
        <v>301651.068737654</v>
      </c>
      <c r="Y248" s="180" t="n">
        <f aca="false">IF($B$25=1,0,MAX(0,N248))</f>
        <v>0</v>
      </c>
      <c r="Z248" s="180" t="n">
        <f aca="false">Z247+O248</f>
        <v>155250</v>
      </c>
    </row>
    <row r="249" customFormat="false" ht="12" hidden="false" customHeight="true" outlineLevel="0" collapsed="false">
      <c r="A249" s="177" t="n">
        <v>194</v>
      </c>
      <c r="B249" s="178" t="n">
        <f aca="false">EDATE(DATA_INICIO,$A249)</f>
        <v>52162</v>
      </c>
      <c r="C249" s="177" t="n">
        <f aca="false">$A249*30</f>
        <v>5820</v>
      </c>
      <c r="D249" s="179" t="n">
        <f aca="false">(1+$B$29)^$A249</f>
        <v>1.88526462559517</v>
      </c>
      <c r="E249" s="180" t="n">
        <f aca="false">$B$6*(1+$B$21)^$A249</f>
        <v>282789.693839276</v>
      </c>
      <c r="F249" s="180" t="n">
        <f aca="false">IF($A249=0,0,$B$13*(1+$B$16)^($A249-1))</f>
        <v>1691.20160904839</v>
      </c>
      <c r="G249" s="180" t="n">
        <f aca="false">F249*$B$14</f>
        <v>135.296128723872</v>
      </c>
      <c r="H249" s="180" t="n">
        <f aca="false">F249-G249</f>
        <v>1555.90548032452</v>
      </c>
      <c r="I249" s="180" t="n">
        <f aca="false">IF($A249=0,0,E249*$B$17/12)</f>
        <v>141.394846919638</v>
      </c>
      <c r="J249" s="180" t="n">
        <f aca="false">H249*$B$19</f>
        <v>124.472438425962</v>
      </c>
      <c r="K249" s="180" t="n">
        <f aca="false">IF($A249=0,0,E249*$B$18/12)</f>
        <v>235.658078199396</v>
      </c>
      <c r="L249" s="180" t="n">
        <f aca="false">MAX(0,H249-I249-J249)</f>
        <v>1290.03819497892</v>
      </c>
      <c r="M249" s="180" t="n">
        <f aca="false">MAX(0,L249*IFERROR(INDEX(TAB_IRPF_ALIQ,MATCH(L249,TAB_IRPF_BASE,1)),0)-IFERROR(INDEX(TAB_IRPF_DED,MATCH(L249,TAB_IRPF_BASE,1)),0))</f>
        <v>0</v>
      </c>
      <c r="N249" s="180" t="n">
        <f aca="false">H249-I249-J249-K249-M249</f>
        <v>1054.38011677953</v>
      </c>
      <c r="O249" s="180" t="n">
        <f aca="false">IF(OR($A249=0,$A249&gt;IN_PRAZO,$B$5=0),0,IF(APORTE_CORRIGIDO="Sim",IN_APORTE*$D249,IN_APORTE))</f>
        <v>0</v>
      </c>
      <c r="P249" s="180" t="n">
        <f aca="false">IF($B$25=1,MAX(0,N249),0)</f>
        <v>1054.38011677953</v>
      </c>
      <c r="Q249" s="180" t="n">
        <f aca="false">R248*$B$27</f>
        <v>2955.08008306856</v>
      </c>
      <c r="R249" s="180" t="n">
        <f aca="false">R248+Q249+O249+P249</f>
        <v>351933.924190041</v>
      </c>
      <c r="S249" s="180" t="n">
        <f aca="false">S248+O249+P249</f>
        <v>151730.639548933</v>
      </c>
      <c r="T249" s="180" t="n">
        <f aca="false">MAX(0,IFERROR(INDEX(TAB_IR,MATCH($C249,TAB_IR_DIAS,1),MATCH("RF_REGR",TAB_IR_REGIMES,0)),0)*MAX(0,R249-S249))</f>
        <v>30030.4926961661</v>
      </c>
      <c r="U249" s="180" t="n">
        <f aca="false">E249*$B$22</f>
        <v>16967.3816303565</v>
      </c>
      <c r="V249" s="180" t="n">
        <f aca="false">IF($B$23=1,0,MAX(0,ALIQ_GANHO_CAP*MAX(0,E249-U249-$B$30)))</f>
        <v>16585.8468313379</v>
      </c>
      <c r="W249" s="181" t="n">
        <f aca="false">IF($B$5=0,0,E249-U249-V249+R249-T249)</f>
        <v>571139.896871456</v>
      </c>
      <c r="X249" s="180" t="n">
        <f aca="false">W249/$D249</f>
        <v>302949.458191393</v>
      </c>
      <c r="Y249" s="180" t="n">
        <f aca="false">IF($B$25=1,0,MAX(0,N249))</f>
        <v>0</v>
      </c>
      <c r="Z249" s="180" t="n">
        <f aca="false">Z248+O249</f>
        <v>155250</v>
      </c>
    </row>
    <row r="250" customFormat="false" ht="12" hidden="false" customHeight="true" outlineLevel="0" collapsed="false">
      <c r="A250" s="177" t="n">
        <v>195</v>
      </c>
      <c r="B250" s="178" t="n">
        <f aca="false">EDATE(DATA_INICIO,$A250)</f>
        <v>52193</v>
      </c>
      <c r="C250" s="177" t="n">
        <f aca="false">$A250*30</f>
        <v>5850</v>
      </c>
      <c r="D250" s="179" t="n">
        <f aca="false">(1+$B$29)^$A250</f>
        <v>1.89143649139996</v>
      </c>
      <c r="E250" s="180" t="n">
        <f aca="false">$B$6*(1+$B$21)^$A250</f>
        <v>283715.473709993</v>
      </c>
      <c r="F250" s="180" t="n">
        <f aca="false">IF($A250=0,0,$B$13*(1+$B$16)^($A250-1))</f>
        <v>1696.73816303565</v>
      </c>
      <c r="G250" s="180" t="n">
        <f aca="false">F250*$B$14</f>
        <v>135.739053042852</v>
      </c>
      <c r="H250" s="180" t="n">
        <f aca="false">F250-G250</f>
        <v>1560.9991099928</v>
      </c>
      <c r="I250" s="180" t="n">
        <f aca="false">IF($A250=0,0,E250*$B$17/12)</f>
        <v>141.857736854997</v>
      </c>
      <c r="J250" s="180" t="n">
        <f aca="false">H250*$B$19</f>
        <v>124.879928799424</v>
      </c>
      <c r="K250" s="180" t="n">
        <f aca="false">IF($A250=0,0,E250*$B$18/12)</f>
        <v>236.429561424994</v>
      </c>
      <c r="L250" s="180" t="n">
        <f aca="false">MAX(0,H250-I250-J250)</f>
        <v>1294.26144433838</v>
      </c>
      <c r="M250" s="180" t="n">
        <f aca="false">MAX(0,L250*IFERROR(INDEX(TAB_IRPF_ALIQ,MATCH(L250,TAB_IRPF_BASE,1)),0)-IFERROR(INDEX(TAB_IRPF_DED,MATCH(L250,TAB_IRPF_BASE,1)),0))</f>
        <v>0</v>
      </c>
      <c r="N250" s="180" t="n">
        <f aca="false">H250-I250-J250-K250-M250</f>
        <v>1057.83188291339</v>
      </c>
      <c r="O250" s="180" t="n">
        <f aca="false">IF(OR($A250=0,$A250&gt;IN_PRAZO,$B$5=0),0,IF(APORTE_CORRIGIDO="Sim",IN_APORTE*$D250,IN_APORTE))</f>
        <v>0</v>
      </c>
      <c r="P250" s="180" t="n">
        <f aca="false">IF($B$25=1,MAX(0,N250),0)</f>
        <v>1057.83188291339</v>
      </c>
      <c r="Q250" s="180" t="n">
        <f aca="false">R249*$B$27</f>
        <v>2989.13424483846</v>
      </c>
      <c r="R250" s="180" t="n">
        <f aca="false">R249+Q250+O250+P250</f>
        <v>355980.890317793</v>
      </c>
      <c r="S250" s="180" t="n">
        <f aca="false">S249+O250+P250</f>
        <v>152788.471431847</v>
      </c>
      <c r="T250" s="180" t="n">
        <f aca="false">MAX(0,IFERROR(INDEX(TAB_IR,MATCH($C250,TAB_IR_DIAS,1),MATCH("RF_REGR",TAB_IR_REGIMES,0)),0)*MAX(0,R250-S250))</f>
        <v>30478.8628328919</v>
      </c>
      <c r="U250" s="180" t="n">
        <f aca="false">E250*$B$22</f>
        <v>17022.9284225996</v>
      </c>
      <c r="V250" s="180" t="n">
        <f aca="false">IF($B$23=1,0,MAX(0,ALIQ_GANHO_CAP*MAX(0,E250-U250-$B$30)))</f>
        <v>16716.381793109</v>
      </c>
      <c r="W250" s="181" t="n">
        <f aca="false">IF($B$5=0,0,E250-U250-V250+R250-T250)</f>
        <v>575478.190979185</v>
      </c>
      <c r="X250" s="180" t="n">
        <f aca="false">W250/$D250</f>
        <v>304254.56714819</v>
      </c>
      <c r="Y250" s="180" t="n">
        <f aca="false">IF($B$25=1,0,MAX(0,N250))</f>
        <v>0</v>
      </c>
      <c r="Z250" s="180" t="n">
        <f aca="false">Z249+O250</f>
        <v>155250</v>
      </c>
    </row>
    <row r="251" customFormat="false" ht="12" hidden="false" customHeight="true" outlineLevel="0" collapsed="false">
      <c r="A251" s="177" t="n">
        <v>196</v>
      </c>
      <c r="B251" s="178" t="n">
        <f aca="false">EDATE(DATA_INICIO,$A251)</f>
        <v>52223</v>
      </c>
      <c r="C251" s="177" t="n">
        <f aca="false">$A251*30</f>
        <v>5880</v>
      </c>
      <c r="D251" s="179" t="n">
        <f aca="false">(1+$B$29)^$A251</f>
        <v>1.89762856228735</v>
      </c>
      <c r="E251" s="180" t="n">
        <f aca="false">$B$6*(1+$B$21)^$A251</f>
        <v>284644.284343103</v>
      </c>
      <c r="F251" s="180" t="n">
        <f aca="false">IF($A251=0,0,$B$13*(1+$B$16)^($A251-1))</f>
        <v>1702.29284225996</v>
      </c>
      <c r="G251" s="180" t="n">
        <f aca="false">F251*$B$14</f>
        <v>136.183427380797</v>
      </c>
      <c r="H251" s="180" t="n">
        <f aca="false">F251-G251</f>
        <v>1566.10941487916</v>
      </c>
      <c r="I251" s="180" t="n">
        <f aca="false">IF($A251=0,0,E251*$B$17/12)</f>
        <v>142.322142171552</v>
      </c>
      <c r="J251" s="180" t="n">
        <f aca="false">H251*$B$19</f>
        <v>125.288753190333</v>
      </c>
      <c r="K251" s="180" t="n">
        <f aca="false">IF($A251=0,0,E251*$B$18/12)</f>
        <v>237.203570285919</v>
      </c>
      <c r="L251" s="180" t="n">
        <f aca="false">MAX(0,H251-I251-J251)</f>
        <v>1298.49851951728</v>
      </c>
      <c r="M251" s="180" t="n">
        <f aca="false">MAX(0,L251*IFERROR(INDEX(TAB_IRPF_ALIQ,MATCH(L251,TAB_IRPF_BASE,1)),0)-IFERROR(INDEX(TAB_IRPF_DED,MATCH(L251,TAB_IRPF_BASE,1)),0))</f>
        <v>0</v>
      </c>
      <c r="N251" s="180" t="n">
        <f aca="false">H251-I251-J251-K251-M251</f>
        <v>1061.29494923136</v>
      </c>
      <c r="O251" s="180" t="n">
        <f aca="false">IF(OR($A251=0,$A251&gt;IN_PRAZO,$B$5=0),0,IF(APORTE_CORRIGIDO="Sim",IN_APORTE*$D251,IN_APORTE))</f>
        <v>0</v>
      </c>
      <c r="P251" s="180" t="n">
        <f aca="false">IF($B$25=1,MAX(0,N251),0)</f>
        <v>1061.29494923136</v>
      </c>
      <c r="Q251" s="180" t="n">
        <f aca="false">R250*$B$27</f>
        <v>3023.5069614443</v>
      </c>
      <c r="R251" s="180" t="n">
        <f aca="false">R250+Q251+O251+P251</f>
        <v>360065.692228468</v>
      </c>
      <c r="S251" s="180" t="n">
        <f aca="false">S250+O251+P251</f>
        <v>153849.766381078</v>
      </c>
      <c r="T251" s="180" t="n">
        <f aca="false">MAX(0,IFERROR(INDEX(TAB_IR,MATCH($C251,TAB_IR_DIAS,1),MATCH("RF_REGR",TAB_IR_REGIMES,0)),0)*MAX(0,R251-S251))</f>
        <v>30932.3888771085</v>
      </c>
      <c r="U251" s="180" t="n">
        <f aca="false">E251*$B$22</f>
        <v>17078.6570605862</v>
      </c>
      <c r="V251" s="180" t="n">
        <f aca="false">IF($B$23=1,0,MAX(0,ALIQ_GANHO_CAP*MAX(0,E251-U251-$B$30)))</f>
        <v>16847.3440923775</v>
      </c>
      <c r="W251" s="181" t="n">
        <f aca="false">IF($B$5=0,0,E251-U251-V251+R251-T251)</f>
        <v>579851.586541499</v>
      </c>
      <c r="X251" s="180" t="n">
        <f aca="false">W251/$D251</f>
        <v>305566.430683653</v>
      </c>
      <c r="Y251" s="180" t="n">
        <f aca="false">IF($B$25=1,0,MAX(0,N251))</f>
        <v>0</v>
      </c>
      <c r="Z251" s="180" t="n">
        <f aca="false">Z250+O251</f>
        <v>155250</v>
      </c>
    </row>
    <row r="252" customFormat="false" ht="12" hidden="false" customHeight="true" outlineLevel="0" collapsed="false">
      <c r="A252" s="177" t="n">
        <v>197</v>
      </c>
      <c r="B252" s="178" t="n">
        <f aca="false">EDATE(DATA_INICIO,$A252)</f>
        <v>52254</v>
      </c>
      <c r="C252" s="177" t="n">
        <f aca="false">$A252*30</f>
        <v>5910</v>
      </c>
      <c r="D252" s="179" t="n">
        <f aca="false">(1+$B$29)^$A252</f>
        <v>1.90384090440355</v>
      </c>
      <c r="E252" s="180" t="n">
        <f aca="false">$B$6*(1+$B$21)^$A252</f>
        <v>285576.135660533</v>
      </c>
      <c r="F252" s="180" t="n">
        <f aca="false">IF($A252=0,0,$B$13*(1+$B$16)^($A252-1))</f>
        <v>1707.86570605862</v>
      </c>
      <c r="G252" s="180" t="n">
        <f aca="false">F252*$B$14</f>
        <v>136.629256484689</v>
      </c>
      <c r="H252" s="180" t="n">
        <f aca="false">F252-G252</f>
        <v>1571.23644957393</v>
      </c>
      <c r="I252" s="180" t="n">
        <f aca="false">IF($A252=0,0,E252*$B$17/12)</f>
        <v>142.788067830266</v>
      </c>
      <c r="J252" s="180" t="n">
        <f aca="false">H252*$B$19</f>
        <v>125.698915965914</v>
      </c>
      <c r="K252" s="180" t="n">
        <f aca="false">IF($A252=0,0,E252*$B$18/12)</f>
        <v>237.980113050444</v>
      </c>
      <c r="L252" s="180" t="n">
        <f aca="false">MAX(0,H252-I252-J252)</f>
        <v>1302.74946577775</v>
      </c>
      <c r="M252" s="180" t="n">
        <f aca="false">MAX(0,L252*IFERROR(INDEX(TAB_IRPF_ALIQ,MATCH(L252,TAB_IRPF_BASE,1)),0)-IFERROR(INDEX(TAB_IRPF_DED,MATCH(L252,TAB_IRPF_BASE,1)),0))</f>
        <v>0</v>
      </c>
      <c r="N252" s="180" t="n">
        <f aca="false">H252-I252-J252-K252-M252</f>
        <v>1064.7693527273</v>
      </c>
      <c r="O252" s="180" t="n">
        <f aca="false">IF(OR($A252=0,$A252&gt;IN_PRAZO,$B$5=0),0,IF(APORTE_CORRIGIDO="Sim",IN_APORTE*$D252,IN_APORTE))</f>
        <v>0</v>
      </c>
      <c r="P252" s="180" t="n">
        <f aca="false">IF($B$25=1,MAX(0,N252),0)</f>
        <v>1064.7693527273</v>
      </c>
      <c r="Q252" s="180" t="n">
        <f aca="false">R251*$B$27</f>
        <v>3058.20103449418</v>
      </c>
      <c r="R252" s="180" t="n">
        <f aca="false">R251+Q252+O252+P252</f>
        <v>364188.66261569</v>
      </c>
      <c r="S252" s="180" t="n">
        <f aca="false">S251+O252+P252</f>
        <v>154914.535733805</v>
      </c>
      <c r="T252" s="180" t="n">
        <f aca="false">MAX(0,IFERROR(INDEX(TAB_IR,MATCH($C252,TAB_IR_DIAS,1),MATCH("RF_REGR",TAB_IR_REGIMES,0)),0)*MAX(0,R252-S252))</f>
        <v>31391.1190322827</v>
      </c>
      <c r="U252" s="180" t="n">
        <f aca="false">E252*$B$22</f>
        <v>17134.568139632</v>
      </c>
      <c r="V252" s="180" t="n">
        <f aca="false">IF($B$23=1,0,MAX(0,ALIQ_GANHO_CAP*MAX(0,E252-U252-$B$30)))</f>
        <v>16978.7351281351</v>
      </c>
      <c r="W252" s="181" t="n">
        <f aca="false">IF($B$5=0,0,E252-U252-V252+R252-T252)</f>
        <v>584260.375976173</v>
      </c>
      <c r="X252" s="180" t="n">
        <f aca="false">W252/$D252</f>
        <v>306885.084055495</v>
      </c>
      <c r="Y252" s="180" t="n">
        <f aca="false">IF($B$25=1,0,MAX(0,N252))</f>
        <v>0</v>
      </c>
      <c r="Z252" s="180" t="n">
        <f aca="false">Z251+O252</f>
        <v>155250</v>
      </c>
    </row>
    <row r="253" customFormat="false" ht="12" hidden="false" customHeight="true" outlineLevel="0" collapsed="false">
      <c r="A253" s="177" t="n">
        <v>198</v>
      </c>
      <c r="B253" s="178" t="n">
        <f aca="false">EDATE(DATA_INICIO,$A253)</f>
        <v>52285</v>
      </c>
      <c r="C253" s="177" t="n">
        <f aca="false">$A253*30</f>
        <v>5940</v>
      </c>
      <c r="D253" s="179" t="n">
        <f aca="false">(1+$B$29)^$A253</f>
        <v>1.91007358411127</v>
      </c>
      <c r="E253" s="180" t="n">
        <f aca="false">$B$6*(1+$B$21)^$A253</f>
        <v>286511.037616691</v>
      </c>
      <c r="F253" s="180" t="n">
        <f aca="false">IF($A253=0,0,$B$13*(1+$B$16)^($A253-1))</f>
        <v>1713.4568139632</v>
      </c>
      <c r="G253" s="180" t="n">
        <f aca="false">F253*$B$14</f>
        <v>137.076545117056</v>
      </c>
      <c r="H253" s="180" t="n">
        <f aca="false">F253-G253</f>
        <v>1576.38026884614</v>
      </c>
      <c r="I253" s="180" t="n">
        <f aca="false">IF($A253=0,0,E253*$B$17/12)</f>
        <v>143.255518808346</v>
      </c>
      <c r="J253" s="180" t="n">
        <f aca="false">H253*$B$19</f>
        <v>126.110421507691</v>
      </c>
      <c r="K253" s="180" t="n">
        <f aca="false">IF($A253=0,0,E253*$B$18/12)</f>
        <v>238.759198013909</v>
      </c>
      <c r="L253" s="180" t="n">
        <f aca="false">MAX(0,H253-I253-J253)</f>
        <v>1307.0143285301</v>
      </c>
      <c r="M253" s="180" t="n">
        <f aca="false">MAX(0,L253*IFERROR(INDEX(TAB_IRPF_ALIQ,MATCH(L253,TAB_IRPF_BASE,1)),0)-IFERROR(INDEX(TAB_IRPF_DED,MATCH(L253,TAB_IRPF_BASE,1)),0))</f>
        <v>0</v>
      </c>
      <c r="N253" s="180" t="n">
        <f aca="false">H253-I253-J253-K253-M253</f>
        <v>1068.25513051619</v>
      </c>
      <c r="O253" s="180" t="n">
        <f aca="false">IF(OR($A253=0,$A253&gt;IN_PRAZO,$B$5=0),0,IF(APORTE_CORRIGIDO="Sim",IN_APORTE*$D253,IN_APORTE))</f>
        <v>0</v>
      </c>
      <c r="P253" s="180" t="n">
        <f aca="false">IF($B$25=1,MAX(0,N253),0)</f>
        <v>1068.25513051619</v>
      </c>
      <c r="Q253" s="180" t="n">
        <f aca="false">R252*$B$27</f>
        <v>3093.21928970576</v>
      </c>
      <c r="R253" s="180" t="n">
        <f aca="false">R252+Q253+O253+P253</f>
        <v>368350.137035912</v>
      </c>
      <c r="S253" s="180" t="n">
        <f aca="false">S252+O253+P253</f>
        <v>155982.790864322</v>
      </c>
      <c r="T253" s="180" t="n">
        <f aca="false">MAX(0,IFERROR(INDEX(TAB_IR,MATCH($C253,TAB_IR_DIAS,1),MATCH("RF_REGR",TAB_IR_REGIMES,0)),0)*MAX(0,R253-S253))</f>
        <v>31855.1019257385</v>
      </c>
      <c r="U253" s="180" t="n">
        <f aca="false">E253*$B$22</f>
        <v>17190.6622570015</v>
      </c>
      <c r="V253" s="180" t="n">
        <f aca="false">IF($B$23=1,0,MAX(0,ALIQ_GANHO_CAP*MAX(0,E253-U253-$B$30)))</f>
        <v>17110.5563039535</v>
      </c>
      <c r="W253" s="181" t="n">
        <f aca="false">IF($B$5=0,0,E253-U253-V253+R253-T253)</f>
        <v>588704.85416591</v>
      </c>
      <c r="X253" s="180" t="n">
        <f aca="false">W253/$D253</f>
        <v>308210.562704486</v>
      </c>
      <c r="Y253" s="180" t="n">
        <f aca="false">IF($B$25=1,0,MAX(0,N253))</f>
        <v>0</v>
      </c>
      <c r="Z253" s="180" t="n">
        <f aca="false">Z252+O253</f>
        <v>155250</v>
      </c>
    </row>
    <row r="254" customFormat="false" ht="12" hidden="false" customHeight="true" outlineLevel="0" collapsed="false">
      <c r="A254" s="177" t="n">
        <v>199</v>
      </c>
      <c r="B254" s="178" t="n">
        <f aca="false">EDATE(DATA_INICIO,$A254)</f>
        <v>52313</v>
      </c>
      <c r="C254" s="177" t="n">
        <f aca="false">$A254*30</f>
        <v>5970</v>
      </c>
      <c r="D254" s="179" t="n">
        <f aca="false">(1+$B$29)^$A254</f>
        <v>1.91632666799051</v>
      </c>
      <c r="E254" s="180" t="n">
        <f aca="false">$B$6*(1+$B$21)^$A254</f>
        <v>287449.000198576</v>
      </c>
      <c r="F254" s="180" t="n">
        <f aca="false">IF($A254=0,0,$B$13*(1+$B$16)^($A254-1))</f>
        <v>1719.06622570015</v>
      </c>
      <c r="G254" s="180" t="n">
        <f aca="false">F254*$B$14</f>
        <v>137.525298056012</v>
      </c>
      <c r="H254" s="180" t="n">
        <f aca="false">F254-G254</f>
        <v>1581.54092764414</v>
      </c>
      <c r="I254" s="180" t="n">
        <f aca="false">IF($A254=0,0,E254*$B$17/12)</f>
        <v>143.724500099288</v>
      </c>
      <c r="J254" s="180" t="n">
        <f aca="false">H254*$B$19</f>
        <v>126.523274211531</v>
      </c>
      <c r="K254" s="180" t="n">
        <f aca="false">IF($A254=0,0,E254*$B$18/12)</f>
        <v>239.540833498813</v>
      </c>
      <c r="L254" s="180" t="n">
        <f aca="false">MAX(0,H254-I254-J254)</f>
        <v>1311.29315333332</v>
      </c>
      <c r="M254" s="180" t="n">
        <f aca="false">MAX(0,L254*IFERROR(INDEX(TAB_IRPF_ALIQ,MATCH(L254,TAB_IRPF_BASE,1)),0)-IFERROR(INDEX(TAB_IRPF_DED,MATCH(L254,TAB_IRPF_BASE,1)),0))</f>
        <v>0</v>
      </c>
      <c r="N254" s="180" t="n">
        <f aca="false">H254-I254-J254-K254-M254</f>
        <v>1071.7523198345</v>
      </c>
      <c r="O254" s="180" t="n">
        <f aca="false">IF(OR($A254=0,$A254&gt;IN_PRAZO,$B$5=0),0,IF(APORTE_CORRIGIDO="Sim",IN_APORTE*$D254,IN_APORTE))</f>
        <v>0</v>
      </c>
      <c r="P254" s="180" t="n">
        <f aca="false">IF($B$25=1,MAX(0,N254),0)</f>
        <v>1071.7523198345</v>
      </c>
      <c r="Q254" s="180" t="n">
        <f aca="false">R253*$B$27</f>
        <v>3128.564577112</v>
      </c>
      <c r="R254" s="180" t="n">
        <f aca="false">R253+Q254+O254+P254</f>
        <v>372550.453932858</v>
      </c>
      <c r="S254" s="180" t="n">
        <f aca="false">S253+O254+P254</f>
        <v>157054.543184156</v>
      </c>
      <c r="T254" s="180" t="n">
        <f aca="false">MAX(0,IFERROR(INDEX(TAB_IR,MATCH($C254,TAB_IR_DIAS,1),MATCH("RF_REGR",TAB_IR_REGIMES,0)),0)*MAX(0,R254-S254))</f>
        <v>32324.3866123053</v>
      </c>
      <c r="U254" s="180" t="n">
        <f aca="false">E254*$B$22</f>
        <v>17246.9400119146</v>
      </c>
      <c r="V254" s="180" t="n">
        <f aca="false">IF($B$23=1,0,MAX(0,ALIQ_GANHO_CAP*MAX(0,E254-U254-$B$30)))</f>
        <v>17242.8090279992</v>
      </c>
      <c r="W254" s="181" t="n">
        <f aca="false">IF($B$5=0,0,E254-U254-V254+R254-T254)</f>
        <v>593185.318479215</v>
      </c>
      <c r="X254" s="180" t="n">
        <f aca="false">W254/$D254</f>
        <v>309542.902255407</v>
      </c>
      <c r="Y254" s="180" t="n">
        <f aca="false">IF($B$25=1,0,MAX(0,N254))</f>
        <v>0</v>
      </c>
      <c r="Z254" s="180" t="n">
        <f aca="false">Z253+O254</f>
        <v>155250</v>
      </c>
    </row>
    <row r="255" customFormat="false" ht="12" hidden="false" customHeight="true" outlineLevel="0" collapsed="false">
      <c r="A255" s="177" t="n">
        <v>200</v>
      </c>
      <c r="B255" s="178" t="n">
        <f aca="false">EDATE(DATA_INICIO,$A255)</f>
        <v>52344</v>
      </c>
      <c r="C255" s="177" t="n">
        <f aca="false">$A255*30</f>
        <v>6000</v>
      </c>
      <c r="D255" s="179" t="n">
        <f aca="false">(1+$B$29)^$A255</f>
        <v>1.9226002228392</v>
      </c>
      <c r="E255" s="180" t="n">
        <f aca="false">$B$6*(1+$B$21)^$A255</f>
        <v>288390.033425879</v>
      </c>
      <c r="F255" s="180" t="n">
        <f aca="false">IF($A255=0,0,$B$13*(1+$B$16)^($A255-1))</f>
        <v>1724.69400119146</v>
      </c>
      <c r="G255" s="180" t="n">
        <f aca="false">F255*$B$14</f>
        <v>137.975520095316</v>
      </c>
      <c r="H255" s="180" t="n">
        <f aca="false">F255-G255</f>
        <v>1586.71848109614</v>
      </c>
      <c r="I255" s="180" t="n">
        <f aca="false">IF($A255=0,0,E255*$B$17/12)</f>
        <v>144.19501671294</v>
      </c>
      <c r="J255" s="180" t="n">
        <f aca="false">H255*$B$19</f>
        <v>126.937478487691</v>
      </c>
      <c r="K255" s="180" t="n">
        <f aca="false">IF($A255=0,0,E255*$B$18/12)</f>
        <v>240.3250278549</v>
      </c>
      <c r="L255" s="180" t="n">
        <f aca="false">MAX(0,H255-I255-J255)</f>
        <v>1315.58598589551</v>
      </c>
      <c r="M255" s="180" t="n">
        <f aca="false">MAX(0,L255*IFERROR(INDEX(TAB_IRPF_ALIQ,MATCH(L255,TAB_IRPF_BASE,1)),0)-IFERROR(INDEX(TAB_IRPF_DED,MATCH(L255,TAB_IRPF_BASE,1)),0))</f>
        <v>0</v>
      </c>
      <c r="N255" s="180" t="n">
        <f aca="false">H255-I255-J255-K255-M255</f>
        <v>1075.26095804061</v>
      </c>
      <c r="O255" s="180" t="n">
        <f aca="false">IF(OR($A255=0,$A255&gt;IN_PRAZO,$B$5=0),0,IF(APORTE_CORRIGIDO="Sim",IN_APORTE*$D255,IN_APORTE))</f>
        <v>0</v>
      </c>
      <c r="P255" s="180" t="n">
        <f aca="false">IF($B$25=1,MAX(0,N255),0)</f>
        <v>1075.26095804061</v>
      </c>
      <c r="Q255" s="180" t="n">
        <f aca="false">R254*$B$27</f>
        <v>3164.23977126878</v>
      </c>
      <c r="R255" s="180" t="n">
        <f aca="false">R254+Q255+O255+P255</f>
        <v>376789.954662168</v>
      </c>
      <c r="S255" s="180" t="n">
        <f aca="false">S254+O255+P255</f>
        <v>158129.804142197</v>
      </c>
      <c r="T255" s="180" t="n">
        <f aca="false">MAX(0,IFERROR(INDEX(TAB_IR,MATCH($C255,TAB_IR_DIAS,1),MATCH("RF_REGR",TAB_IR_REGIMES,0)),0)*MAX(0,R255-S255))</f>
        <v>32799.0225779956</v>
      </c>
      <c r="U255" s="180" t="n">
        <f aca="false">E255*$B$22</f>
        <v>17303.4020055528</v>
      </c>
      <c r="V255" s="180" t="n">
        <f aca="false">IF($B$23=1,0,MAX(0,ALIQ_GANHO_CAP*MAX(0,E255-U255-$B$30)))</f>
        <v>17375.494713049</v>
      </c>
      <c r="W255" s="181" t="n">
        <f aca="false">IF($B$5=0,0,E255-U255-V255+R255-T255)</f>
        <v>597702.06879145</v>
      </c>
      <c r="X255" s="180" t="n">
        <f aca="false">W255/$D255</f>
        <v>310882.138518009</v>
      </c>
      <c r="Y255" s="180" t="n">
        <f aca="false">IF($B$25=1,0,MAX(0,N255))</f>
        <v>0</v>
      </c>
      <c r="Z255" s="180" t="n">
        <f aca="false">Z254+O255</f>
        <v>155250</v>
      </c>
    </row>
    <row r="256" customFormat="false" ht="12" hidden="false" customHeight="true" outlineLevel="0" collapsed="false">
      <c r="A256" s="177" t="n">
        <v>201</v>
      </c>
      <c r="B256" s="178" t="n">
        <f aca="false">EDATE(DATA_INICIO,$A256)</f>
        <v>52374</v>
      </c>
      <c r="C256" s="177" t="n">
        <f aca="false">$A256*30</f>
        <v>6030</v>
      </c>
      <c r="D256" s="179" t="n">
        <f aca="false">(1+$B$29)^$A256</f>
        <v>1.92889431567397</v>
      </c>
      <c r="E256" s="180" t="n">
        <f aca="false">$B$6*(1+$B$21)^$A256</f>
        <v>289334.147351095</v>
      </c>
      <c r="F256" s="180" t="n">
        <f aca="false">IF($A256=0,0,$B$13*(1+$B$16)^($A256-1))</f>
        <v>1730.34020055528</v>
      </c>
      <c r="G256" s="180" t="n">
        <f aca="false">F256*$B$14</f>
        <v>138.427216044422</v>
      </c>
      <c r="H256" s="180" t="n">
        <f aca="false">F256-G256</f>
        <v>1591.91298451085</v>
      </c>
      <c r="I256" s="180" t="n">
        <f aca="false">IF($A256=0,0,E256*$B$17/12)</f>
        <v>144.667073675548</v>
      </c>
      <c r="J256" s="180" t="n">
        <f aca="false">H256*$B$19</f>
        <v>127.353038760868</v>
      </c>
      <c r="K256" s="180" t="n">
        <f aca="false">IF($A256=0,0,E256*$B$18/12)</f>
        <v>241.111789459246</v>
      </c>
      <c r="L256" s="180" t="n">
        <f aca="false">MAX(0,H256-I256-J256)</f>
        <v>1319.89287207444</v>
      </c>
      <c r="M256" s="180" t="n">
        <f aca="false">MAX(0,L256*IFERROR(INDEX(TAB_IRPF_ALIQ,MATCH(L256,TAB_IRPF_BASE,1)),0)-IFERROR(INDEX(TAB_IRPF_DED,MATCH(L256,TAB_IRPF_BASE,1)),0))</f>
        <v>0</v>
      </c>
      <c r="N256" s="180" t="n">
        <f aca="false">H256-I256-J256-K256-M256</f>
        <v>1078.78108261519</v>
      </c>
      <c r="O256" s="180" t="n">
        <f aca="false">IF(OR($A256=0,$A256&gt;IN_PRAZO,$B$5=0),0,IF(APORTE_CORRIGIDO="Sim",IN_APORTE*$D256,IN_APORTE))</f>
        <v>0</v>
      </c>
      <c r="P256" s="180" t="n">
        <f aca="false">IF($B$25=1,MAX(0,N256),0)</f>
        <v>1078.78108261519</v>
      </c>
      <c r="Q256" s="180" t="n">
        <f aca="false">R255*$B$27</f>
        <v>3200.24777146416</v>
      </c>
      <c r="R256" s="180" t="n">
        <f aca="false">R255+Q256+O256+P256</f>
        <v>381068.983516247</v>
      </c>
      <c r="S256" s="180" t="n">
        <f aca="false">S255+O256+P256</f>
        <v>159208.585224812</v>
      </c>
      <c r="T256" s="180" t="n">
        <f aca="false">MAX(0,IFERROR(INDEX(TAB_IR,MATCH($C256,TAB_IR_DIAS,1),MATCH("RF_REGR",TAB_IR_REGIMES,0)),0)*MAX(0,R256-S256))</f>
        <v>33279.0597437153</v>
      </c>
      <c r="U256" s="180" t="n">
        <f aca="false">E256*$B$22</f>
        <v>17360.0488410657</v>
      </c>
      <c r="V256" s="180" t="n">
        <f aca="false">IF($B$23=1,0,MAX(0,ALIQ_GANHO_CAP*MAX(0,E256-U256-$B$30)))</f>
        <v>17508.6147765044</v>
      </c>
      <c r="W256" s="181" t="n">
        <f aca="false">IF($B$5=0,0,E256-U256-V256+R256-T256)</f>
        <v>602255.407506057</v>
      </c>
      <c r="X256" s="180" t="n">
        <f aca="false">W256/$D256</f>
        <v>312228.307487974</v>
      </c>
      <c r="Y256" s="180" t="n">
        <f aca="false">IF($B$25=1,0,MAX(0,N256))</f>
        <v>0</v>
      </c>
      <c r="Z256" s="180" t="n">
        <f aca="false">Z255+O256</f>
        <v>155250</v>
      </c>
    </row>
    <row r="257" customFormat="false" ht="12" hidden="false" customHeight="true" outlineLevel="0" collapsed="false">
      <c r="A257" s="177" t="n">
        <v>202</v>
      </c>
      <c r="B257" s="178" t="n">
        <f aca="false">EDATE(DATA_INICIO,$A257)</f>
        <v>52405</v>
      </c>
      <c r="C257" s="177" t="n">
        <f aca="false">$A257*30</f>
        <v>6060</v>
      </c>
      <c r="D257" s="179" t="n">
        <f aca="false">(1+$B$29)^$A257</f>
        <v>1.93520901373085</v>
      </c>
      <c r="E257" s="180" t="n">
        <f aca="false">$B$6*(1+$B$21)^$A257</f>
        <v>290281.352059627</v>
      </c>
      <c r="F257" s="180" t="n">
        <f aca="false">IF($A257=0,0,$B$13*(1+$B$16)^($A257-1))</f>
        <v>1736.00488410657</v>
      </c>
      <c r="G257" s="180" t="n">
        <f aca="false">F257*$B$14</f>
        <v>138.880390728526</v>
      </c>
      <c r="H257" s="180" t="n">
        <f aca="false">F257-G257</f>
        <v>1597.12449337805</v>
      </c>
      <c r="I257" s="180" t="n">
        <f aca="false">IF($A257=0,0,E257*$B$17/12)</f>
        <v>145.140676029814</v>
      </c>
      <c r="J257" s="180" t="n">
        <f aca="false">H257*$B$19</f>
        <v>127.769959470244</v>
      </c>
      <c r="K257" s="180" t="n">
        <f aca="false">IF($A257=0,0,E257*$B$18/12)</f>
        <v>241.901126716356</v>
      </c>
      <c r="L257" s="180" t="n">
        <f aca="false">MAX(0,H257-I257-J257)</f>
        <v>1324.21385787799</v>
      </c>
      <c r="M257" s="180" t="n">
        <f aca="false">MAX(0,L257*IFERROR(INDEX(TAB_IRPF_ALIQ,MATCH(L257,TAB_IRPF_BASE,1)),0)-IFERROR(INDEX(TAB_IRPF_DED,MATCH(L257,TAB_IRPF_BASE,1)),0))</f>
        <v>0</v>
      </c>
      <c r="N257" s="180" t="n">
        <f aca="false">H257-I257-J257-K257-M257</f>
        <v>1082.31273116163</v>
      </c>
      <c r="O257" s="180" t="n">
        <f aca="false">IF(OR($A257=0,$A257&gt;IN_PRAZO,$B$5=0),0,IF(APORTE_CORRIGIDO="Sim",IN_APORTE*$D257,IN_APORTE))</f>
        <v>0</v>
      </c>
      <c r="P257" s="180" t="n">
        <f aca="false">IF($B$25=1,MAX(0,N257),0)</f>
        <v>1082.31273116163</v>
      </c>
      <c r="Q257" s="180" t="n">
        <f aca="false">R256*$B$27</f>
        <v>3236.59150192953</v>
      </c>
      <c r="R257" s="180" t="n">
        <f aca="false">R256+Q257+O257+P257</f>
        <v>385387.887749338</v>
      </c>
      <c r="S257" s="180" t="n">
        <f aca="false">S256+O257+P257</f>
        <v>160290.897955974</v>
      </c>
      <c r="T257" s="180" t="n">
        <f aca="false">MAX(0,IFERROR(INDEX(TAB_IR,MATCH($C257,TAB_IR_DIAS,1),MATCH("RF_REGR",TAB_IR_REGIMES,0)),0)*MAX(0,R257-S257))</f>
        <v>33764.5484690047</v>
      </c>
      <c r="U257" s="180" t="n">
        <f aca="false">E257*$B$22</f>
        <v>17416.8811235776</v>
      </c>
      <c r="V257" s="180" t="n">
        <f aca="false">IF($B$23=1,0,MAX(0,ALIQ_GANHO_CAP*MAX(0,E257-U257-$B$30)))</f>
        <v>17642.1706404074</v>
      </c>
      <c r="W257" s="181" t="n">
        <f aca="false">IF($B$5=0,0,E257-U257-V257+R257-T257)</f>
        <v>606845.639575976</v>
      </c>
      <c r="X257" s="180" t="n">
        <f aca="false">W257/$D257</f>
        <v>313581.445347886</v>
      </c>
      <c r="Y257" s="180" t="n">
        <f aca="false">IF($B$25=1,0,MAX(0,N257))</f>
        <v>0</v>
      </c>
      <c r="Z257" s="180" t="n">
        <f aca="false">Z256+O257</f>
        <v>155250</v>
      </c>
    </row>
    <row r="258" customFormat="false" ht="12" hidden="false" customHeight="true" outlineLevel="0" collapsed="false">
      <c r="A258" s="177" t="n">
        <v>203</v>
      </c>
      <c r="B258" s="178" t="n">
        <f aca="false">EDATE(DATA_INICIO,$A258)</f>
        <v>52435</v>
      </c>
      <c r="C258" s="177" t="n">
        <f aca="false">$A258*30</f>
        <v>6090</v>
      </c>
      <c r="D258" s="179" t="n">
        <f aca="false">(1+$B$29)^$A258</f>
        <v>1.94154438446597</v>
      </c>
      <c r="E258" s="180" t="n">
        <f aca="false">$B$6*(1+$B$21)^$A258</f>
        <v>291231.657669895</v>
      </c>
      <c r="F258" s="180" t="n">
        <f aca="false">IF($A258=0,0,$B$13*(1+$B$16)^($A258-1))</f>
        <v>1741.68811235776</v>
      </c>
      <c r="G258" s="180" t="n">
        <f aca="false">F258*$B$14</f>
        <v>139.335048988621</v>
      </c>
      <c r="H258" s="180" t="n">
        <f aca="false">F258-G258</f>
        <v>1602.35306336914</v>
      </c>
      <c r="I258" s="180" t="n">
        <f aca="false">IF($A258=0,0,E258*$B$17/12)</f>
        <v>145.615828834948</v>
      </c>
      <c r="J258" s="180" t="n">
        <f aca="false">H258*$B$19</f>
        <v>128.188245069531</v>
      </c>
      <c r="K258" s="180" t="n">
        <f aca="false">IF($A258=0,0,E258*$B$18/12)</f>
        <v>242.693048058246</v>
      </c>
      <c r="L258" s="180" t="n">
        <f aca="false">MAX(0,H258-I258-J258)</f>
        <v>1328.54898946466</v>
      </c>
      <c r="M258" s="180" t="n">
        <f aca="false">MAX(0,L258*IFERROR(INDEX(TAB_IRPF_ALIQ,MATCH(L258,TAB_IRPF_BASE,1)),0)-IFERROR(INDEX(TAB_IRPF_DED,MATCH(L258,TAB_IRPF_BASE,1)),0))</f>
        <v>0</v>
      </c>
      <c r="N258" s="180" t="n">
        <f aca="false">H258-I258-J258-K258-M258</f>
        <v>1085.85594140642</v>
      </c>
      <c r="O258" s="180" t="n">
        <f aca="false">IF(OR($A258=0,$A258&gt;IN_PRAZO,$B$5=0),0,IF(APORTE_CORRIGIDO="Sim",IN_APORTE*$D258,IN_APORTE))</f>
        <v>0</v>
      </c>
      <c r="P258" s="180" t="n">
        <f aca="false">IF($B$25=1,MAX(0,N258),0)</f>
        <v>1085.85594140642</v>
      </c>
      <c r="Q258" s="180" t="n">
        <f aca="false">R257*$B$27</f>
        <v>3273.27391205245</v>
      </c>
      <c r="R258" s="180" t="n">
        <f aca="false">R257+Q258+O258+P258</f>
        <v>389747.017602797</v>
      </c>
      <c r="S258" s="180" t="n">
        <f aca="false">S257+O258+P258</f>
        <v>161376.75389738</v>
      </c>
      <c r="T258" s="180" t="n">
        <f aca="false">MAX(0,IFERROR(INDEX(TAB_IR,MATCH($C258,TAB_IR_DIAS,1),MATCH("RF_REGR",TAB_IR_REGIMES,0)),0)*MAX(0,R258-S258))</f>
        <v>34255.5395558126</v>
      </c>
      <c r="U258" s="180" t="n">
        <f aca="false">E258*$B$22</f>
        <v>17473.8994601937</v>
      </c>
      <c r="V258" s="180" t="n">
        <f aca="false">IF($B$23=1,0,MAX(0,ALIQ_GANHO_CAP*MAX(0,E258-U258-$B$30)))</f>
        <v>17776.1637314552</v>
      </c>
      <c r="W258" s="181" t="n">
        <f aca="false">IF($B$5=0,0,E258-U258-V258+R258-T258)</f>
        <v>611473.072525231</v>
      </c>
      <c r="X258" s="180" t="n">
        <f aca="false">W258/$D258</f>
        <v>314941.588468203</v>
      </c>
      <c r="Y258" s="180" t="n">
        <f aca="false">IF($B$25=1,0,MAX(0,N258))</f>
        <v>0</v>
      </c>
      <c r="Z258" s="180" t="n">
        <f aca="false">Z257+O258</f>
        <v>155250</v>
      </c>
    </row>
    <row r="259" customFormat="false" ht="12" hidden="false" customHeight="true" outlineLevel="0" collapsed="false">
      <c r="A259" s="177" t="n">
        <v>204</v>
      </c>
      <c r="B259" s="178" t="n">
        <f aca="false">EDATE(DATA_INICIO,$A259)</f>
        <v>52466</v>
      </c>
      <c r="C259" s="177" t="n">
        <f aca="false">$A259*30</f>
        <v>6120</v>
      </c>
      <c r="D259" s="179" t="n">
        <f aca="false">(1+$B$29)^$A259</f>
        <v>1.9479004955563</v>
      </c>
      <c r="E259" s="180" t="n">
        <f aca="false">$B$6*(1+$B$21)^$A259</f>
        <v>292185.074333445</v>
      </c>
      <c r="F259" s="180" t="n">
        <f aca="false">IF($A259=0,0,$B$13*(1+$B$16)^($A259-1))</f>
        <v>1747.38994601937</v>
      </c>
      <c r="G259" s="180" t="n">
        <f aca="false">F259*$B$14</f>
        <v>139.79119568155</v>
      </c>
      <c r="H259" s="180" t="n">
        <f aca="false">F259-G259</f>
        <v>1607.59875033782</v>
      </c>
      <c r="I259" s="180" t="n">
        <f aca="false">IF($A259=0,0,E259*$B$17/12)</f>
        <v>146.092537166723</v>
      </c>
      <c r="J259" s="180" t="n">
        <f aca="false">H259*$B$19</f>
        <v>128.607900027026</v>
      </c>
      <c r="K259" s="180" t="n">
        <f aca="false">IF($A259=0,0,E259*$B$18/12)</f>
        <v>243.487561944537</v>
      </c>
      <c r="L259" s="180" t="n">
        <f aca="false">MAX(0,H259-I259-J259)</f>
        <v>1332.89831314407</v>
      </c>
      <c r="M259" s="180" t="n">
        <f aca="false">MAX(0,L259*IFERROR(INDEX(TAB_IRPF_ALIQ,MATCH(L259,TAB_IRPF_BASE,1)),0)-IFERROR(INDEX(TAB_IRPF_DED,MATCH(L259,TAB_IRPF_BASE,1)),0))</f>
        <v>0</v>
      </c>
      <c r="N259" s="180" t="n">
        <f aca="false">H259-I259-J259-K259-M259</f>
        <v>1089.41075119954</v>
      </c>
      <c r="O259" s="180" t="n">
        <f aca="false">IF(OR($A259=0,$A259&gt;IN_PRAZO,$B$5=0),0,IF(APORTE_CORRIGIDO="Sim",IN_APORTE*$D259,IN_APORTE))</f>
        <v>0</v>
      </c>
      <c r="P259" s="180" t="n">
        <f aca="false">IF($B$25=1,MAX(0,N259),0)</f>
        <v>1089.41075119954</v>
      </c>
      <c r="Q259" s="180" t="n">
        <f aca="false">R258*$B$27</f>
        <v>3310.29797659144</v>
      </c>
      <c r="R259" s="180" t="n">
        <f aca="false">R258+Q259+O259+P259</f>
        <v>394146.726330588</v>
      </c>
      <c r="S259" s="180" t="n">
        <f aca="false">S258+O259+P259</f>
        <v>162466.164648579</v>
      </c>
      <c r="T259" s="180" t="n">
        <f aca="false">MAX(0,IFERROR(INDEX(TAB_IR,MATCH($C259,TAB_IR_DIAS,1),MATCH("RF_REGR",TAB_IR_REGIMES,0)),0)*MAX(0,R259-S259))</f>
        <v>34752.0842523013</v>
      </c>
      <c r="U259" s="180" t="n">
        <f aca="false">E259*$B$22</f>
        <v>17531.1044600067</v>
      </c>
      <c r="V259" s="180" t="n">
        <f aca="false">IF($B$23=1,0,MAX(0,ALIQ_GANHO_CAP*MAX(0,E259-U259-$B$30)))</f>
        <v>17910.5954810157</v>
      </c>
      <c r="W259" s="181" t="n">
        <f aca="false">IF($B$5=0,0,E259-U259-V259+R259-T259)</f>
        <v>616138.016470709</v>
      </c>
      <c r="X259" s="180" t="n">
        <f aca="false">W259/$D259</f>
        <v>316308.773408237</v>
      </c>
      <c r="Y259" s="180" t="n">
        <f aca="false">IF($B$25=1,0,MAX(0,N259))</f>
        <v>0</v>
      </c>
      <c r="Z259" s="180" t="n">
        <f aca="false">Z258+O259</f>
        <v>155250</v>
      </c>
    </row>
    <row r="260" customFormat="false" ht="12" hidden="false" customHeight="true" outlineLevel="0" collapsed="false">
      <c r="A260" s="177" t="n">
        <v>205</v>
      </c>
      <c r="B260" s="178" t="n">
        <f aca="false">EDATE(DATA_INICIO,$A260)</f>
        <v>52497</v>
      </c>
      <c r="C260" s="177" t="n">
        <f aca="false">$A260*30</f>
        <v>6150</v>
      </c>
      <c r="D260" s="179" t="n">
        <f aca="false">(1+$B$29)^$A260</f>
        <v>1.95427741490037</v>
      </c>
      <c r="E260" s="180" t="n">
        <f aca="false">$B$6*(1+$B$21)^$A260</f>
        <v>293141.612235055</v>
      </c>
      <c r="F260" s="180" t="n">
        <f aca="false">IF($A260=0,0,$B$13*(1+$B$16)^($A260-1))</f>
        <v>1753.11044600067</v>
      </c>
      <c r="G260" s="180" t="n">
        <f aca="false">F260*$B$14</f>
        <v>140.248835680054</v>
      </c>
      <c r="H260" s="180" t="n">
        <f aca="false">F260-G260</f>
        <v>1612.86161032062</v>
      </c>
      <c r="I260" s="180" t="n">
        <f aca="false">IF($A260=0,0,E260*$B$17/12)</f>
        <v>146.570806117528</v>
      </c>
      <c r="J260" s="180" t="n">
        <f aca="false">H260*$B$19</f>
        <v>129.028928825649</v>
      </c>
      <c r="K260" s="180" t="n">
        <f aca="false">IF($A260=0,0,E260*$B$18/12)</f>
        <v>244.284676862546</v>
      </c>
      <c r="L260" s="180" t="n">
        <f aca="false">MAX(0,H260-I260-J260)</f>
        <v>1337.26187537744</v>
      </c>
      <c r="M260" s="180" t="n">
        <f aca="false">MAX(0,L260*IFERROR(INDEX(TAB_IRPF_ALIQ,MATCH(L260,TAB_IRPF_BASE,1)),0)-IFERROR(INDEX(TAB_IRPF_DED,MATCH(L260,TAB_IRPF_BASE,1)),0))</f>
        <v>0</v>
      </c>
      <c r="N260" s="180" t="n">
        <f aca="false">H260-I260-J260-K260-M260</f>
        <v>1092.97719851489</v>
      </c>
      <c r="O260" s="180" t="n">
        <f aca="false">IF(OR($A260=0,$A260&gt;IN_PRAZO,$B$5=0),0,IF(APORTE_CORRIGIDO="Sim",IN_APORTE*$D260,IN_APORTE))</f>
        <v>0</v>
      </c>
      <c r="P260" s="180" t="n">
        <f aca="false">IF($B$25=1,MAX(0,N260),0)</f>
        <v>1092.97719851489</v>
      </c>
      <c r="Q260" s="180" t="n">
        <f aca="false">R259*$B$27</f>
        <v>3347.66669589243</v>
      </c>
      <c r="R260" s="180" t="n">
        <f aca="false">R259+Q260+O260+P260</f>
        <v>398587.370224995</v>
      </c>
      <c r="S260" s="180" t="n">
        <f aca="false">S259+O260+P260</f>
        <v>163559.141847094</v>
      </c>
      <c r="T260" s="180" t="n">
        <f aca="false">MAX(0,IFERROR(INDEX(TAB_IR,MATCH($C260,TAB_IR_DIAS,1),MATCH("RF_REGR",TAB_IR_REGIMES,0)),0)*MAX(0,R260-S260))</f>
        <v>35254.2342566852</v>
      </c>
      <c r="U260" s="180" t="n">
        <f aca="false">E260*$B$22</f>
        <v>17588.4967341033</v>
      </c>
      <c r="V260" s="180" t="n">
        <f aca="false">IF($B$23=1,0,MAX(0,ALIQ_GANHO_CAP*MAX(0,E260-U260-$B$30)))</f>
        <v>18045.4673251428</v>
      </c>
      <c r="W260" s="181" t="n">
        <f aca="false">IF($B$5=0,0,E260-U260-V260+R260-T260)</f>
        <v>620840.784144119</v>
      </c>
      <c r="X260" s="180" t="n">
        <f aca="false">W260/$D260</f>
        <v>317683.036917136</v>
      </c>
      <c r="Y260" s="180" t="n">
        <f aca="false">IF($B$25=1,0,MAX(0,N260))</f>
        <v>0</v>
      </c>
      <c r="Z260" s="180" t="n">
        <f aca="false">Z259+O260</f>
        <v>155250</v>
      </c>
    </row>
    <row r="261" customFormat="false" ht="12" hidden="false" customHeight="true" outlineLevel="0" collapsed="false">
      <c r="A261" s="177" t="n">
        <v>206</v>
      </c>
      <c r="B261" s="178" t="n">
        <f aca="false">EDATE(DATA_INICIO,$A261)</f>
        <v>52527</v>
      </c>
      <c r="C261" s="177" t="n">
        <f aca="false">$A261*30</f>
        <v>6180</v>
      </c>
      <c r="D261" s="179" t="n">
        <f aca="false">(1+$B$29)^$A261</f>
        <v>1.96067521061898</v>
      </c>
      <c r="E261" s="180" t="n">
        <f aca="false">$B$6*(1+$B$21)^$A261</f>
        <v>294101.281592847</v>
      </c>
      <c r="F261" s="180" t="n">
        <f aca="false">IF($A261=0,0,$B$13*(1+$B$16)^($A261-1))</f>
        <v>1758.84967341033</v>
      </c>
      <c r="G261" s="180" t="n">
        <f aca="false">F261*$B$14</f>
        <v>140.707973872826</v>
      </c>
      <c r="H261" s="180" t="n">
        <f aca="false">F261-G261</f>
        <v>1618.1416995375</v>
      </c>
      <c r="I261" s="180" t="n">
        <f aca="false">IF($A261=0,0,E261*$B$17/12)</f>
        <v>147.050640796424</v>
      </c>
      <c r="J261" s="180" t="n">
        <f aca="false">H261*$B$19</f>
        <v>129.451335963</v>
      </c>
      <c r="K261" s="180" t="n">
        <f aca="false">IF($A261=0,0,E261*$B$18/12)</f>
        <v>245.084401327373</v>
      </c>
      <c r="L261" s="180" t="n">
        <f aca="false">MAX(0,H261-I261-J261)</f>
        <v>1341.63972277808</v>
      </c>
      <c r="M261" s="180" t="n">
        <f aca="false">MAX(0,L261*IFERROR(INDEX(TAB_IRPF_ALIQ,MATCH(L261,TAB_IRPF_BASE,1)),0)-IFERROR(INDEX(TAB_IRPF_DED,MATCH(L261,TAB_IRPF_BASE,1)),0))</f>
        <v>0</v>
      </c>
      <c r="N261" s="180" t="n">
        <f aca="false">H261-I261-J261-K261-M261</f>
        <v>1096.55532145071</v>
      </c>
      <c r="O261" s="180" t="n">
        <f aca="false">IF(OR($A261=0,$A261&gt;IN_PRAZO,$B$5=0),0,IF(APORTE_CORRIGIDO="Sim",IN_APORTE*$D261,IN_APORTE))</f>
        <v>0</v>
      </c>
      <c r="P261" s="180" t="n">
        <f aca="false">IF($B$25=1,MAX(0,N261),0)</f>
        <v>1096.55532145071</v>
      </c>
      <c r="Q261" s="180" t="n">
        <f aca="false">R260*$B$27</f>
        <v>3385.3830961072</v>
      </c>
      <c r="R261" s="180" t="n">
        <f aca="false">R260+Q261+O261+P261</f>
        <v>403069.308642553</v>
      </c>
      <c r="S261" s="180" t="n">
        <f aca="false">S260+O261+P261</f>
        <v>164655.697168545</v>
      </c>
      <c r="T261" s="180" t="n">
        <f aca="false">MAX(0,IFERROR(INDEX(TAB_IR,MATCH($C261,TAB_IR_DIAS,1),MATCH("RF_REGR",TAB_IR_REGIMES,0)),0)*MAX(0,R261-S261))</f>
        <v>35762.0417211012</v>
      </c>
      <c r="U261" s="180" t="n">
        <f aca="false">E261*$B$22</f>
        <v>17646.0768955708</v>
      </c>
      <c r="V261" s="180" t="n">
        <f aca="false">IF($B$23=1,0,MAX(0,ALIQ_GANHO_CAP*MAX(0,E261-U261-$B$30)))</f>
        <v>18180.7807045914</v>
      </c>
      <c r="W261" s="181" t="n">
        <f aca="false">IF($B$5=0,0,E261-U261-V261+R261-T261)</f>
        <v>625581.690914137</v>
      </c>
      <c r="X261" s="180" t="n">
        <f aca="false">W261/$D261</f>
        <v>319064.415934877</v>
      </c>
      <c r="Y261" s="180" t="n">
        <f aca="false">IF($B$25=1,0,MAX(0,N261))</f>
        <v>0</v>
      </c>
      <c r="Z261" s="180" t="n">
        <f aca="false">Z260+O261</f>
        <v>155250</v>
      </c>
    </row>
    <row r="262" customFormat="false" ht="12" hidden="false" customHeight="true" outlineLevel="0" collapsed="false">
      <c r="A262" s="177" t="n">
        <v>207</v>
      </c>
      <c r="B262" s="178" t="n">
        <f aca="false">EDATE(DATA_INICIO,$A262)</f>
        <v>52558</v>
      </c>
      <c r="C262" s="177" t="n">
        <f aca="false">$A262*30</f>
        <v>6210</v>
      </c>
      <c r="D262" s="179" t="n">
        <f aca="false">(1+$B$29)^$A262</f>
        <v>1.96709395105595</v>
      </c>
      <c r="E262" s="180" t="n">
        <f aca="false">$B$6*(1+$B$21)^$A262</f>
        <v>295064.092658393</v>
      </c>
      <c r="F262" s="180" t="n">
        <f aca="false">IF($A262=0,0,$B$13*(1+$B$16)^($A262-1))</f>
        <v>1764.60768955708</v>
      </c>
      <c r="G262" s="180" t="n">
        <f aca="false">F262*$B$14</f>
        <v>141.168615164567</v>
      </c>
      <c r="H262" s="180" t="n">
        <f aca="false">F262-G262</f>
        <v>1623.43907439252</v>
      </c>
      <c r="I262" s="180" t="n">
        <f aca="false">IF($A262=0,0,E262*$B$17/12)</f>
        <v>147.532046329197</v>
      </c>
      <c r="J262" s="180" t="n">
        <f aca="false">H262*$B$19</f>
        <v>129.875125951401</v>
      </c>
      <c r="K262" s="180" t="n">
        <f aca="false">IF($A262=0,0,E262*$B$18/12)</f>
        <v>245.886743881994</v>
      </c>
      <c r="L262" s="180" t="n">
        <f aca="false">MAX(0,H262-I262-J262)</f>
        <v>1346.03190211192</v>
      </c>
      <c r="M262" s="180" t="n">
        <f aca="false">MAX(0,L262*IFERROR(INDEX(TAB_IRPF_ALIQ,MATCH(L262,TAB_IRPF_BASE,1)),0)-IFERROR(INDEX(TAB_IRPF_DED,MATCH(L262,TAB_IRPF_BASE,1)),0))</f>
        <v>0</v>
      </c>
      <c r="N262" s="180" t="n">
        <f aca="false">H262-I262-J262-K262-M262</f>
        <v>1100.14515822992</v>
      </c>
      <c r="O262" s="180" t="n">
        <f aca="false">IF(OR($A262=0,$A262&gt;IN_PRAZO,$B$5=0),0,IF(APORTE_CORRIGIDO="Sim",IN_APORTE*$D262,IN_APORTE))</f>
        <v>0</v>
      </c>
      <c r="P262" s="180" t="n">
        <f aca="false">IF($B$25=1,MAX(0,N262),0)</f>
        <v>1100.14515822992</v>
      </c>
      <c r="Q262" s="180" t="n">
        <f aca="false">R261*$B$27</f>
        <v>3423.45022941358</v>
      </c>
      <c r="R262" s="180" t="n">
        <f aca="false">R261+Q262+O262+P262</f>
        <v>407592.904030197</v>
      </c>
      <c r="S262" s="180" t="n">
        <f aca="false">S261+O262+P262</f>
        <v>165755.842326775</v>
      </c>
      <c r="T262" s="180" t="n">
        <f aca="false">MAX(0,IFERROR(INDEX(TAB_IR,MATCH($C262,TAB_IR_DIAS,1),MATCH("RF_REGR",TAB_IR_REGIMES,0)),0)*MAX(0,R262-S262))</f>
        <v>36275.5592555133</v>
      </c>
      <c r="U262" s="180" t="n">
        <f aca="false">E262*$B$22</f>
        <v>17703.8455595036</v>
      </c>
      <c r="V262" s="180" t="n">
        <f aca="false">IF($B$23=1,0,MAX(0,ALIQ_GANHO_CAP*MAX(0,E262-U262-$B$30)))</f>
        <v>18316.5370648334</v>
      </c>
      <c r="W262" s="181" t="n">
        <f aca="false">IF($B$5=0,0,E262-U262-V262+R262-T262)</f>
        <v>630361.05480874</v>
      </c>
      <c r="X262" s="180" t="n">
        <f aca="false">W262/$D262</f>
        <v>320452.947593253</v>
      </c>
      <c r="Y262" s="180" t="n">
        <f aca="false">IF($B$25=1,0,MAX(0,N262))</f>
        <v>0</v>
      </c>
      <c r="Z262" s="180" t="n">
        <f aca="false">Z261+O262</f>
        <v>155250</v>
      </c>
    </row>
    <row r="263" customFormat="false" ht="12" hidden="false" customHeight="true" outlineLevel="0" collapsed="false">
      <c r="A263" s="177" t="n">
        <v>208</v>
      </c>
      <c r="B263" s="178" t="n">
        <f aca="false">EDATE(DATA_INICIO,$A263)</f>
        <v>52588</v>
      </c>
      <c r="C263" s="177" t="n">
        <f aca="false">$A263*30</f>
        <v>6240</v>
      </c>
      <c r="D263" s="179" t="n">
        <f aca="false">(1+$B$29)^$A263</f>
        <v>1.97353370477885</v>
      </c>
      <c r="E263" s="180" t="n">
        <f aca="false">$B$6*(1+$B$21)^$A263</f>
        <v>296030.055716827</v>
      </c>
      <c r="F263" s="180" t="n">
        <f aca="false">IF($A263=0,0,$B$13*(1+$B$16)^($A263-1))</f>
        <v>1770.38455595036</v>
      </c>
      <c r="G263" s="180" t="n">
        <f aca="false">F263*$B$14</f>
        <v>141.630764476029</v>
      </c>
      <c r="H263" s="180" t="n">
        <f aca="false">F263-G263</f>
        <v>1628.75379147433</v>
      </c>
      <c r="I263" s="180" t="n">
        <f aca="false">IF($A263=0,0,E263*$B$17/12)</f>
        <v>148.015027858414</v>
      </c>
      <c r="J263" s="180" t="n">
        <f aca="false">H263*$B$19</f>
        <v>130.300303317946</v>
      </c>
      <c r="K263" s="180" t="n">
        <f aca="false">IF($A263=0,0,E263*$B$18/12)</f>
        <v>246.691713097356</v>
      </c>
      <c r="L263" s="180" t="n">
        <f aca="false">MAX(0,H263-I263-J263)</f>
        <v>1350.43846029797</v>
      </c>
      <c r="M263" s="180" t="n">
        <f aca="false">MAX(0,L263*IFERROR(INDEX(TAB_IRPF_ALIQ,MATCH(L263,TAB_IRPF_BASE,1)),0)-IFERROR(INDEX(TAB_IRPF_DED,MATCH(L263,TAB_IRPF_BASE,1)),0))</f>
        <v>0</v>
      </c>
      <c r="N263" s="180" t="n">
        <f aca="false">H263-I263-J263-K263-M263</f>
        <v>1103.74674720061</v>
      </c>
      <c r="O263" s="180" t="n">
        <f aca="false">IF(OR($A263=0,$A263&gt;IN_PRAZO,$B$5=0),0,IF(APORTE_CORRIGIDO="Sim",IN_APORTE*$D263,IN_APORTE))</f>
        <v>0</v>
      </c>
      <c r="P263" s="180" t="n">
        <f aca="false">IF($B$25=1,MAX(0,N263),0)</f>
        <v>1103.74674720061</v>
      </c>
      <c r="Q263" s="180" t="n">
        <f aca="false">R262*$B$27</f>
        <v>3461.87117423758</v>
      </c>
      <c r="R263" s="180" t="n">
        <f aca="false">R262+Q263+O263+P263</f>
        <v>412158.521951635</v>
      </c>
      <c r="S263" s="180" t="n">
        <f aca="false">S262+O263+P263</f>
        <v>166859.589073976</v>
      </c>
      <c r="T263" s="180" t="n">
        <f aca="false">MAX(0,IFERROR(INDEX(TAB_IR,MATCH($C263,TAB_IR_DIAS,1),MATCH("RF_REGR",TAB_IR_REGIMES,0)),0)*MAX(0,R263-S263))</f>
        <v>36794.8399316489</v>
      </c>
      <c r="U263" s="180" t="n">
        <f aca="false">E263*$B$22</f>
        <v>17761.8033430096</v>
      </c>
      <c r="V263" s="180" t="n">
        <f aca="false">IF($B$23=1,0,MAX(0,ALIQ_GANHO_CAP*MAX(0,E263-U263-$B$30)))</f>
        <v>18452.7378560727</v>
      </c>
      <c r="W263" s="181" t="n">
        <f aca="false">IF($B$5=0,0,E263-U263-V263+R263-T263)</f>
        <v>635179.196537731</v>
      </c>
      <c r="X263" s="180" t="n">
        <f aca="false">W263/$D263</f>
        <v>321848.66921688</v>
      </c>
      <c r="Y263" s="180" t="n">
        <f aca="false">IF($B$25=1,0,MAX(0,N263))</f>
        <v>0</v>
      </c>
      <c r="Z263" s="180" t="n">
        <f aca="false">Z262+O263</f>
        <v>155250</v>
      </c>
    </row>
    <row r="264" customFormat="false" ht="12" hidden="false" customHeight="true" outlineLevel="0" collapsed="false">
      <c r="A264" s="177" t="n">
        <v>209</v>
      </c>
      <c r="B264" s="178" t="n">
        <f aca="false">EDATE(DATA_INICIO,$A264)</f>
        <v>52619</v>
      </c>
      <c r="C264" s="177" t="n">
        <f aca="false">$A264*30</f>
        <v>6270</v>
      </c>
      <c r="D264" s="179" t="n">
        <f aca="false">(1+$B$29)^$A264</f>
        <v>1.97999454057969</v>
      </c>
      <c r="E264" s="180" t="n">
        <f aca="false">$B$6*(1+$B$21)^$A264</f>
        <v>296999.181086954</v>
      </c>
      <c r="F264" s="180" t="n">
        <f aca="false">IF($A264=0,0,$B$13*(1+$B$16)^($A264-1))</f>
        <v>1776.18033430096</v>
      </c>
      <c r="G264" s="180" t="n">
        <f aca="false">F264*$B$14</f>
        <v>142.094426744077</v>
      </c>
      <c r="H264" s="180" t="n">
        <f aca="false">F264-G264</f>
        <v>1634.08590755689</v>
      </c>
      <c r="I264" s="180" t="n">
        <f aca="false">IF($A264=0,0,E264*$B$17/12)</f>
        <v>148.499590543477</v>
      </c>
      <c r="J264" s="180" t="n">
        <f aca="false">H264*$B$19</f>
        <v>130.726872604551</v>
      </c>
      <c r="K264" s="180" t="n">
        <f aca="false">IF($A264=0,0,E264*$B$18/12)</f>
        <v>247.499317572462</v>
      </c>
      <c r="L264" s="180" t="n">
        <f aca="false">MAX(0,H264-I264-J264)</f>
        <v>1354.85944440886</v>
      </c>
      <c r="M264" s="180" t="n">
        <f aca="false">MAX(0,L264*IFERROR(INDEX(TAB_IRPF_ALIQ,MATCH(L264,TAB_IRPF_BASE,1)),0)-IFERROR(INDEX(TAB_IRPF_DED,MATCH(L264,TAB_IRPF_BASE,1)),0))</f>
        <v>0</v>
      </c>
      <c r="N264" s="180" t="n">
        <f aca="false">H264-I264-J264-K264-M264</f>
        <v>1107.3601268364</v>
      </c>
      <c r="O264" s="180" t="n">
        <f aca="false">IF(OR($A264=0,$A264&gt;IN_PRAZO,$B$5=0),0,IF(APORTE_CORRIGIDO="Sim",IN_APORTE*$D264,IN_APORTE))</f>
        <v>0</v>
      </c>
      <c r="P264" s="180" t="n">
        <f aca="false">IF($B$25=1,MAX(0,N264),0)</f>
        <v>1107.3601268364</v>
      </c>
      <c r="Q264" s="180" t="n">
        <f aca="false">R263*$B$27</f>
        <v>3500.64903547738</v>
      </c>
      <c r="R264" s="180" t="n">
        <f aca="false">R263+Q264+O264+P264</f>
        <v>416766.531113949</v>
      </c>
      <c r="S264" s="180" t="n">
        <f aca="false">S263+O264+P264</f>
        <v>167966.949200812</v>
      </c>
      <c r="T264" s="180" t="n">
        <f aca="false">MAX(0,IFERROR(INDEX(TAB_IR,MATCH($C264,TAB_IR_DIAS,1),MATCH("RF_REGR",TAB_IR_REGIMES,0)),0)*MAX(0,R264-S264))</f>
        <v>37319.9372869705</v>
      </c>
      <c r="U264" s="180" t="n">
        <f aca="false">E264*$B$22</f>
        <v>17819.9508652172</v>
      </c>
      <c r="V264" s="180" t="n">
        <f aca="false">IF($B$23=1,0,MAX(0,ALIQ_GANHO_CAP*MAX(0,E264-U264-$B$30)))</f>
        <v>18589.3845332605</v>
      </c>
      <c r="W264" s="181" t="n">
        <f aca="false">IF($B$5=0,0,E264-U264-V264+R264-T264)</f>
        <v>640036.439515455</v>
      </c>
      <c r="X264" s="180" t="n">
        <f aca="false">W264/$D264</f>
        <v>323251.618324194</v>
      </c>
      <c r="Y264" s="180" t="n">
        <f aca="false">IF($B$25=1,0,MAX(0,N264))</f>
        <v>0</v>
      </c>
      <c r="Z264" s="180" t="n">
        <f aca="false">Z263+O264</f>
        <v>155250</v>
      </c>
    </row>
    <row r="265" customFormat="false" ht="12" hidden="false" customHeight="true" outlineLevel="0" collapsed="false">
      <c r="A265" s="177" t="n">
        <v>210</v>
      </c>
      <c r="B265" s="178" t="n">
        <f aca="false">EDATE(DATA_INICIO,$A265)</f>
        <v>52650</v>
      </c>
      <c r="C265" s="177" t="n">
        <f aca="false">$A265*30</f>
        <v>6300</v>
      </c>
      <c r="D265" s="179" t="n">
        <f aca="false">(1+$B$29)^$A265</f>
        <v>1.98647652747573</v>
      </c>
      <c r="E265" s="180" t="n">
        <f aca="false">$B$6*(1+$B$21)^$A265</f>
        <v>297971.479121359</v>
      </c>
      <c r="F265" s="180" t="n">
        <f aca="false">IF($A265=0,0,$B$13*(1+$B$16)^($A265-1))</f>
        <v>1781.99508652172</v>
      </c>
      <c r="G265" s="180" t="n">
        <f aca="false">F265*$B$14</f>
        <v>142.559606921738</v>
      </c>
      <c r="H265" s="180" t="n">
        <f aca="false">F265-G265</f>
        <v>1639.43547959999</v>
      </c>
      <c r="I265" s="180" t="n">
        <f aca="false">IF($A265=0,0,E265*$B$17/12)</f>
        <v>148.98573956068</v>
      </c>
      <c r="J265" s="180" t="n">
        <f aca="false">H265*$B$19</f>
        <v>131.154838367999</v>
      </c>
      <c r="K265" s="180" t="n">
        <f aca="false">IF($A265=0,0,E265*$B$18/12)</f>
        <v>248.309565934466</v>
      </c>
      <c r="L265" s="180" t="n">
        <f aca="false">MAX(0,H265-I265-J265)</f>
        <v>1359.29490167131</v>
      </c>
      <c r="M265" s="180" t="n">
        <f aca="false">MAX(0,L265*IFERROR(INDEX(TAB_IRPF_ALIQ,MATCH(L265,TAB_IRPF_BASE,1)),0)-IFERROR(INDEX(TAB_IRPF_DED,MATCH(L265,TAB_IRPF_BASE,1)),0))</f>
        <v>0</v>
      </c>
      <c r="N265" s="180" t="n">
        <f aca="false">H265-I265-J265-K265-M265</f>
        <v>1110.98533573684</v>
      </c>
      <c r="O265" s="180" t="n">
        <f aca="false">IF(OR($A265=0,$A265&gt;IN_PRAZO,$B$5=0),0,IF(APORTE_CORRIGIDO="Sim",IN_APORTE*$D265,IN_APORTE))</f>
        <v>0</v>
      </c>
      <c r="P265" s="180" t="n">
        <f aca="false">IF($B$25=1,MAX(0,N265),0)</f>
        <v>1110.98533573684</v>
      </c>
      <c r="Q265" s="180" t="n">
        <f aca="false">R264*$B$27</f>
        <v>3539.78694472924</v>
      </c>
      <c r="R265" s="180" t="n">
        <f aca="false">R264+Q265+O265+P265</f>
        <v>421417.303394415</v>
      </c>
      <c r="S265" s="180" t="n">
        <f aca="false">S264+O265+P265</f>
        <v>169077.934536549</v>
      </c>
      <c r="T265" s="180" t="n">
        <f aca="false">MAX(0,IFERROR(INDEX(TAB_IR,MATCH($C265,TAB_IR_DIAS,1),MATCH("RF_REGR",TAB_IR_REGIMES,0)),0)*MAX(0,R265-S265))</f>
        <v>37850.9053286799</v>
      </c>
      <c r="U265" s="180" t="n">
        <f aca="false">E265*$B$22</f>
        <v>17878.2887472815</v>
      </c>
      <c r="V265" s="180" t="n">
        <f aca="false">IF($B$23=1,0,MAX(0,ALIQ_GANHO_CAP*MAX(0,E265-U265-$B$30)))</f>
        <v>18726.4785561116</v>
      </c>
      <c r="W265" s="181" t="n">
        <f aca="false">IF($B$5=0,0,E265-U265-V265+R265-T265)</f>
        <v>644933.109883701</v>
      </c>
      <c r="X265" s="180" t="n">
        <f aca="false">W265/$D265</f>
        <v>324661.832628466</v>
      </c>
      <c r="Y265" s="180" t="n">
        <f aca="false">IF($B$25=1,0,MAX(0,N265))</f>
        <v>0</v>
      </c>
      <c r="Z265" s="180" t="n">
        <f aca="false">Z264+O265</f>
        <v>155250</v>
      </c>
    </row>
    <row r="266" customFormat="false" ht="12" hidden="false" customHeight="true" outlineLevel="0" collapsed="false">
      <c r="A266" s="177" t="n">
        <v>211</v>
      </c>
      <c r="B266" s="178" t="n">
        <f aca="false">EDATE(DATA_INICIO,$A266)</f>
        <v>52679</v>
      </c>
      <c r="C266" s="177" t="n">
        <f aca="false">$A266*30</f>
        <v>6330</v>
      </c>
      <c r="D266" s="179" t="n">
        <f aca="false">(1+$B$29)^$A266</f>
        <v>1.99297973471013</v>
      </c>
      <c r="E266" s="180" t="n">
        <f aca="false">$B$6*(1+$B$21)^$A266</f>
        <v>298946.960206519</v>
      </c>
      <c r="F266" s="180" t="n">
        <f aca="false">IF($A266=0,0,$B$13*(1+$B$16)^($A266-1))</f>
        <v>1787.82887472815</v>
      </c>
      <c r="G266" s="180" t="n">
        <f aca="false">F266*$B$14</f>
        <v>143.026309978252</v>
      </c>
      <c r="H266" s="180" t="n">
        <f aca="false">F266-G266</f>
        <v>1644.8025647499</v>
      </c>
      <c r="I266" s="180" t="n">
        <f aca="false">IF($A266=0,0,E266*$B$17/12)</f>
        <v>149.47348010326</v>
      </c>
      <c r="J266" s="180" t="n">
        <f aca="false">H266*$B$19</f>
        <v>131.584205179992</v>
      </c>
      <c r="K266" s="180" t="n">
        <f aca="false">IF($A266=0,0,E266*$B$18/12)</f>
        <v>249.122466838766</v>
      </c>
      <c r="L266" s="180" t="n">
        <f aca="false">MAX(0,H266-I266-J266)</f>
        <v>1363.74487946665</v>
      </c>
      <c r="M266" s="180" t="n">
        <f aca="false">MAX(0,L266*IFERROR(INDEX(TAB_IRPF_ALIQ,MATCH(L266,TAB_IRPF_BASE,1)),0)-IFERROR(INDEX(TAB_IRPF_DED,MATCH(L266,TAB_IRPF_BASE,1)),0))</f>
        <v>0</v>
      </c>
      <c r="N266" s="180" t="n">
        <f aca="false">H266-I266-J266-K266-M266</f>
        <v>1114.62241262788</v>
      </c>
      <c r="O266" s="180" t="n">
        <f aca="false">IF(OR($A266=0,$A266&gt;IN_PRAZO,$B$5=0),0,IF(APORTE_CORRIGIDO="Sim",IN_APORTE*$D266,IN_APORTE))</f>
        <v>0</v>
      </c>
      <c r="P266" s="180" t="n">
        <f aca="false">IF($B$25=1,MAX(0,N266),0)</f>
        <v>1114.62241262788</v>
      </c>
      <c r="Q266" s="180" t="n">
        <f aca="false">R265*$B$27</f>
        <v>3579.28806051534</v>
      </c>
      <c r="R266" s="180" t="n">
        <f aca="false">R265+Q266+O266+P266</f>
        <v>426111.213867558</v>
      </c>
      <c r="S266" s="180" t="n">
        <f aca="false">S265+O266+P266</f>
        <v>170192.556949177</v>
      </c>
      <c r="T266" s="180" t="n">
        <f aca="false">MAX(0,IFERROR(INDEX(TAB_IR,MATCH($C266,TAB_IR_DIAS,1),MATCH("RF_REGR",TAB_IR_REGIMES,0)),0)*MAX(0,R266-S266))</f>
        <v>38387.7985377572</v>
      </c>
      <c r="U266" s="180" t="n">
        <f aca="false">E266*$B$22</f>
        <v>17936.8176123912</v>
      </c>
      <c r="V266" s="180" t="n">
        <f aca="false">IF($B$23=1,0,MAX(0,ALIQ_GANHO_CAP*MAX(0,E266-U266-$B$30)))</f>
        <v>18864.0213891192</v>
      </c>
      <c r="W266" s="181" t="n">
        <f aca="false">IF($B$5=0,0,E266-U266-V266+R266-T266)</f>
        <v>649869.53653481</v>
      </c>
      <c r="X266" s="180" t="n">
        <f aca="false">W266/$D266</f>
        <v>326079.350038816</v>
      </c>
      <c r="Y266" s="180" t="n">
        <f aca="false">IF($B$25=1,0,MAX(0,N266))</f>
        <v>0</v>
      </c>
      <c r="Z266" s="180" t="n">
        <f aca="false">Z265+O266</f>
        <v>155250</v>
      </c>
    </row>
    <row r="267" customFormat="false" ht="12" hidden="false" customHeight="true" outlineLevel="0" collapsed="false">
      <c r="A267" s="177" t="n">
        <v>212</v>
      </c>
      <c r="B267" s="178" t="n">
        <f aca="false">EDATE(DATA_INICIO,$A267)</f>
        <v>52710</v>
      </c>
      <c r="C267" s="177" t="n">
        <f aca="false">$A267*30</f>
        <v>6360</v>
      </c>
      <c r="D267" s="179" t="n">
        <f aca="false">(1+$B$29)^$A267</f>
        <v>1.99950423175277</v>
      </c>
      <c r="E267" s="180" t="n">
        <f aca="false">$B$6*(1+$B$21)^$A267</f>
        <v>299925.634762915</v>
      </c>
      <c r="F267" s="180" t="n">
        <f aca="false">IF($A267=0,0,$B$13*(1+$B$16)^($A267-1))</f>
        <v>1793.68176123912</v>
      </c>
      <c r="G267" s="180" t="n">
        <f aca="false">F267*$B$14</f>
        <v>143.494540899129</v>
      </c>
      <c r="H267" s="180" t="n">
        <f aca="false">F267-G267</f>
        <v>1650.18722033999</v>
      </c>
      <c r="I267" s="180" t="n">
        <f aca="false">IF($A267=0,0,E267*$B$17/12)</f>
        <v>149.962817381457</v>
      </c>
      <c r="J267" s="180" t="n">
        <f aca="false">H267*$B$19</f>
        <v>132.014977627199</v>
      </c>
      <c r="K267" s="180" t="n">
        <f aca="false">IF($A267=0,0,E267*$B$18/12)</f>
        <v>249.938028969096</v>
      </c>
      <c r="L267" s="180" t="n">
        <f aca="false">MAX(0,H267-I267-J267)</f>
        <v>1368.20942533133</v>
      </c>
      <c r="M267" s="180" t="n">
        <f aca="false">MAX(0,L267*IFERROR(INDEX(TAB_IRPF_ALIQ,MATCH(L267,TAB_IRPF_BASE,1)),0)-IFERROR(INDEX(TAB_IRPF_DED,MATCH(L267,TAB_IRPF_BASE,1)),0))</f>
        <v>0</v>
      </c>
      <c r="N267" s="180" t="n">
        <f aca="false">H267-I267-J267-K267-M267</f>
        <v>1118.27139636223</v>
      </c>
      <c r="O267" s="180" t="n">
        <f aca="false">IF(OR($A267=0,$A267&gt;IN_PRAZO,$B$5=0),0,IF(APORTE_CORRIGIDO="Sim",IN_APORTE*$D267,IN_APORTE))</f>
        <v>0</v>
      </c>
      <c r="P267" s="180" t="n">
        <f aca="false">IF($B$25=1,MAX(0,N267),0)</f>
        <v>1118.27139636223</v>
      </c>
      <c r="Q267" s="180" t="n">
        <f aca="false">R266*$B$27</f>
        <v>3619.15556851352</v>
      </c>
      <c r="R267" s="180" t="n">
        <f aca="false">R266+Q267+O267+P267</f>
        <v>430848.640832434</v>
      </c>
      <c r="S267" s="180" t="n">
        <f aca="false">S266+O267+P267</f>
        <v>171310.828345539</v>
      </c>
      <c r="T267" s="180" t="n">
        <f aca="false">MAX(0,IFERROR(INDEX(TAB_IR,MATCH($C267,TAB_IR_DIAS,1),MATCH("RF_REGR",TAB_IR_REGIMES,0)),0)*MAX(0,R267-S267))</f>
        <v>38930.6718730342</v>
      </c>
      <c r="U267" s="180" t="n">
        <f aca="false">E267*$B$22</f>
        <v>17995.5380857749</v>
      </c>
      <c r="V267" s="180" t="n">
        <f aca="false">IF($B$23=1,0,MAX(0,ALIQ_GANHO_CAP*MAX(0,E267-U267-$B$30)))</f>
        <v>19002.014501571</v>
      </c>
      <c r="W267" s="181" t="n">
        <f aca="false">IF($B$5=0,0,E267-U267-V267+R267-T267)</f>
        <v>654846.051134968</v>
      </c>
      <c r="X267" s="180" t="n">
        <f aca="false">W267/$D267</f>
        <v>327504.208661229</v>
      </c>
      <c r="Y267" s="180" t="n">
        <f aca="false">IF($B$25=1,0,MAX(0,N267))</f>
        <v>0</v>
      </c>
      <c r="Z267" s="180" t="n">
        <f aca="false">Z266+O267</f>
        <v>155250</v>
      </c>
    </row>
    <row r="268" customFormat="false" ht="12" hidden="false" customHeight="true" outlineLevel="0" collapsed="false">
      <c r="A268" s="177" t="n">
        <v>213</v>
      </c>
      <c r="B268" s="178" t="n">
        <f aca="false">EDATE(DATA_INICIO,$A268)</f>
        <v>52740</v>
      </c>
      <c r="C268" s="177" t="n">
        <f aca="false">$A268*30</f>
        <v>6390</v>
      </c>
      <c r="D268" s="179" t="n">
        <f aca="false">(1+$B$29)^$A268</f>
        <v>2.00605008830093</v>
      </c>
      <c r="E268" s="180" t="n">
        <f aca="false">$B$6*(1+$B$21)^$A268</f>
        <v>300907.513245139</v>
      </c>
      <c r="F268" s="180" t="n">
        <f aca="false">IF($A268=0,0,$B$13*(1+$B$16)^($A268-1))</f>
        <v>1799.55380857749</v>
      </c>
      <c r="G268" s="180" t="n">
        <f aca="false">F268*$B$14</f>
        <v>143.964304686199</v>
      </c>
      <c r="H268" s="180" t="n">
        <f aca="false">F268-G268</f>
        <v>1655.58950389129</v>
      </c>
      <c r="I268" s="180" t="n">
        <f aca="false">IF($A268=0,0,E268*$B$17/12)</f>
        <v>150.45375662257</v>
      </c>
      <c r="J268" s="180" t="n">
        <f aca="false">H268*$B$19</f>
        <v>132.447160311303</v>
      </c>
      <c r="K268" s="180" t="n">
        <f aca="false">IF($A268=0,0,E268*$B$18/12)</f>
        <v>250.756261037616</v>
      </c>
      <c r="L268" s="180" t="n">
        <f aca="false">MAX(0,H268-I268-J268)</f>
        <v>1372.68858695742</v>
      </c>
      <c r="M268" s="180" t="n">
        <f aca="false">MAX(0,L268*IFERROR(INDEX(TAB_IRPF_ALIQ,MATCH(L268,TAB_IRPF_BASE,1)),0)-IFERROR(INDEX(TAB_IRPF_DED,MATCH(L268,TAB_IRPF_BASE,1)),0))</f>
        <v>0</v>
      </c>
      <c r="N268" s="180" t="n">
        <f aca="false">H268-I268-J268-K268-M268</f>
        <v>1121.9323259198</v>
      </c>
      <c r="O268" s="180" t="n">
        <f aca="false">IF(OR($A268=0,$A268&gt;IN_PRAZO,$B$5=0),0,IF(APORTE_CORRIGIDO="Sim",IN_APORTE*$D268,IN_APORTE))</f>
        <v>0</v>
      </c>
      <c r="P268" s="180" t="n">
        <f aca="false">IF($B$25=1,MAX(0,N268),0)</f>
        <v>1121.9323259198</v>
      </c>
      <c r="Q268" s="180" t="n">
        <f aca="false">R267*$B$27</f>
        <v>3659.39268178904</v>
      </c>
      <c r="R268" s="180" t="n">
        <f aca="false">R267+Q268+O268+P268</f>
        <v>435629.965840143</v>
      </c>
      <c r="S268" s="180" t="n">
        <f aca="false">S267+O268+P268</f>
        <v>172432.760671459</v>
      </c>
      <c r="T268" s="180" t="n">
        <f aca="false">MAX(0,IFERROR(INDEX(TAB_IR,MATCH($C268,TAB_IR_DIAS,1),MATCH("RF_REGR",TAB_IR_REGIMES,0)),0)*MAX(0,R268-S268))</f>
        <v>39479.5807753026</v>
      </c>
      <c r="U268" s="180" t="n">
        <f aca="false">E268*$B$22</f>
        <v>18054.4507947084</v>
      </c>
      <c r="V268" s="180" t="n">
        <f aca="false">IF($B$23=1,0,MAX(0,ALIQ_GANHO_CAP*MAX(0,E268-U268-$B$30)))</f>
        <v>19140.4593675647</v>
      </c>
      <c r="W268" s="181" t="n">
        <f aca="false">IF($B$5=0,0,E268-U268-V268+R268-T268)</f>
        <v>659862.988147706</v>
      </c>
      <c r="X268" s="180" t="n">
        <f aca="false">W268/$D268</f>
        <v>328936.446799588</v>
      </c>
      <c r="Y268" s="180" t="n">
        <f aca="false">IF($B$25=1,0,MAX(0,N268))</f>
        <v>0</v>
      </c>
      <c r="Z268" s="180" t="n">
        <f aca="false">Z267+O268</f>
        <v>155250</v>
      </c>
    </row>
    <row r="269" customFormat="false" ht="12" hidden="false" customHeight="true" outlineLevel="0" collapsed="false">
      <c r="A269" s="177" t="n">
        <v>214</v>
      </c>
      <c r="B269" s="178" t="n">
        <f aca="false">EDATE(DATA_INICIO,$A269)</f>
        <v>52771</v>
      </c>
      <c r="C269" s="177" t="n">
        <f aca="false">$A269*30</f>
        <v>6420</v>
      </c>
      <c r="D269" s="179" t="n">
        <f aca="false">(1+$B$29)^$A269</f>
        <v>2.01261737428008</v>
      </c>
      <c r="E269" s="180" t="n">
        <f aca="false">$B$6*(1+$B$21)^$A269</f>
        <v>301892.606142013</v>
      </c>
      <c r="F269" s="180" t="n">
        <f aca="false">IF($A269=0,0,$B$13*(1+$B$16)^($A269-1))</f>
        <v>1805.44507947084</v>
      </c>
      <c r="G269" s="180" t="n">
        <f aca="false">F269*$B$14</f>
        <v>144.435606357667</v>
      </c>
      <c r="H269" s="180" t="n">
        <f aca="false">F269-G269</f>
        <v>1661.00947311317</v>
      </c>
      <c r="I269" s="180" t="n">
        <f aca="false">IF($A269=0,0,E269*$B$17/12)</f>
        <v>150.946303071006</v>
      </c>
      <c r="J269" s="180" t="n">
        <f aca="false">H269*$B$19</f>
        <v>132.880757849054</v>
      </c>
      <c r="K269" s="180" t="n">
        <f aca="false">IF($A269=0,0,E269*$B$18/12)</f>
        <v>251.57717178501</v>
      </c>
      <c r="L269" s="180" t="n">
        <f aca="false">MAX(0,H269-I269-J269)</f>
        <v>1377.18241219311</v>
      </c>
      <c r="M269" s="180" t="n">
        <f aca="false">MAX(0,L269*IFERROR(INDEX(TAB_IRPF_ALIQ,MATCH(L269,TAB_IRPF_BASE,1)),0)-IFERROR(INDEX(TAB_IRPF_DED,MATCH(L269,TAB_IRPF_BASE,1)),0))</f>
        <v>0</v>
      </c>
      <c r="N269" s="180" t="n">
        <f aca="false">H269-I269-J269-K269-M269</f>
        <v>1125.6052404081</v>
      </c>
      <c r="O269" s="180" t="n">
        <f aca="false">IF(OR($A269=0,$A269&gt;IN_PRAZO,$B$5=0),0,IF(APORTE_CORRIGIDO="Sim",IN_APORTE*$D269,IN_APORTE))</f>
        <v>0</v>
      </c>
      <c r="P269" s="180" t="n">
        <f aca="false">IF($B$25=1,MAX(0,N269),0)</f>
        <v>1125.6052404081</v>
      </c>
      <c r="Q269" s="180" t="n">
        <f aca="false">R268*$B$27</f>
        <v>3700.00264102823</v>
      </c>
      <c r="R269" s="180" t="n">
        <f aca="false">R268+Q269+O269+P269</f>
        <v>440455.573721579</v>
      </c>
      <c r="S269" s="180" t="n">
        <f aca="false">S268+O269+P269</f>
        <v>173558.365911867</v>
      </c>
      <c r="T269" s="180" t="n">
        <f aca="false">MAX(0,IFERROR(INDEX(TAB_IR,MATCH($C269,TAB_IR_DIAS,1),MATCH("RF_REGR",TAB_IR_REGIMES,0)),0)*MAX(0,R269-S269))</f>
        <v>40034.5811714568</v>
      </c>
      <c r="U269" s="180" t="n">
        <f aca="false">E269*$B$22</f>
        <v>18113.5563685208</v>
      </c>
      <c r="V269" s="180" t="n">
        <f aca="false">IF($B$23=1,0,MAX(0,ALIQ_GANHO_CAP*MAX(0,E269-U269-$B$30)))</f>
        <v>19279.3574660238</v>
      </c>
      <c r="W269" s="181" t="n">
        <f aca="false">IF($B$5=0,0,E269-U269-V269+R269-T269)</f>
        <v>664920.68485759</v>
      </c>
      <c r="X269" s="180" t="n">
        <f aca="false">W269/$D269</f>
        <v>330376.102956695</v>
      </c>
      <c r="Y269" s="180" t="n">
        <f aca="false">IF($B$25=1,0,MAX(0,N269))</f>
        <v>0</v>
      </c>
      <c r="Z269" s="180" t="n">
        <f aca="false">Z268+O269</f>
        <v>155250</v>
      </c>
    </row>
    <row r="270" customFormat="false" ht="12" hidden="false" customHeight="true" outlineLevel="0" collapsed="false">
      <c r="A270" s="177" t="n">
        <v>215</v>
      </c>
      <c r="B270" s="178" t="n">
        <f aca="false">EDATE(DATA_INICIO,$A270)</f>
        <v>52801</v>
      </c>
      <c r="C270" s="177" t="n">
        <f aca="false">$A270*30</f>
        <v>6450</v>
      </c>
      <c r="D270" s="179" t="n">
        <f aca="false">(1+$B$29)^$A270</f>
        <v>2.01920615984461</v>
      </c>
      <c r="E270" s="180" t="n">
        <f aca="false">$B$6*(1+$B$21)^$A270</f>
        <v>302880.923976691</v>
      </c>
      <c r="F270" s="180" t="n">
        <f aca="false">IF($A270=0,0,$B$13*(1+$B$16)^($A270-1))</f>
        <v>1811.35563685208</v>
      </c>
      <c r="G270" s="180" t="n">
        <f aca="false">F270*$B$14</f>
        <v>144.908450948166</v>
      </c>
      <c r="H270" s="180" t="n">
        <f aca="false">F270-G270</f>
        <v>1666.44718590391</v>
      </c>
      <c r="I270" s="180" t="n">
        <f aca="false">IF($A270=0,0,E270*$B$17/12)</f>
        <v>151.440461988346</v>
      </c>
      <c r="J270" s="180" t="n">
        <f aca="false">H270*$B$19</f>
        <v>133.315774872313</v>
      </c>
      <c r="K270" s="180" t="n">
        <f aca="false">IF($A270=0,0,E270*$B$18/12)</f>
        <v>252.400769980576</v>
      </c>
      <c r="L270" s="180" t="n">
        <f aca="false">MAX(0,H270-I270-J270)</f>
        <v>1381.69094904325</v>
      </c>
      <c r="M270" s="180" t="n">
        <f aca="false">MAX(0,L270*IFERROR(INDEX(TAB_IRPF_ALIQ,MATCH(L270,TAB_IRPF_BASE,1)),0)-IFERROR(INDEX(TAB_IRPF_DED,MATCH(L270,TAB_IRPF_BASE,1)),0))</f>
        <v>0</v>
      </c>
      <c r="N270" s="180" t="n">
        <f aca="false">H270-I270-J270-K270-M270</f>
        <v>1129.29017906267</v>
      </c>
      <c r="O270" s="180" t="n">
        <f aca="false">IF(OR($A270=0,$A270&gt;IN_PRAZO,$B$5=0),0,IF(APORTE_CORRIGIDO="Sim",IN_APORTE*$D270,IN_APORTE))</f>
        <v>0</v>
      </c>
      <c r="P270" s="180" t="n">
        <f aca="false">IF($B$25=1,MAX(0,N270),0)</f>
        <v>1129.29017906267</v>
      </c>
      <c r="Q270" s="180" t="n">
        <f aca="false">R269*$B$27</f>
        <v>3740.9887147742</v>
      </c>
      <c r="R270" s="180" t="n">
        <f aca="false">R269+Q270+O270+P270</f>
        <v>445325.852615416</v>
      </c>
      <c r="S270" s="180" t="n">
        <f aca="false">S269+O270+P270</f>
        <v>174687.656090929</v>
      </c>
      <c r="T270" s="180" t="n">
        <f aca="false">MAX(0,IFERROR(INDEX(TAB_IR,MATCH($C270,TAB_IR_DIAS,1),MATCH("RF_REGR",TAB_IR_REGIMES,0)),0)*MAX(0,R270-S270))</f>
        <v>40595.729478673</v>
      </c>
      <c r="U270" s="180" t="n">
        <f aca="false">E270*$B$22</f>
        <v>18172.8554386015</v>
      </c>
      <c r="V270" s="180" t="n">
        <f aca="false">IF($B$23=1,0,MAX(0,ALIQ_GANHO_CAP*MAX(0,E270-U270-$B$30)))</f>
        <v>19418.7102807135</v>
      </c>
      <c r="W270" s="181" t="n">
        <f aca="false">IF($B$5=0,0,E270-U270-V270+R270-T270)</f>
        <v>670019.481394119</v>
      </c>
      <c r="X270" s="180" t="n">
        <f aca="false">W270/$D270</f>
        <v>331823.215835317</v>
      </c>
      <c r="Y270" s="180" t="n">
        <f aca="false">IF($B$25=1,0,MAX(0,N270))</f>
        <v>0</v>
      </c>
      <c r="Z270" s="180" t="n">
        <f aca="false">Z269+O270</f>
        <v>155250</v>
      </c>
    </row>
    <row r="271" customFormat="false" ht="12" hidden="false" customHeight="true" outlineLevel="0" collapsed="false">
      <c r="A271" s="177" t="n">
        <v>216</v>
      </c>
      <c r="B271" s="178" t="n">
        <f aca="false">EDATE(DATA_INICIO,$A271)</f>
        <v>52832</v>
      </c>
      <c r="C271" s="177" t="n">
        <f aca="false">$A271*30</f>
        <v>6480</v>
      </c>
      <c r="D271" s="179" t="n">
        <f aca="false">(1+$B$29)^$A271</f>
        <v>2.02581651537855</v>
      </c>
      <c r="E271" s="180" t="n">
        <f aca="false">$B$6*(1+$B$21)^$A271</f>
        <v>303872.477306783</v>
      </c>
      <c r="F271" s="180" t="n">
        <f aca="false">IF($A271=0,0,$B$13*(1+$B$16)^($A271-1))</f>
        <v>1817.28554386015</v>
      </c>
      <c r="G271" s="180" t="n">
        <f aca="false">F271*$B$14</f>
        <v>145.382843508812</v>
      </c>
      <c r="H271" s="180" t="n">
        <f aca="false">F271-G271</f>
        <v>1671.90270035134</v>
      </c>
      <c r="I271" s="180" t="n">
        <f aca="false">IF($A271=0,0,E271*$B$17/12)</f>
        <v>151.936238653392</v>
      </c>
      <c r="J271" s="180" t="n">
        <f aca="false">H271*$B$19</f>
        <v>133.752216028107</v>
      </c>
      <c r="K271" s="180" t="n">
        <f aca="false">IF($A271=0,0,E271*$B$18/12)</f>
        <v>253.227064422319</v>
      </c>
      <c r="L271" s="180" t="n">
        <f aca="false">MAX(0,H271-I271-J271)</f>
        <v>1386.21424566984</v>
      </c>
      <c r="M271" s="180" t="n">
        <f aca="false">MAX(0,L271*IFERROR(INDEX(TAB_IRPF_ALIQ,MATCH(L271,TAB_IRPF_BASE,1)),0)-IFERROR(INDEX(TAB_IRPF_DED,MATCH(L271,TAB_IRPF_BASE,1)),0))</f>
        <v>0</v>
      </c>
      <c r="N271" s="180" t="n">
        <f aca="false">H271-I271-J271-K271-M271</f>
        <v>1132.98718124752</v>
      </c>
      <c r="O271" s="180" t="n">
        <f aca="false">IF(OR($A271=0,$A271&gt;IN_PRAZO,$B$5=0),0,IF(APORTE_CORRIGIDO="Sim",IN_APORTE*$D271,IN_APORTE))</f>
        <v>0</v>
      </c>
      <c r="P271" s="180" t="n">
        <f aca="false">IF($B$25=1,MAX(0,N271),0)</f>
        <v>1132.98718124752</v>
      </c>
      <c r="Q271" s="180" t="n">
        <f aca="false">R270*$B$27</f>
        <v>3782.35419966454</v>
      </c>
      <c r="R271" s="180" t="n">
        <f aca="false">R270+Q271+O271+P271</f>
        <v>450241.193996328</v>
      </c>
      <c r="S271" s="180" t="n">
        <f aca="false">S270+O271+P271</f>
        <v>175820.643272177</v>
      </c>
      <c r="T271" s="180" t="n">
        <f aca="false">MAX(0,IFERROR(INDEX(TAB_IR,MATCH($C271,TAB_IR_DIAS,1),MATCH("RF_REGR",TAB_IR_REGIMES,0)),0)*MAX(0,R271-S271))</f>
        <v>41163.0826086226</v>
      </c>
      <c r="U271" s="180" t="n">
        <f aca="false">E271*$B$22</f>
        <v>18232.348638407</v>
      </c>
      <c r="V271" s="180" t="n">
        <f aca="false">IF($B$23=1,0,MAX(0,ALIQ_GANHO_CAP*MAX(0,E271-U271-$B$30)))</f>
        <v>19558.5193002564</v>
      </c>
      <c r="W271" s="181" t="n">
        <f aca="false">IF($B$5=0,0,E271-U271-V271+R271-T271)</f>
        <v>675159.720755825</v>
      </c>
      <c r="X271" s="180" t="n">
        <f aca="false">W271/$D271</f>
        <v>333277.82433922</v>
      </c>
      <c r="Y271" s="180" t="n">
        <f aca="false">IF($B$25=1,0,MAX(0,N271))</f>
        <v>0</v>
      </c>
      <c r="Z271" s="180" t="n">
        <f aca="false">Z270+O271</f>
        <v>155250</v>
      </c>
    </row>
    <row r="272" customFormat="false" ht="12" hidden="false" customHeight="true" outlineLevel="0" collapsed="false">
      <c r="A272" s="177" t="n">
        <v>217</v>
      </c>
      <c r="B272" s="178" t="n">
        <f aca="false">EDATE(DATA_INICIO,$A272)</f>
        <v>52863</v>
      </c>
      <c r="C272" s="177" t="n">
        <f aca="false">$A272*30</f>
        <v>6510</v>
      </c>
      <c r="D272" s="179" t="n">
        <f aca="false">(1+$B$29)^$A272</f>
        <v>2.03244851149638</v>
      </c>
      <c r="E272" s="180" t="n">
        <f aca="false">$B$6*(1+$B$21)^$A272</f>
        <v>304867.276724458</v>
      </c>
      <c r="F272" s="180" t="n">
        <f aca="false">IF($A272=0,0,$B$13*(1+$B$16)^($A272-1))</f>
        <v>1823.2348638407</v>
      </c>
      <c r="G272" s="180" t="n">
        <f aca="false">F272*$B$14</f>
        <v>145.858789107256</v>
      </c>
      <c r="H272" s="180" t="n">
        <f aca="false">F272-G272</f>
        <v>1677.37607473344</v>
      </c>
      <c r="I272" s="180" t="n">
        <f aca="false">IF($A272=0,0,E272*$B$17/12)</f>
        <v>152.433638362229</v>
      </c>
      <c r="J272" s="180" t="n">
        <f aca="false">H272*$B$19</f>
        <v>134.190085978675</v>
      </c>
      <c r="K272" s="180" t="n">
        <f aca="false">IF($A272=0,0,E272*$B$18/12)</f>
        <v>254.056063937048</v>
      </c>
      <c r="L272" s="180" t="n">
        <f aca="false">MAX(0,H272-I272-J272)</f>
        <v>1390.75235039254</v>
      </c>
      <c r="M272" s="180" t="n">
        <f aca="false">MAX(0,L272*IFERROR(INDEX(TAB_IRPF_ALIQ,MATCH(L272,TAB_IRPF_BASE,1)),0)-IFERROR(INDEX(TAB_IRPF_DED,MATCH(L272,TAB_IRPF_BASE,1)),0))</f>
        <v>0</v>
      </c>
      <c r="N272" s="180" t="n">
        <f aca="false">H272-I272-J272-K272-M272</f>
        <v>1136.69628645549</v>
      </c>
      <c r="O272" s="180" t="n">
        <f aca="false">IF(OR($A272=0,$A272&gt;IN_PRAZO,$B$5=0),0,IF(APORTE_CORRIGIDO="Sim",IN_APORTE*$D272,IN_APORTE))</f>
        <v>0</v>
      </c>
      <c r="P272" s="180" t="n">
        <f aca="false">IF($B$25=1,MAX(0,N272),0)</f>
        <v>1136.69628645549</v>
      </c>
      <c r="Q272" s="180" t="n">
        <f aca="false">R271*$B$27</f>
        <v>3824.102420671</v>
      </c>
      <c r="R272" s="180" t="n">
        <f aca="false">R271+Q272+O272+P272</f>
        <v>455201.992703454</v>
      </c>
      <c r="S272" s="180" t="n">
        <f aca="false">S271+O272+P272</f>
        <v>176957.339558633</v>
      </c>
      <c r="T272" s="180" t="n">
        <f aca="false">MAX(0,IFERROR(INDEX(TAB_IR,MATCH($C272,TAB_IR_DIAS,1),MATCH("RF_REGR",TAB_IR_REGIMES,0)),0)*MAX(0,R272-S272))</f>
        <v>41736.6979717233</v>
      </c>
      <c r="U272" s="180" t="n">
        <f aca="false">E272*$B$22</f>
        <v>18292.0366034674</v>
      </c>
      <c r="V272" s="180" t="n">
        <f aca="false">IF($B$23=1,0,MAX(0,ALIQ_GANHO_CAP*MAX(0,E272-U272-$B$30)))</f>
        <v>19698.7860181485</v>
      </c>
      <c r="W272" s="181" t="n">
        <f aca="false">IF($B$5=0,0,E272-U272-V272+R272-T272)</f>
        <v>680341.748834573</v>
      </c>
      <c r="X272" s="180" t="n">
        <f aca="false">W272/$D272</f>
        <v>334739.967574221</v>
      </c>
      <c r="Y272" s="180" t="n">
        <f aca="false">IF($B$25=1,0,MAX(0,N272))</f>
        <v>0</v>
      </c>
      <c r="Z272" s="180" t="n">
        <f aca="false">Z271+O272</f>
        <v>155250</v>
      </c>
    </row>
    <row r="273" customFormat="false" ht="12" hidden="false" customHeight="true" outlineLevel="0" collapsed="false">
      <c r="A273" s="177" t="n">
        <v>218</v>
      </c>
      <c r="B273" s="178" t="n">
        <f aca="false">EDATE(DATA_INICIO,$A273)</f>
        <v>52893</v>
      </c>
      <c r="C273" s="177" t="n">
        <f aca="false">$A273*30</f>
        <v>6540</v>
      </c>
      <c r="D273" s="179" t="n">
        <f aca="false">(1+$B$29)^$A273</f>
        <v>2.03910221904374</v>
      </c>
      <c r="E273" s="180" t="n">
        <f aca="false">$B$6*(1+$B$21)^$A273</f>
        <v>305865.332856561</v>
      </c>
      <c r="F273" s="180" t="n">
        <f aca="false">IF($A273=0,0,$B$13*(1+$B$16)^($A273-1))</f>
        <v>1829.20366034675</v>
      </c>
      <c r="G273" s="180" t="n">
        <f aca="false">F273*$B$14</f>
        <v>146.33629282774</v>
      </c>
      <c r="H273" s="180" t="n">
        <f aca="false">F273-G273</f>
        <v>1682.86736751901</v>
      </c>
      <c r="I273" s="180" t="n">
        <f aca="false">IF($A273=0,0,E273*$B$17/12)</f>
        <v>152.932666428281</v>
      </c>
      <c r="J273" s="180" t="n">
        <f aca="false">H273*$B$19</f>
        <v>134.62938940152</v>
      </c>
      <c r="K273" s="180" t="n">
        <f aca="false">IF($A273=0,0,E273*$B$18/12)</f>
        <v>254.887777380468</v>
      </c>
      <c r="L273" s="180" t="n">
        <f aca="false">MAX(0,H273-I273-J273)</f>
        <v>1395.3053116892</v>
      </c>
      <c r="M273" s="180" t="n">
        <f aca="false">MAX(0,L273*IFERROR(INDEX(TAB_IRPF_ALIQ,MATCH(L273,TAB_IRPF_BASE,1)),0)-IFERROR(INDEX(TAB_IRPF_DED,MATCH(L273,TAB_IRPF_BASE,1)),0))</f>
        <v>0</v>
      </c>
      <c r="N273" s="180" t="n">
        <f aca="false">H273-I273-J273-K273-M273</f>
        <v>1140.41753430874</v>
      </c>
      <c r="O273" s="180" t="n">
        <f aca="false">IF(OR($A273=0,$A273&gt;IN_PRAZO,$B$5=0),0,IF(APORTE_CORRIGIDO="Sim",IN_APORTE*$D273,IN_APORTE))</f>
        <v>0</v>
      </c>
      <c r="P273" s="180" t="n">
        <f aca="false">IF($B$25=1,MAX(0,N273),0)</f>
        <v>1140.41753430874</v>
      </c>
      <c r="Q273" s="180" t="n">
        <f aca="false">R272*$B$27</f>
        <v>3866.23673134125</v>
      </c>
      <c r="R273" s="180" t="n">
        <f aca="false">R272+Q273+O273+P273</f>
        <v>460208.646969104</v>
      </c>
      <c r="S273" s="180" t="n">
        <f aca="false">S272+O273+P273</f>
        <v>178097.757092941</v>
      </c>
      <c r="T273" s="180" t="n">
        <f aca="false">MAX(0,IFERROR(INDEX(TAB_IR,MATCH($C273,TAB_IR_DIAS,1),MATCH("RF_REGR",TAB_IR_REGIMES,0)),0)*MAX(0,R273-S273))</f>
        <v>42316.6334814245</v>
      </c>
      <c r="U273" s="180" t="n">
        <f aca="false">E273*$B$22</f>
        <v>18351.9199713937</v>
      </c>
      <c r="V273" s="180" t="n">
        <f aca="false">IF($B$23=1,0,MAX(0,ALIQ_GANHO_CAP*MAX(0,E273-U273-$B$30)))</f>
        <v>19839.5119327751</v>
      </c>
      <c r="W273" s="181" t="n">
        <f aca="false">IF($B$5=0,0,E273-U273-V273+R273-T273)</f>
        <v>685565.914440072</v>
      </c>
      <c r="X273" s="180" t="n">
        <f aca="false">W273/$D273</f>
        <v>336209.684849235</v>
      </c>
      <c r="Y273" s="180" t="n">
        <f aca="false">IF($B$25=1,0,MAX(0,N273))</f>
        <v>0</v>
      </c>
      <c r="Z273" s="180" t="n">
        <f aca="false">Z272+O273</f>
        <v>155250</v>
      </c>
    </row>
    <row r="274" customFormat="false" ht="12" hidden="false" customHeight="true" outlineLevel="0" collapsed="false">
      <c r="A274" s="177" t="n">
        <v>219</v>
      </c>
      <c r="B274" s="178" t="n">
        <f aca="false">EDATE(DATA_INICIO,$A274)</f>
        <v>52924</v>
      </c>
      <c r="C274" s="177" t="n">
        <f aca="false">$A274*30</f>
        <v>6570</v>
      </c>
      <c r="D274" s="179" t="n">
        <f aca="false">(1+$B$29)^$A274</f>
        <v>2.04577770909819</v>
      </c>
      <c r="E274" s="180" t="n">
        <f aca="false">$B$6*(1+$B$21)^$A274</f>
        <v>306866.656364729</v>
      </c>
      <c r="F274" s="180" t="n">
        <f aca="false">IF($A274=0,0,$B$13*(1+$B$16)^($A274-1))</f>
        <v>1835.19199713937</v>
      </c>
      <c r="G274" s="180" t="n">
        <f aca="false">F274*$B$14</f>
        <v>146.815359771149</v>
      </c>
      <c r="H274" s="180" t="n">
        <f aca="false">F274-G274</f>
        <v>1688.37663736822</v>
      </c>
      <c r="I274" s="180" t="n">
        <f aca="false">IF($A274=0,0,E274*$B$17/12)</f>
        <v>153.433328182365</v>
      </c>
      <c r="J274" s="180" t="n">
        <f aca="false">H274*$B$19</f>
        <v>135.070130989457</v>
      </c>
      <c r="K274" s="180" t="n">
        <f aca="false">IF($A274=0,0,E274*$B$18/12)</f>
        <v>255.722213637274</v>
      </c>
      <c r="L274" s="180" t="n">
        <f aca="false">MAX(0,H274-I274-J274)</f>
        <v>1399.8731781964</v>
      </c>
      <c r="M274" s="180" t="n">
        <f aca="false">MAX(0,L274*IFERROR(INDEX(TAB_IRPF_ALIQ,MATCH(L274,TAB_IRPF_BASE,1)),0)-IFERROR(INDEX(TAB_IRPF_DED,MATCH(L274,TAB_IRPF_BASE,1)),0))</f>
        <v>0</v>
      </c>
      <c r="N274" s="180" t="n">
        <f aca="false">H274-I274-J274-K274-M274</f>
        <v>1144.15096455912</v>
      </c>
      <c r="O274" s="180" t="n">
        <f aca="false">IF(OR($A274=0,$A274&gt;IN_PRAZO,$B$5=0),0,IF(APORTE_CORRIGIDO="Sim",IN_APORTE*$D274,IN_APORTE))</f>
        <v>0</v>
      </c>
      <c r="P274" s="180" t="n">
        <f aca="false">IF($B$25=1,MAX(0,N274),0)</f>
        <v>1144.15096455912</v>
      </c>
      <c r="Q274" s="180" t="n">
        <f aca="false">R273*$B$27</f>
        <v>3908.76051404268</v>
      </c>
      <c r="R274" s="180" t="n">
        <f aca="false">R273+Q274+O274+P274</f>
        <v>465261.558447706</v>
      </c>
      <c r="S274" s="180" t="n">
        <f aca="false">S273+O274+P274</f>
        <v>179241.9080575</v>
      </c>
      <c r="T274" s="180" t="n">
        <f aca="false">MAX(0,IFERROR(INDEX(TAB_IR,MATCH($C274,TAB_IR_DIAS,1),MATCH("RF_REGR",TAB_IR_REGIMES,0)),0)*MAX(0,R274-S274))</f>
        <v>42902.9475585309</v>
      </c>
      <c r="U274" s="180" t="n">
        <f aca="false">E274*$B$22</f>
        <v>18411.9993818837</v>
      </c>
      <c r="V274" s="180" t="n">
        <f aca="false">IF($B$23=1,0,MAX(0,ALIQ_GANHO_CAP*MAX(0,E274-U274-$B$30)))</f>
        <v>19980.6985474268</v>
      </c>
      <c r="W274" s="181" t="n">
        <f aca="false">IF($B$5=0,0,E274-U274-V274+R274-T274)</f>
        <v>690832.569324594</v>
      </c>
      <c r="X274" s="180" t="n">
        <f aca="false">W274/$D274</f>
        <v>337687.01567734</v>
      </c>
      <c r="Y274" s="180" t="n">
        <f aca="false">IF($B$25=1,0,MAX(0,N274))</f>
        <v>0</v>
      </c>
      <c r="Z274" s="180" t="n">
        <f aca="false">Z273+O274</f>
        <v>155250</v>
      </c>
    </row>
    <row r="275" customFormat="false" ht="12" hidden="false" customHeight="true" outlineLevel="0" collapsed="false">
      <c r="A275" s="177" t="n">
        <v>220</v>
      </c>
      <c r="B275" s="178" t="n">
        <f aca="false">EDATE(DATA_INICIO,$A275)</f>
        <v>52954</v>
      </c>
      <c r="C275" s="177" t="n">
        <f aca="false">$A275*30</f>
        <v>6600</v>
      </c>
      <c r="D275" s="179" t="n">
        <f aca="false">(1+$B$29)^$A275</f>
        <v>2.05247505297</v>
      </c>
      <c r="E275" s="180" t="n">
        <f aca="false">$B$6*(1+$B$21)^$A275</f>
        <v>307871.257945501</v>
      </c>
      <c r="F275" s="180" t="n">
        <f aca="false">IF($A275=0,0,$B$13*(1+$B$16)^($A275-1))</f>
        <v>1841.19993818837</v>
      </c>
      <c r="G275" s="180" t="n">
        <f aca="false">F275*$B$14</f>
        <v>147.29599505507</v>
      </c>
      <c r="H275" s="180" t="n">
        <f aca="false">F275-G275</f>
        <v>1693.9039431333</v>
      </c>
      <c r="I275" s="180" t="n">
        <f aca="false">IF($A275=0,0,E275*$B$17/12)</f>
        <v>153.93562897275</v>
      </c>
      <c r="J275" s="180" t="n">
        <f aca="false">H275*$B$19</f>
        <v>135.512315450664</v>
      </c>
      <c r="K275" s="180" t="n">
        <f aca="false">IF($A275=0,0,E275*$B$18/12)</f>
        <v>256.559381621251</v>
      </c>
      <c r="L275" s="180" t="n">
        <f aca="false">MAX(0,H275-I275-J275)</f>
        <v>1404.45599870989</v>
      </c>
      <c r="M275" s="180" t="n">
        <f aca="false">MAX(0,L275*IFERROR(INDEX(TAB_IRPF_ALIQ,MATCH(L275,TAB_IRPF_BASE,1)),0)-IFERROR(INDEX(TAB_IRPF_DED,MATCH(L275,TAB_IRPF_BASE,1)),0))</f>
        <v>0</v>
      </c>
      <c r="N275" s="180" t="n">
        <f aca="false">H275-I275-J275-K275-M275</f>
        <v>1147.89661708864</v>
      </c>
      <c r="O275" s="180" t="n">
        <f aca="false">IF(OR($A275=0,$A275&gt;IN_PRAZO,$B$5=0),0,IF(APORTE_CORRIGIDO="Sim",IN_APORTE*$D275,IN_APORTE))</f>
        <v>0</v>
      </c>
      <c r="P275" s="180" t="n">
        <f aca="false">IF($B$25=1,MAX(0,N275),0)</f>
        <v>1147.89661708864</v>
      </c>
      <c r="Q275" s="180" t="n">
        <f aca="false">R274*$B$27</f>
        <v>3951.67718020832</v>
      </c>
      <c r="R275" s="180" t="n">
        <f aca="false">R274+Q275+O275+P275</f>
        <v>470361.132245003</v>
      </c>
      <c r="S275" s="180" t="n">
        <f aca="false">S274+O275+P275</f>
        <v>180389.804674589</v>
      </c>
      <c r="T275" s="180" t="n">
        <f aca="false">MAX(0,IFERROR(INDEX(TAB_IR,MATCH($C275,TAB_IR_DIAS,1),MATCH("RF_REGR",TAB_IR_REGIMES,0)),0)*MAX(0,R275-S275))</f>
        <v>43495.6991355621</v>
      </c>
      <c r="U275" s="180" t="n">
        <f aca="false">E275*$B$22</f>
        <v>18472.27547673</v>
      </c>
      <c r="V275" s="180" t="n">
        <f aca="false">IF($B$23=1,0,MAX(0,ALIQ_GANHO_CAP*MAX(0,E275-U275-$B$30)))</f>
        <v>20122.3473703156</v>
      </c>
      <c r="W275" s="181" t="n">
        <f aca="false">IF($B$5=0,0,E275-U275-V275+R275-T275)</f>
        <v>696142.068207896</v>
      </c>
      <c r="X275" s="180" t="n">
        <f aca="false">W275/$D275</f>
        <v>339171.999776832</v>
      </c>
      <c r="Y275" s="180" t="n">
        <f aca="false">IF($B$25=1,0,MAX(0,N275))</f>
        <v>0</v>
      </c>
      <c r="Z275" s="180" t="n">
        <f aca="false">Z274+O275</f>
        <v>155250</v>
      </c>
    </row>
    <row r="276" customFormat="false" ht="12" hidden="false" customHeight="true" outlineLevel="0" collapsed="false">
      <c r="A276" s="177" t="n">
        <v>221</v>
      </c>
      <c r="B276" s="178" t="n">
        <f aca="false">EDATE(DATA_INICIO,$A276)</f>
        <v>52985</v>
      </c>
      <c r="C276" s="177" t="n">
        <f aca="false">$A276*30</f>
        <v>6630</v>
      </c>
      <c r="D276" s="179" t="n">
        <f aca="false">(1+$B$29)^$A276</f>
        <v>2.05919432220288</v>
      </c>
      <c r="E276" s="180" t="n">
        <f aca="false">$B$6*(1+$B$21)^$A276</f>
        <v>308879.148330433</v>
      </c>
      <c r="F276" s="180" t="n">
        <f aca="false">IF($A276=0,0,$B$13*(1+$B$16)^($A276-1))</f>
        <v>1847.227547673</v>
      </c>
      <c r="G276" s="180" t="n">
        <f aca="false">F276*$B$14</f>
        <v>147.77820381384</v>
      </c>
      <c r="H276" s="180" t="n">
        <f aca="false">F276-G276</f>
        <v>1699.44934385916</v>
      </c>
      <c r="I276" s="180" t="n">
        <f aca="false">IF($A276=0,0,E276*$B$17/12)</f>
        <v>154.439574165216</v>
      </c>
      <c r="J276" s="180" t="n">
        <f aca="false">H276*$B$19</f>
        <v>135.955947508733</v>
      </c>
      <c r="K276" s="180" t="n">
        <f aca="false">IF($A276=0,0,E276*$B$18/12)</f>
        <v>257.39929027536</v>
      </c>
      <c r="L276" s="180" t="n">
        <f aca="false">MAX(0,H276-I276-J276)</f>
        <v>1409.05382218521</v>
      </c>
      <c r="M276" s="180" t="n">
        <f aca="false">MAX(0,L276*IFERROR(INDEX(TAB_IRPF_ALIQ,MATCH(L276,TAB_IRPF_BASE,1)),0)-IFERROR(INDEX(TAB_IRPF_DED,MATCH(L276,TAB_IRPF_BASE,1)),0))</f>
        <v>0</v>
      </c>
      <c r="N276" s="180" t="n">
        <f aca="false">H276-I276-J276-K276-M276</f>
        <v>1151.65453190985</v>
      </c>
      <c r="O276" s="180" t="n">
        <f aca="false">IF(OR($A276=0,$A276&gt;IN_PRAZO,$B$5=0),0,IF(APORTE_CORRIGIDO="Sim",IN_APORTE*$D276,IN_APORTE))</f>
        <v>0</v>
      </c>
      <c r="P276" s="180" t="n">
        <f aca="false">IF($B$25=1,MAX(0,N276),0)</f>
        <v>1151.65453190985</v>
      </c>
      <c r="Q276" s="180" t="n">
        <f aca="false">R275*$B$27</f>
        <v>3994.99017058474</v>
      </c>
      <c r="R276" s="180" t="n">
        <f aca="false">R275+Q276+O276+P276</f>
        <v>475507.776947498</v>
      </c>
      <c r="S276" s="180" t="n">
        <f aca="false">S275+O276+P276</f>
        <v>181541.459206499</v>
      </c>
      <c r="T276" s="180" t="n">
        <f aca="false">MAX(0,IFERROR(INDEX(TAB_IR,MATCH($C276,TAB_IR_DIAS,1),MATCH("RF_REGR",TAB_IR_REGIMES,0)),0)*MAX(0,R276-S276))</f>
        <v>44094.9476611498</v>
      </c>
      <c r="U276" s="180" t="n">
        <f aca="false">E276*$B$22</f>
        <v>18532.7488998259</v>
      </c>
      <c r="V276" s="180" t="n">
        <f aca="false">IF($B$23=1,0,MAX(0,ALIQ_GANHO_CAP*MAX(0,E276-U276-$B$30)))</f>
        <v>20264.459914591</v>
      </c>
      <c r="W276" s="181" t="n">
        <f aca="false">IF($B$5=0,0,E276-U276-V276+R276-T276)</f>
        <v>701494.768802363</v>
      </c>
      <c r="X276" s="180" t="n">
        <f aca="false">W276/$D276</f>
        <v>340664.677072302</v>
      </c>
      <c r="Y276" s="180" t="n">
        <f aca="false">IF($B$25=1,0,MAX(0,N276))</f>
        <v>0</v>
      </c>
      <c r="Z276" s="180" t="n">
        <f aca="false">Z275+O276</f>
        <v>155250</v>
      </c>
    </row>
    <row r="277" customFormat="false" ht="12" hidden="false" customHeight="true" outlineLevel="0" collapsed="false">
      <c r="A277" s="177" t="n">
        <v>222</v>
      </c>
      <c r="B277" s="178" t="n">
        <f aca="false">EDATE(DATA_INICIO,$A277)</f>
        <v>53016</v>
      </c>
      <c r="C277" s="177" t="n">
        <f aca="false">$A277*30</f>
        <v>6660</v>
      </c>
      <c r="D277" s="179" t="n">
        <f aca="false">(1+$B$29)^$A277</f>
        <v>2.06593558857476</v>
      </c>
      <c r="E277" s="180" t="n">
        <f aca="false">$B$6*(1+$B$21)^$A277</f>
        <v>309890.338286214</v>
      </c>
      <c r="F277" s="180" t="n">
        <f aca="false">IF($A277=0,0,$B$13*(1+$B$16)^($A277-1))</f>
        <v>1853.2748899826</v>
      </c>
      <c r="G277" s="180" t="n">
        <f aca="false">F277*$B$14</f>
        <v>148.261991198608</v>
      </c>
      <c r="H277" s="180" t="n">
        <f aca="false">F277-G277</f>
        <v>1705.01289878399</v>
      </c>
      <c r="I277" s="180" t="n">
        <f aca="false">IF($A277=0,0,E277*$B$17/12)</f>
        <v>154.945169143107</v>
      </c>
      <c r="J277" s="180" t="n">
        <f aca="false">H277*$B$19</f>
        <v>136.401031902719</v>
      </c>
      <c r="K277" s="180" t="n">
        <f aca="false">IF($A277=0,0,E277*$B$18/12)</f>
        <v>258.241948571845</v>
      </c>
      <c r="L277" s="180" t="n">
        <f aca="false">MAX(0,H277-I277-J277)</f>
        <v>1413.66669773816</v>
      </c>
      <c r="M277" s="180" t="n">
        <f aca="false">MAX(0,L277*IFERROR(INDEX(TAB_IRPF_ALIQ,MATCH(L277,TAB_IRPF_BASE,1)),0)-IFERROR(INDEX(TAB_IRPF_DED,MATCH(L277,TAB_IRPF_BASE,1)),0))</f>
        <v>0</v>
      </c>
      <c r="N277" s="180" t="n">
        <f aca="false">H277-I277-J277-K277-M277</f>
        <v>1155.42474916632</v>
      </c>
      <c r="O277" s="180" t="n">
        <f aca="false">IF(OR($A277=0,$A277&gt;IN_PRAZO,$B$5=0),0,IF(APORTE_CORRIGIDO="Sim",IN_APORTE*$D277,IN_APORTE))</f>
        <v>0</v>
      </c>
      <c r="P277" s="180" t="n">
        <f aca="false">IF($B$25=1,MAX(0,N277),0)</f>
        <v>1155.42474916632</v>
      </c>
      <c r="Q277" s="180" t="n">
        <f aca="false">R276*$B$27</f>
        <v>4038.70295548222</v>
      </c>
      <c r="R277" s="180" t="n">
        <f aca="false">R276+Q277+O277+P277</f>
        <v>480701.904652146</v>
      </c>
      <c r="S277" s="180" t="n">
        <f aca="false">S276+O277+P277</f>
        <v>182696.883955665</v>
      </c>
      <c r="T277" s="180" t="n">
        <f aca="false">MAX(0,IFERROR(INDEX(TAB_IR,MATCH($C277,TAB_IR_DIAS,1),MATCH("RF_REGR",TAB_IR_REGIMES,0)),0)*MAX(0,R277-S277))</f>
        <v>44700.7531044722</v>
      </c>
      <c r="U277" s="180" t="n">
        <f aca="false">E277*$B$22</f>
        <v>18593.4202971728</v>
      </c>
      <c r="V277" s="180" t="n">
        <f aca="false">IF($B$23=1,0,MAX(0,ALIQ_GANHO_CAP*MAX(0,E277-U277-$B$30)))</f>
        <v>20407.0376983561</v>
      </c>
      <c r="W277" s="181" t="n">
        <f aca="false">IF($B$5=0,0,E277-U277-V277+R277-T277)</f>
        <v>706891.031838359</v>
      </c>
      <c r="X277" s="180" t="n">
        <f aca="false">W277/$D277</f>
        <v>342165.087695705</v>
      </c>
      <c r="Y277" s="180" t="n">
        <f aca="false">IF($B$25=1,0,MAX(0,N277))</f>
        <v>0</v>
      </c>
      <c r="Z277" s="180" t="n">
        <f aca="false">Z276+O277</f>
        <v>155250</v>
      </c>
    </row>
    <row r="278" customFormat="false" ht="12" hidden="false" customHeight="true" outlineLevel="0" collapsed="false">
      <c r="A278" s="177" t="n">
        <v>223</v>
      </c>
      <c r="B278" s="178" t="n">
        <f aca="false">EDATE(DATA_INICIO,$A278)</f>
        <v>53044</v>
      </c>
      <c r="C278" s="177" t="n">
        <f aca="false">$A278*30</f>
        <v>6690</v>
      </c>
      <c r="D278" s="179" t="n">
        <f aca="false">(1+$B$29)^$A278</f>
        <v>2.07269892409853</v>
      </c>
      <c r="E278" s="180" t="n">
        <f aca="false">$B$6*(1+$B$21)^$A278</f>
        <v>310904.83861478</v>
      </c>
      <c r="F278" s="180" t="n">
        <f aca="false">IF($A278=0,0,$B$13*(1+$B$16)^($A278-1))</f>
        <v>1859.34202971728</v>
      </c>
      <c r="G278" s="180" t="n">
        <f aca="false">F278*$B$14</f>
        <v>148.747362377383</v>
      </c>
      <c r="H278" s="180" t="n">
        <f aca="false">F278-G278</f>
        <v>1710.5946673399</v>
      </c>
      <c r="I278" s="180" t="n">
        <f aca="false">IF($A278=0,0,E278*$B$17/12)</f>
        <v>155.45241930739</v>
      </c>
      <c r="J278" s="180" t="n">
        <f aca="false">H278*$B$19</f>
        <v>136.847573387192</v>
      </c>
      <c r="K278" s="180" t="n">
        <f aca="false">IF($A278=0,0,E278*$B$18/12)</f>
        <v>259.087365512317</v>
      </c>
      <c r="L278" s="180" t="n">
        <f aca="false">MAX(0,H278-I278-J278)</f>
        <v>1418.29467464532</v>
      </c>
      <c r="M278" s="180" t="n">
        <f aca="false">MAX(0,L278*IFERROR(INDEX(TAB_IRPF_ALIQ,MATCH(L278,TAB_IRPF_BASE,1)),0)-IFERROR(INDEX(TAB_IRPF_DED,MATCH(L278,TAB_IRPF_BASE,1)),0))</f>
        <v>0</v>
      </c>
      <c r="N278" s="180" t="n">
        <f aca="false">H278-I278-J278-K278-M278</f>
        <v>1159.207309133</v>
      </c>
      <c r="O278" s="180" t="n">
        <f aca="false">IF(OR($A278=0,$A278&gt;IN_PRAZO,$B$5=0),0,IF(APORTE_CORRIGIDO="Sim",IN_APORTE*$D278,IN_APORTE))</f>
        <v>0</v>
      </c>
      <c r="P278" s="180" t="n">
        <f aca="false">IF($B$25=1,MAX(0,N278),0)</f>
        <v>1159.207309133</v>
      </c>
      <c r="Q278" s="180" t="n">
        <f aca="false">R277*$B$27</f>
        <v>4082.81903502687</v>
      </c>
      <c r="R278" s="180" t="n">
        <f aca="false">R277+Q278+O278+P278</f>
        <v>485943.930996306</v>
      </c>
      <c r="S278" s="180" t="n">
        <f aca="false">S277+O278+P278</f>
        <v>183856.091264798</v>
      </c>
      <c r="T278" s="180" t="n">
        <f aca="false">MAX(0,IFERROR(INDEX(TAB_IR,MATCH($C278,TAB_IR_DIAS,1),MATCH("RF_REGR",TAB_IR_REGIMES,0)),0)*MAX(0,R278-S278))</f>
        <v>45313.1759597262</v>
      </c>
      <c r="U278" s="180" t="n">
        <f aca="false">E278*$B$22</f>
        <v>18654.2903168868</v>
      </c>
      <c r="V278" s="180" t="n">
        <f aca="false">IF($B$23=1,0,MAX(0,ALIQ_GANHO_CAP*MAX(0,E278-U278-$B$30)))</f>
        <v>20550.082244684</v>
      </c>
      <c r="W278" s="181" t="n">
        <f aca="false">IF($B$5=0,0,E278-U278-V278+R278-T278)</f>
        <v>712331.221089789</v>
      </c>
      <c r="X278" s="180" t="n">
        <f aca="false">W278/$D278</f>
        <v>343673.27198744</v>
      </c>
      <c r="Y278" s="180" t="n">
        <f aca="false">IF($B$25=1,0,MAX(0,N278))</f>
        <v>0</v>
      </c>
      <c r="Z278" s="180" t="n">
        <f aca="false">Z277+O278</f>
        <v>155250</v>
      </c>
    </row>
    <row r="279" customFormat="false" ht="12" hidden="false" customHeight="true" outlineLevel="0" collapsed="false">
      <c r="A279" s="177" t="n">
        <v>224</v>
      </c>
      <c r="B279" s="178" t="n">
        <f aca="false">EDATE(DATA_INICIO,$A279)</f>
        <v>53075</v>
      </c>
      <c r="C279" s="177" t="n">
        <f aca="false">$A279*30</f>
        <v>6720</v>
      </c>
      <c r="D279" s="179" t="n">
        <f aca="false">(1+$B$29)^$A279</f>
        <v>2.07948440102288</v>
      </c>
      <c r="E279" s="180" t="n">
        <f aca="false">$B$6*(1+$B$21)^$A279</f>
        <v>311922.660153432</v>
      </c>
      <c r="F279" s="180" t="n">
        <f aca="false">IF($A279=0,0,$B$13*(1+$B$16)^($A279-1))</f>
        <v>1865.42903168868</v>
      </c>
      <c r="G279" s="180" t="n">
        <f aca="false">F279*$B$14</f>
        <v>149.234322535095</v>
      </c>
      <c r="H279" s="180" t="n">
        <f aca="false">F279-G279</f>
        <v>1716.19470915359</v>
      </c>
      <c r="I279" s="180" t="n">
        <f aca="false">IF($A279=0,0,E279*$B$17/12)</f>
        <v>155.961330076716</v>
      </c>
      <c r="J279" s="180" t="n">
        <f aca="false">H279*$B$19</f>
        <v>137.295576732287</v>
      </c>
      <c r="K279" s="180" t="n">
        <f aca="false">IF($A279=0,0,E279*$B$18/12)</f>
        <v>259.93555012786</v>
      </c>
      <c r="L279" s="180" t="n">
        <f aca="false">MAX(0,H279-I279-J279)</f>
        <v>1422.93780234458</v>
      </c>
      <c r="M279" s="180" t="n">
        <f aca="false">MAX(0,L279*IFERROR(INDEX(TAB_IRPF_ALIQ,MATCH(L279,TAB_IRPF_BASE,1)),0)-IFERROR(INDEX(TAB_IRPF_DED,MATCH(L279,TAB_IRPF_BASE,1)),0))</f>
        <v>0</v>
      </c>
      <c r="N279" s="180" t="n">
        <f aca="false">H279-I279-J279-K279-M279</f>
        <v>1163.00225221672</v>
      </c>
      <c r="O279" s="180" t="n">
        <f aca="false">IF(OR($A279=0,$A279&gt;IN_PRAZO,$B$5=0),0,IF(APORTE_CORRIGIDO="Sim",IN_APORTE*$D279,IN_APORTE))</f>
        <v>0</v>
      </c>
      <c r="P279" s="180" t="n">
        <f aca="false">IF($B$25=1,MAX(0,N279),0)</f>
        <v>1163.00225221672</v>
      </c>
      <c r="Q279" s="180" t="n">
        <f aca="false">R278*$B$27</f>
        <v>4127.34193941506</v>
      </c>
      <c r="R279" s="180" t="n">
        <f aca="false">R278+Q279+O279+P279</f>
        <v>491234.275187938</v>
      </c>
      <c r="S279" s="180" t="n">
        <f aca="false">S278+O279+P279</f>
        <v>185019.093517015</v>
      </c>
      <c r="T279" s="180" t="n">
        <f aca="false">MAX(0,IFERROR(INDEX(TAB_IR,MATCH($C279,TAB_IR_DIAS,1),MATCH("RF_REGR",TAB_IR_REGIMES,0)),0)*MAX(0,R279-S279))</f>
        <v>45932.2772506385</v>
      </c>
      <c r="U279" s="180" t="n">
        <f aca="false">E279*$B$22</f>
        <v>18715.3596092059</v>
      </c>
      <c r="V279" s="180" t="n">
        <f aca="false">IF($B$23=1,0,MAX(0,ALIQ_GANHO_CAP*MAX(0,E279-U279-$B$30)))</f>
        <v>20693.5950816338</v>
      </c>
      <c r="W279" s="181" t="n">
        <f aca="false">IF($B$5=0,0,E279-U279-V279+R279-T279)</f>
        <v>717815.703399891</v>
      </c>
      <c r="X279" s="180" t="n">
        <f aca="false">W279/$D279</f>
        <v>345189.270497439</v>
      </c>
      <c r="Y279" s="180" t="n">
        <f aca="false">IF($B$25=1,0,MAX(0,N279))</f>
        <v>0</v>
      </c>
      <c r="Z279" s="180" t="n">
        <f aca="false">Z278+O279</f>
        <v>155250</v>
      </c>
    </row>
    <row r="280" customFormat="false" ht="12" hidden="false" customHeight="true" outlineLevel="0" collapsed="false">
      <c r="A280" s="177" t="n">
        <v>225</v>
      </c>
      <c r="B280" s="178" t="n">
        <f aca="false">EDATE(DATA_INICIO,$A280)</f>
        <v>53105</v>
      </c>
      <c r="C280" s="177" t="n">
        <f aca="false">$A280*30</f>
        <v>6750</v>
      </c>
      <c r="D280" s="179" t="n">
        <f aca="false">(1+$B$29)^$A280</f>
        <v>2.08629209183297</v>
      </c>
      <c r="E280" s="180" t="n">
        <f aca="false">$B$6*(1+$B$21)^$A280</f>
        <v>312943.813774945</v>
      </c>
      <c r="F280" s="180" t="n">
        <f aca="false">IF($A280=0,0,$B$13*(1+$B$16)^($A280-1))</f>
        <v>1871.53596092059</v>
      </c>
      <c r="G280" s="180" t="n">
        <f aca="false">F280*$B$14</f>
        <v>149.722876873647</v>
      </c>
      <c r="H280" s="180" t="n">
        <f aca="false">F280-G280</f>
        <v>1721.81308404694</v>
      </c>
      <c r="I280" s="180" t="n">
        <f aca="false">IF($A280=0,0,E280*$B$17/12)</f>
        <v>156.471906887473</v>
      </c>
      <c r="J280" s="180" t="n">
        <f aca="false">H280*$B$19</f>
        <v>137.745046723755</v>
      </c>
      <c r="K280" s="180" t="n">
        <f aca="false">IF($A280=0,0,E280*$B$18/12)</f>
        <v>260.786511479121</v>
      </c>
      <c r="L280" s="180" t="n">
        <f aca="false">MAX(0,H280-I280-J280)</f>
        <v>1427.59613043571</v>
      </c>
      <c r="M280" s="180" t="n">
        <f aca="false">MAX(0,L280*IFERROR(INDEX(TAB_IRPF_ALIQ,MATCH(L280,TAB_IRPF_BASE,1)),0)-IFERROR(INDEX(TAB_IRPF_DED,MATCH(L280,TAB_IRPF_BASE,1)),0))</f>
        <v>0</v>
      </c>
      <c r="N280" s="180" t="n">
        <f aca="false">H280-I280-J280-K280-M280</f>
        <v>1166.80961895659</v>
      </c>
      <c r="O280" s="180" t="n">
        <f aca="false">IF(OR($A280=0,$A280&gt;IN_PRAZO,$B$5=0),0,IF(APORTE_CORRIGIDO="Sim",IN_APORTE*$D280,IN_APORTE))</f>
        <v>0</v>
      </c>
      <c r="P280" s="180" t="n">
        <f aca="false">IF($B$25=1,MAX(0,N280),0)</f>
        <v>1166.80961895659</v>
      </c>
      <c r="Q280" s="180" t="n">
        <f aca="false">R279*$B$27</f>
        <v>4172.2752291699</v>
      </c>
      <c r="R280" s="180" t="n">
        <f aca="false">R279+Q280+O280+P280</f>
        <v>496573.360036064</v>
      </c>
      <c r="S280" s="180" t="n">
        <f aca="false">S279+O280+P280</f>
        <v>186185.903135971</v>
      </c>
      <c r="T280" s="180" t="n">
        <f aca="false">MAX(0,IFERROR(INDEX(TAB_IR,MATCH($C280,TAB_IR_DIAS,1),MATCH("RF_REGR",TAB_IR_REGIMES,0)),0)*MAX(0,R280-S280))</f>
        <v>46558.118535014</v>
      </c>
      <c r="U280" s="180" t="n">
        <f aca="false">E280*$B$22</f>
        <v>18776.6288264967</v>
      </c>
      <c r="V280" s="180" t="n">
        <f aca="false">IF($B$23=1,0,MAX(0,ALIQ_GANHO_CAP*MAX(0,E280-U280-$B$30)))</f>
        <v>20837.5777422673</v>
      </c>
      <c r="W280" s="181" t="n">
        <f aca="false">IF($B$5=0,0,E280-U280-V280+R280-T280)</f>
        <v>723344.848707232</v>
      </c>
      <c r="X280" s="180" t="n">
        <f aca="false">W280/$D280</f>
        <v>346713.123986257</v>
      </c>
      <c r="Y280" s="180" t="n">
        <f aca="false">IF($B$25=1,0,MAX(0,N280))</f>
        <v>0</v>
      </c>
      <c r="Z280" s="180" t="n">
        <f aca="false">Z279+O280</f>
        <v>155250</v>
      </c>
    </row>
    <row r="281" customFormat="false" ht="12" hidden="false" customHeight="true" outlineLevel="0" collapsed="false">
      <c r="A281" s="177" t="n">
        <v>226</v>
      </c>
      <c r="B281" s="178" t="n">
        <f aca="false">EDATE(DATA_INICIO,$A281)</f>
        <v>53136</v>
      </c>
      <c r="C281" s="177" t="n">
        <f aca="false">$A281*30</f>
        <v>6780</v>
      </c>
      <c r="D281" s="179" t="n">
        <f aca="false">(1+$B$29)^$A281</f>
        <v>2.09312206925129</v>
      </c>
      <c r="E281" s="180" t="n">
        <f aca="false">$B$6*(1+$B$21)^$A281</f>
        <v>313968.310387693</v>
      </c>
      <c r="F281" s="180" t="n">
        <f aca="false">IF($A281=0,0,$B$13*(1+$B$16)^($A281-1))</f>
        <v>1877.66288264967</v>
      </c>
      <c r="G281" s="180" t="n">
        <f aca="false">F281*$B$14</f>
        <v>150.213030611974</v>
      </c>
      <c r="H281" s="180" t="n">
        <f aca="false">F281-G281</f>
        <v>1727.4498520377</v>
      </c>
      <c r="I281" s="180" t="n">
        <f aca="false">IF($A281=0,0,E281*$B$17/12)</f>
        <v>156.984155193847</v>
      </c>
      <c r="J281" s="180" t="n">
        <f aca="false">H281*$B$19</f>
        <v>138.195988163016</v>
      </c>
      <c r="K281" s="180" t="n">
        <f aca="false">IF($A281=0,0,E281*$B$18/12)</f>
        <v>261.640258656411</v>
      </c>
      <c r="L281" s="180" t="n">
        <f aca="false">MAX(0,H281-I281-J281)</f>
        <v>1432.26970868083</v>
      </c>
      <c r="M281" s="180" t="n">
        <f aca="false">MAX(0,L281*IFERROR(INDEX(TAB_IRPF_ALIQ,MATCH(L281,TAB_IRPF_BASE,1)),0)-IFERROR(INDEX(TAB_IRPF_DED,MATCH(L281,TAB_IRPF_BASE,1)),0))</f>
        <v>0</v>
      </c>
      <c r="N281" s="180" t="n">
        <f aca="false">H281-I281-J281-K281-M281</f>
        <v>1170.62945002442</v>
      </c>
      <c r="O281" s="180" t="n">
        <f aca="false">IF(OR($A281=0,$A281&gt;IN_PRAZO,$B$5=0),0,IF(APORTE_CORRIGIDO="Sim",IN_APORTE*$D281,IN_APORTE))</f>
        <v>0</v>
      </c>
      <c r="P281" s="180" t="n">
        <f aca="false">IF($B$25=1,MAX(0,N281),0)</f>
        <v>1170.62945002442</v>
      </c>
      <c r="Q281" s="180" t="n">
        <f aca="false">R280*$B$27</f>
        <v>4217.62249539995</v>
      </c>
      <c r="R281" s="180" t="n">
        <f aca="false">R280+Q281+O281+P281</f>
        <v>501961.611981489</v>
      </c>
      <c r="S281" s="180" t="n">
        <f aca="false">S280+O281+P281</f>
        <v>187356.532585996</v>
      </c>
      <c r="T281" s="180" t="n">
        <f aca="false">MAX(0,IFERROR(INDEX(TAB_IR,MATCH($C281,TAB_IR_DIAS,1),MATCH("RF_REGR",TAB_IR_REGIMES,0)),0)*MAX(0,R281-S281))</f>
        <v>47190.7619093239</v>
      </c>
      <c r="U281" s="180" t="n">
        <f aca="false">E281*$B$22</f>
        <v>18838.0986232616</v>
      </c>
      <c r="V281" s="180" t="n">
        <f aca="false">IF($B$23=1,0,MAX(0,ALIQ_GANHO_CAP*MAX(0,E281-U281-$B$30)))</f>
        <v>20982.0317646647</v>
      </c>
      <c r="W281" s="181" t="n">
        <f aca="false">IF($B$5=0,0,E281-U281-V281+R281-T281)</f>
        <v>728919.030071932</v>
      </c>
      <c r="X281" s="180" t="n">
        <f aca="false">W281/$D281</f>
        <v>348244.873426167</v>
      </c>
      <c r="Y281" s="180" t="n">
        <f aca="false">IF($B$25=1,0,MAX(0,N281))</f>
        <v>0</v>
      </c>
      <c r="Z281" s="180" t="n">
        <f aca="false">Z280+O281</f>
        <v>155250</v>
      </c>
    </row>
    <row r="282" customFormat="false" ht="12" hidden="false" customHeight="true" outlineLevel="0" collapsed="false">
      <c r="A282" s="177" t="n">
        <v>227</v>
      </c>
      <c r="B282" s="178" t="n">
        <f aca="false">EDATE(DATA_INICIO,$A282)</f>
        <v>53166</v>
      </c>
      <c r="C282" s="177" t="n">
        <f aca="false">$A282*30</f>
        <v>6810</v>
      </c>
      <c r="D282" s="179" t="n">
        <f aca="false">(1+$B$29)^$A282</f>
        <v>2.09997440623839</v>
      </c>
      <c r="E282" s="180" t="n">
        <f aca="false">$B$6*(1+$B$21)^$A282</f>
        <v>314996.160935759</v>
      </c>
      <c r="F282" s="180" t="n">
        <f aca="false">IF($A282=0,0,$B$13*(1+$B$16)^($A282-1))</f>
        <v>1883.80986232616</v>
      </c>
      <c r="G282" s="180" t="n">
        <f aca="false">F282*$B$14</f>
        <v>150.704788986093</v>
      </c>
      <c r="H282" s="180" t="n">
        <f aca="false">F282-G282</f>
        <v>1733.10507334007</v>
      </c>
      <c r="I282" s="180" t="n">
        <f aca="false">IF($A282=0,0,E282*$B$17/12)</f>
        <v>157.49808046788</v>
      </c>
      <c r="J282" s="180" t="n">
        <f aca="false">H282*$B$19</f>
        <v>138.648405867205</v>
      </c>
      <c r="K282" s="180" t="n">
        <f aca="false">IF($A282=0,0,E282*$B$18/12)</f>
        <v>262.496800779799</v>
      </c>
      <c r="L282" s="180" t="n">
        <f aca="false">MAX(0,H282-I282-J282)</f>
        <v>1436.95858700498</v>
      </c>
      <c r="M282" s="180" t="n">
        <f aca="false">MAX(0,L282*IFERROR(INDEX(TAB_IRPF_ALIQ,MATCH(L282,TAB_IRPF_BASE,1)),0)-IFERROR(INDEX(TAB_IRPF_DED,MATCH(L282,TAB_IRPF_BASE,1)),0))</f>
        <v>0</v>
      </c>
      <c r="N282" s="180" t="n">
        <f aca="false">H282-I282-J282-K282-M282</f>
        <v>1174.46178622518</v>
      </c>
      <c r="O282" s="180" t="n">
        <f aca="false">IF(OR($A282=0,$A282&gt;IN_PRAZO,$B$5=0),0,IF(APORTE_CORRIGIDO="Sim",IN_APORTE*$D282,IN_APORTE))</f>
        <v>0</v>
      </c>
      <c r="P282" s="180" t="n">
        <f aca="false">IF($B$25=1,MAX(0,N282),0)</f>
        <v>1174.46178622518</v>
      </c>
      <c r="Q282" s="180" t="n">
        <f aca="false">R281*$B$27</f>
        <v>4263.38736006014</v>
      </c>
      <c r="R282" s="180" t="n">
        <f aca="false">R281+Q282+O282+P282</f>
        <v>507399.461127774</v>
      </c>
      <c r="S282" s="180" t="n">
        <f aca="false">S281+O282+P282</f>
        <v>188530.994372221</v>
      </c>
      <c r="T282" s="180" t="n">
        <f aca="false">MAX(0,IFERROR(INDEX(TAB_IR,MATCH($C282,TAB_IR_DIAS,1),MATCH("RF_REGR",TAB_IR_REGIMES,0)),0)*MAX(0,R282-S282))</f>
        <v>47830.270013333</v>
      </c>
      <c r="U282" s="180" t="n">
        <f aca="false">E282*$B$22</f>
        <v>18899.7696561456</v>
      </c>
      <c r="V282" s="180" t="n">
        <f aca="false">IF($B$23=1,0,MAX(0,ALIQ_GANHO_CAP*MAX(0,E282-U282-$B$30)))</f>
        <v>21126.958691942</v>
      </c>
      <c r="W282" s="181" t="n">
        <f aca="false">IF($B$5=0,0,E282-U282-V282+R282-T282)</f>
        <v>734538.623702113</v>
      </c>
      <c r="X282" s="180" t="n">
        <f aca="false">W282/$D282</f>
        <v>349784.560002264</v>
      </c>
      <c r="Y282" s="180" t="n">
        <f aca="false">IF($B$25=1,0,MAX(0,N282))</f>
        <v>0</v>
      </c>
      <c r="Z282" s="180" t="n">
        <f aca="false">Z281+O282</f>
        <v>155250</v>
      </c>
    </row>
    <row r="283" customFormat="false" ht="12" hidden="false" customHeight="true" outlineLevel="0" collapsed="false">
      <c r="A283" s="177" t="n">
        <v>228</v>
      </c>
      <c r="B283" s="178" t="n">
        <f aca="false">EDATE(DATA_INICIO,$A283)</f>
        <v>53197</v>
      </c>
      <c r="C283" s="177" t="n">
        <f aca="false">$A283*30</f>
        <v>6840</v>
      </c>
      <c r="D283" s="179" t="n">
        <f aca="false">(1+$B$29)^$A283</f>
        <v>2.1068491759937</v>
      </c>
      <c r="E283" s="180" t="n">
        <f aca="false">$B$6*(1+$B$21)^$A283</f>
        <v>316027.376399055</v>
      </c>
      <c r="F283" s="180" t="n">
        <f aca="false">IF($A283=0,0,$B$13*(1+$B$16)^($A283-1))</f>
        <v>1889.97696561456</v>
      </c>
      <c r="G283" s="180" t="n">
        <f aca="false">F283*$B$14</f>
        <v>151.198157249164</v>
      </c>
      <c r="H283" s="180" t="n">
        <f aca="false">F283-G283</f>
        <v>1738.77880836539</v>
      </c>
      <c r="I283" s="180" t="n">
        <f aca="false">IF($A283=0,0,E283*$B$17/12)</f>
        <v>158.013688199527</v>
      </c>
      <c r="J283" s="180" t="n">
        <f aca="false">H283*$B$19</f>
        <v>139.102304669231</v>
      </c>
      <c r="K283" s="180" t="n">
        <f aca="false">IF($A283=0,0,E283*$B$18/12)</f>
        <v>263.356146999212</v>
      </c>
      <c r="L283" s="180" t="n">
        <f aca="false">MAX(0,H283-I283-J283)</f>
        <v>1441.66281549663</v>
      </c>
      <c r="M283" s="180" t="n">
        <f aca="false">MAX(0,L283*IFERROR(INDEX(TAB_IRPF_ALIQ,MATCH(L283,TAB_IRPF_BASE,1)),0)-IFERROR(INDEX(TAB_IRPF_DED,MATCH(L283,TAB_IRPF_BASE,1)),0))</f>
        <v>0</v>
      </c>
      <c r="N283" s="180" t="n">
        <f aca="false">H283-I283-J283-K283-M283</f>
        <v>1178.30666849742</v>
      </c>
      <c r="O283" s="180" t="n">
        <f aca="false">IF(OR($A283=0,$A283&gt;IN_PRAZO,$B$5=0),0,IF(APORTE_CORRIGIDO="Sim",IN_APORTE*$D283,IN_APORTE))</f>
        <v>0</v>
      </c>
      <c r="P283" s="180" t="n">
        <f aca="false">IF($B$25=1,MAX(0,N283),0)</f>
        <v>1178.30666849742</v>
      </c>
      <c r="Q283" s="180" t="n">
        <f aca="false">R282*$B$27</f>
        <v>4309.57347621486</v>
      </c>
      <c r="R283" s="180" t="n">
        <f aca="false">R282+Q283+O283+P283</f>
        <v>512887.341272486</v>
      </c>
      <c r="S283" s="180" t="n">
        <f aca="false">S282+O283+P283</f>
        <v>189709.301040718</v>
      </c>
      <c r="T283" s="180" t="n">
        <f aca="false">MAX(0,IFERROR(INDEX(TAB_IR,MATCH($C283,TAB_IR_DIAS,1),MATCH("RF_REGR",TAB_IR_REGIMES,0)),0)*MAX(0,R283-S283))</f>
        <v>48476.7060347652</v>
      </c>
      <c r="U283" s="180" t="n">
        <f aca="false">E283*$B$22</f>
        <v>18961.6425839433</v>
      </c>
      <c r="V283" s="180" t="n">
        <f aca="false">IF($B$23=1,0,MAX(0,ALIQ_GANHO_CAP*MAX(0,E283-U283-$B$30)))</f>
        <v>21272.3600722667</v>
      </c>
      <c r="W283" s="181" t="n">
        <f aca="false">IF($B$5=0,0,E283-U283-V283+R283-T283)</f>
        <v>740204.008980566</v>
      </c>
      <c r="X283" s="180" t="n">
        <f aca="false">W283/$D283</f>
        <v>351332.225113574</v>
      </c>
      <c r="Y283" s="180" t="n">
        <f aca="false">IF($B$25=1,0,MAX(0,N283))</f>
        <v>0</v>
      </c>
      <c r="Z283" s="180" t="n">
        <f aca="false">Z282+O283</f>
        <v>155250</v>
      </c>
    </row>
    <row r="284" customFormat="false" ht="12" hidden="false" customHeight="true" outlineLevel="0" collapsed="false">
      <c r="A284" s="177" t="n">
        <v>229</v>
      </c>
      <c r="B284" s="178" t="n">
        <f aca="false">EDATE(DATA_INICIO,$A284)</f>
        <v>53228</v>
      </c>
      <c r="C284" s="177" t="n">
        <f aca="false">$A284*30</f>
        <v>6870</v>
      </c>
      <c r="D284" s="179" t="n">
        <f aca="false">(1+$B$29)^$A284</f>
        <v>2.11374645195624</v>
      </c>
      <c r="E284" s="180" t="n">
        <f aca="false">$B$6*(1+$B$21)^$A284</f>
        <v>317061.967793436</v>
      </c>
      <c r="F284" s="180" t="n">
        <f aca="false">IF($A284=0,0,$B$13*(1+$B$16)^($A284-1))</f>
        <v>1896.16425839433</v>
      </c>
      <c r="G284" s="180" t="n">
        <f aca="false">F284*$B$14</f>
        <v>151.693140671546</v>
      </c>
      <c r="H284" s="180" t="n">
        <f aca="false">F284-G284</f>
        <v>1744.47111772278</v>
      </c>
      <c r="I284" s="180" t="n">
        <f aca="false">IF($A284=0,0,E284*$B$17/12)</f>
        <v>158.530983896718</v>
      </c>
      <c r="J284" s="180" t="n">
        <f aca="false">H284*$B$19</f>
        <v>139.557689417822</v>
      </c>
      <c r="K284" s="180" t="n">
        <f aca="false">IF($A284=0,0,E284*$B$18/12)</f>
        <v>264.21830649453</v>
      </c>
      <c r="L284" s="180" t="n">
        <f aca="false">MAX(0,H284-I284-J284)</f>
        <v>1446.38244440824</v>
      </c>
      <c r="M284" s="180" t="n">
        <f aca="false">MAX(0,L284*IFERROR(INDEX(TAB_IRPF_ALIQ,MATCH(L284,TAB_IRPF_BASE,1)),0)-IFERROR(INDEX(TAB_IRPF_DED,MATCH(L284,TAB_IRPF_BASE,1)),0))</f>
        <v>0</v>
      </c>
      <c r="N284" s="180" t="n">
        <f aca="false">H284-I284-J284-K284-M284</f>
        <v>1182.16413791371</v>
      </c>
      <c r="O284" s="180" t="n">
        <f aca="false">IF(OR($A284=0,$A284&gt;IN_PRAZO,$B$5=0),0,IF(APORTE_CORRIGIDO="Sim",IN_APORTE*$D284,IN_APORTE))</f>
        <v>0</v>
      </c>
      <c r="P284" s="180" t="n">
        <f aca="false">IF($B$25=1,MAX(0,N284),0)</f>
        <v>1182.16413791371</v>
      </c>
      <c r="Q284" s="180" t="n">
        <f aca="false">R283*$B$27</f>
        <v>4356.18452830335</v>
      </c>
      <c r="R284" s="180" t="n">
        <f aca="false">R283+Q284+O284+P284</f>
        <v>518425.689938704</v>
      </c>
      <c r="S284" s="180" t="n">
        <f aca="false">S283+O284+P284</f>
        <v>190891.465178632</v>
      </c>
      <c r="T284" s="180" t="n">
        <f aca="false">MAX(0,IFERROR(INDEX(TAB_IR,MATCH($C284,TAB_IR_DIAS,1),MATCH("RF_REGR",TAB_IR_REGIMES,0)),0)*MAX(0,R284-S284))</f>
        <v>49130.1337140107</v>
      </c>
      <c r="U284" s="180" t="n">
        <f aca="false">E284*$B$22</f>
        <v>19023.7180676062</v>
      </c>
      <c r="V284" s="180" t="n">
        <f aca="false">IF($B$23=1,0,MAX(0,ALIQ_GANHO_CAP*MAX(0,E284-U284-$B$30)))</f>
        <v>21418.2374588745</v>
      </c>
      <c r="W284" s="181" t="n">
        <f aca="false">IF($B$5=0,0,E284-U284-V284+R284-T284)</f>
        <v>745915.568491648</v>
      </c>
      <c r="X284" s="180" t="n">
        <f aca="false">W284/$D284</f>
        <v>352887.910374167</v>
      </c>
      <c r="Y284" s="180" t="n">
        <f aca="false">IF($B$25=1,0,MAX(0,N284))</f>
        <v>0</v>
      </c>
      <c r="Z284" s="180" t="n">
        <f aca="false">Z283+O284</f>
        <v>155250</v>
      </c>
    </row>
    <row r="285" customFormat="false" ht="12" hidden="false" customHeight="true" outlineLevel="0" collapsed="false">
      <c r="A285" s="177" t="n">
        <v>230</v>
      </c>
      <c r="B285" s="178" t="n">
        <f aca="false">EDATE(DATA_INICIO,$A285)</f>
        <v>53258</v>
      </c>
      <c r="C285" s="177" t="n">
        <f aca="false">$A285*30</f>
        <v>6900</v>
      </c>
      <c r="D285" s="179" t="n">
        <f aca="false">(1+$B$29)^$A285</f>
        <v>2.12066630780549</v>
      </c>
      <c r="E285" s="180" t="n">
        <f aca="false">$B$6*(1+$B$21)^$A285</f>
        <v>318099.946170824</v>
      </c>
      <c r="F285" s="180" t="n">
        <f aca="false">IF($A285=0,0,$B$13*(1+$B$16)^($A285-1))</f>
        <v>1902.37180676062</v>
      </c>
      <c r="G285" s="180" t="n">
        <f aca="false">F285*$B$14</f>
        <v>152.189744540849</v>
      </c>
      <c r="H285" s="180" t="n">
        <f aca="false">F285-G285</f>
        <v>1750.18206221977</v>
      </c>
      <c r="I285" s="180" t="n">
        <f aca="false">IF($A285=0,0,E285*$B$17/12)</f>
        <v>159.049973085412</v>
      </c>
      <c r="J285" s="180" t="n">
        <f aca="false">H285*$B$19</f>
        <v>140.014564977581</v>
      </c>
      <c r="K285" s="180" t="n">
        <f aca="false">IF($A285=0,0,E285*$B$18/12)</f>
        <v>265.083288475686</v>
      </c>
      <c r="L285" s="180" t="n">
        <f aca="false">MAX(0,H285-I285-J285)</f>
        <v>1451.11752415677</v>
      </c>
      <c r="M285" s="180" t="n">
        <f aca="false">MAX(0,L285*IFERROR(INDEX(TAB_IRPF_ALIQ,MATCH(L285,TAB_IRPF_BASE,1)),0)-IFERROR(INDEX(TAB_IRPF_DED,MATCH(L285,TAB_IRPF_BASE,1)),0))</f>
        <v>0</v>
      </c>
      <c r="N285" s="180" t="n">
        <f aca="false">H285-I285-J285-K285-M285</f>
        <v>1186.03423568109</v>
      </c>
      <c r="O285" s="180" t="n">
        <f aca="false">IF(OR($A285=0,$A285&gt;IN_PRAZO,$B$5=0),0,IF(APORTE_CORRIGIDO="Sim",IN_APORTE*$D285,IN_APORTE))</f>
        <v>0</v>
      </c>
      <c r="P285" s="180" t="n">
        <f aca="false">IF($B$25=1,MAX(0,N285),0)</f>
        <v>1186.03423568109</v>
      </c>
      <c r="Q285" s="180" t="n">
        <f aca="false">R284*$B$27</f>
        <v>4403.22423240731</v>
      </c>
      <c r="R285" s="180" t="n">
        <f aca="false">R284+Q285+O285+P285</f>
        <v>524014.948406792</v>
      </c>
      <c r="S285" s="180" t="n">
        <f aca="false">S284+O285+P285</f>
        <v>192077.499414313</v>
      </c>
      <c r="T285" s="180" t="n">
        <f aca="false">MAX(0,IFERROR(INDEX(TAB_IR,MATCH($C285,TAB_IR_DIAS,1),MATCH("RF_REGR",TAB_IR_REGIMES,0)),0)*MAX(0,R285-S285))</f>
        <v>49790.6173488718</v>
      </c>
      <c r="U285" s="180" t="n">
        <f aca="false">E285*$B$22</f>
        <v>19085.9967702494</v>
      </c>
      <c r="V285" s="180" t="n">
        <f aca="false">IF($B$23=1,0,MAX(0,ALIQ_GANHO_CAP*MAX(0,E285-U285-$B$30)))</f>
        <v>21564.5924100861</v>
      </c>
      <c r="W285" s="181" t="n">
        <f aca="false">IF($B$5=0,0,E285-U285-V285+R285-T285)</f>
        <v>751673.688048408</v>
      </c>
      <c r="X285" s="180" t="n">
        <f aca="false">W285/$D285</f>
        <v>354451.657614279</v>
      </c>
      <c r="Y285" s="180" t="n">
        <f aca="false">IF($B$25=1,0,MAX(0,N285))</f>
        <v>0</v>
      </c>
      <c r="Z285" s="180" t="n">
        <f aca="false">Z284+O285</f>
        <v>155250</v>
      </c>
    </row>
    <row r="286" customFormat="false" ht="12" hidden="false" customHeight="true" outlineLevel="0" collapsed="false">
      <c r="A286" s="177" t="n">
        <v>231</v>
      </c>
      <c r="B286" s="178" t="n">
        <f aca="false">EDATE(DATA_INICIO,$A286)</f>
        <v>53289</v>
      </c>
      <c r="C286" s="177" t="n">
        <f aca="false">$A286*30</f>
        <v>6930</v>
      </c>
      <c r="D286" s="179" t="n">
        <f aca="false">(1+$B$29)^$A286</f>
        <v>2.12760881746212</v>
      </c>
      <c r="E286" s="180" t="n">
        <f aca="false">$B$6*(1+$B$21)^$A286</f>
        <v>319141.322619318</v>
      </c>
      <c r="F286" s="180" t="n">
        <f aca="false">IF($A286=0,0,$B$13*(1+$B$16)^($A286-1))</f>
        <v>1908.59967702494</v>
      </c>
      <c r="G286" s="180" t="n">
        <f aca="false">F286*$B$14</f>
        <v>152.687974161995</v>
      </c>
      <c r="H286" s="180" t="n">
        <f aca="false">F286-G286</f>
        <v>1755.91170286295</v>
      </c>
      <c r="I286" s="180" t="n">
        <f aca="false">IF($A286=0,0,E286*$B$17/12)</f>
        <v>159.570661309659</v>
      </c>
      <c r="J286" s="180" t="n">
        <f aca="false">H286*$B$19</f>
        <v>140.472936229036</v>
      </c>
      <c r="K286" s="180" t="n">
        <f aca="false">IF($A286=0,0,E286*$B$18/12)</f>
        <v>265.951102182765</v>
      </c>
      <c r="L286" s="180" t="n">
        <f aca="false">MAX(0,H286-I286-J286)</f>
        <v>1455.86810532425</v>
      </c>
      <c r="M286" s="180" t="n">
        <f aca="false">MAX(0,L286*IFERROR(INDEX(TAB_IRPF_ALIQ,MATCH(L286,TAB_IRPF_BASE,1)),0)-IFERROR(INDEX(TAB_IRPF_DED,MATCH(L286,TAB_IRPF_BASE,1)),0))</f>
        <v>0</v>
      </c>
      <c r="N286" s="180" t="n">
        <f aca="false">H286-I286-J286-K286-M286</f>
        <v>1189.91700314149</v>
      </c>
      <c r="O286" s="180" t="n">
        <f aca="false">IF(OR($A286=0,$A286&gt;IN_PRAZO,$B$5=0),0,IF(APORTE_CORRIGIDO="Sim",IN_APORTE*$D286,IN_APORTE))</f>
        <v>0</v>
      </c>
      <c r="P286" s="180" t="n">
        <f aca="false">IF($B$25=1,MAX(0,N286),0)</f>
        <v>1189.91700314149</v>
      </c>
      <c r="Q286" s="180" t="n">
        <f aca="false">R285*$B$27</f>
        <v>4450.69633652079</v>
      </c>
      <c r="R286" s="180" t="n">
        <f aca="false">R285+Q286+O286+P286</f>
        <v>529655.561746454</v>
      </c>
      <c r="S286" s="180" t="n">
        <f aca="false">S285+O286+P286</f>
        <v>193267.416417455</v>
      </c>
      <c r="T286" s="180" t="n">
        <f aca="false">MAX(0,IFERROR(INDEX(TAB_IR,MATCH($C286,TAB_IR_DIAS,1),MATCH("RF_REGR",TAB_IR_REGIMES,0)),0)*MAX(0,R286-S286))</f>
        <v>50458.2217993499</v>
      </c>
      <c r="U286" s="180" t="n">
        <f aca="false">E286*$B$22</f>
        <v>19148.4793571591</v>
      </c>
      <c r="V286" s="180" t="n">
        <f aca="false">IF($B$23=1,0,MAX(0,ALIQ_GANHO_CAP*MAX(0,E286-U286-$B$30)))</f>
        <v>21711.4264893239</v>
      </c>
      <c r="W286" s="181" t="n">
        <f aca="false">IF($B$5=0,0,E286-U286-V286+R286-T286)</f>
        <v>757478.75671994</v>
      </c>
      <c r="X286" s="180" t="n">
        <f aca="false">W286/$D286</f>
        <v>356023.508881432</v>
      </c>
      <c r="Y286" s="180" t="n">
        <f aca="false">IF($B$25=1,0,MAX(0,N286))</f>
        <v>0</v>
      </c>
      <c r="Z286" s="180" t="n">
        <f aca="false">Z285+O286</f>
        <v>155250</v>
      </c>
    </row>
    <row r="287" customFormat="false" ht="12" hidden="false" customHeight="true" outlineLevel="0" collapsed="false">
      <c r="A287" s="177" t="n">
        <v>232</v>
      </c>
      <c r="B287" s="178" t="n">
        <f aca="false">EDATE(DATA_INICIO,$A287)</f>
        <v>53319</v>
      </c>
      <c r="C287" s="177" t="n">
        <f aca="false">$A287*30</f>
        <v>6960</v>
      </c>
      <c r="D287" s="179" t="n">
        <f aca="false">(1+$B$29)^$A287</f>
        <v>2.13457405508881</v>
      </c>
      <c r="E287" s="180" t="n">
        <f aca="false">$B$6*(1+$B$21)^$A287</f>
        <v>320186.108263321</v>
      </c>
      <c r="F287" s="180" t="n">
        <f aca="false">IF($A287=0,0,$B$13*(1+$B$16)^($A287-1))</f>
        <v>1914.84793571591</v>
      </c>
      <c r="G287" s="180" t="n">
        <f aca="false">F287*$B$14</f>
        <v>153.187834857273</v>
      </c>
      <c r="H287" s="180" t="n">
        <f aca="false">F287-G287</f>
        <v>1761.66010085864</v>
      </c>
      <c r="I287" s="180" t="n">
        <f aca="false">IF($A287=0,0,E287*$B$17/12)</f>
        <v>160.09305413166</v>
      </c>
      <c r="J287" s="180" t="n">
        <f aca="false">H287*$B$19</f>
        <v>140.932808068691</v>
      </c>
      <c r="K287" s="180" t="n">
        <f aca="false">IF($A287=0,0,E287*$B$18/12)</f>
        <v>266.821756886101</v>
      </c>
      <c r="L287" s="180" t="n">
        <f aca="false">MAX(0,H287-I287-J287)</f>
        <v>1460.63423865829</v>
      </c>
      <c r="M287" s="180" t="n">
        <f aca="false">MAX(0,L287*IFERROR(INDEX(TAB_IRPF_ALIQ,MATCH(L287,TAB_IRPF_BASE,1)),0)-IFERROR(INDEX(TAB_IRPF_DED,MATCH(L287,TAB_IRPF_BASE,1)),0))</f>
        <v>0</v>
      </c>
      <c r="N287" s="180" t="n">
        <f aca="false">H287-I287-J287-K287-M287</f>
        <v>1193.81248177219</v>
      </c>
      <c r="O287" s="180" t="n">
        <f aca="false">IF(OR($A287=0,$A287&gt;IN_PRAZO,$B$5=0),0,IF(APORTE_CORRIGIDO="Sim",IN_APORTE*$D287,IN_APORTE))</f>
        <v>0</v>
      </c>
      <c r="P287" s="180" t="n">
        <f aca="false">IF($B$25=1,MAX(0,N287),0)</f>
        <v>1193.81248177219</v>
      </c>
      <c r="Q287" s="180" t="n">
        <f aca="false">R286*$B$27</f>
        <v>4498.6046208224</v>
      </c>
      <c r="R287" s="180" t="n">
        <f aca="false">R286+Q287+O287+P287</f>
        <v>535347.978849049</v>
      </c>
      <c r="S287" s="180" t="n">
        <f aca="false">S286+O287+P287</f>
        <v>194461.228899227</v>
      </c>
      <c r="T287" s="180" t="n">
        <f aca="false">MAX(0,IFERROR(INDEX(TAB_IR,MATCH($C287,TAB_IR_DIAS,1),MATCH("RF_REGR",TAB_IR_REGIMES,0)),0)*MAX(0,R287-S287))</f>
        <v>51133.0124924733</v>
      </c>
      <c r="U287" s="180" t="n">
        <f aca="false">E287*$B$22</f>
        <v>19211.1664957993</v>
      </c>
      <c r="V287" s="180" t="n">
        <f aca="false">IF($B$23=1,0,MAX(0,ALIQ_GANHO_CAP*MAX(0,E287-U287-$B$30)))</f>
        <v>21858.7412651282</v>
      </c>
      <c r="W287" s="181" t="n">
        <f aca="false">IF($B$5=0,0,E287-U287-V287+R287-T287)</f>
        <v>763331.166858969</v>
      </c>
      <c r="X287" s="180" t="n">
        <f aca="false">W287/$D287</f>
        <v>357603.506441575</v>
      </c>
      <c r="Y287" s="180" t="n">
        <f aca="false">IF($B$25=1,0,MAX(0,N287))</f>
        <v>0</v>
      </c>
      <c r="Z287" s="180" t="n">
        <f aca="false">Z286+O287</f>
        <v>155250</v>
      </c>
    </row>
    <row r="288" customFormat="false" ht="12" hidden="false" customHeight="true" outlineLevel="0" collapsed="false">
      <c r="A288" s="177" t="n">
        <v>233</v>
      </c>
      <c r="B288" s="178" t="n">
        <f aca="false">EDATE(DATA_INICIO,$A288)</f>
        <v>53350</v>
      </c>
      <c r="C288" s="177" t="n">
        <f aca="false">$A288*30</f>
        <v>6990</v>
      </c>
      <c r="D288" s="179" t="n">
        <f aca="false">(1+$B$29)^$A288</f>
        <v>2.141562095091</v>
      </c>
      <c r="E288" s="180" t="n">
        <f aca="false">$B$6*(1+$B$21)^$A288</f>
        <v>321234.31426365</v>
      </c>
      <c r="F288" s="180" t="n">
        <f aca="false">IF($A288=0,0,$B$13*(1+$B$16)^($A288-1))</f>
        <v>1921.11664957993</v>
      </c>
      <c r="G288" s="180" t="n">
        <f aca="false">F288*$B$14</f>
        <v>153.689331966394</v>
      </c>
      <c r="H288" s="180" t="n">
        <f aca="false">F288-G288</f>
        <v>1767.42731761353</v>
      </c>
      <c r="I288" s="180" t="n">
        <f aca="false">IF($A288=0,0,E288*$B$17/12)</f>
        <v>160.617157131825</v>
      </c>
      <c r="J288" s="180" t="n">
        <f aca="false">H288*$B$19</f>
        <v>141.394185409083</v>
      </c>
      <c r="K288" s="180" t="n">
        <f aca="false">IF($A288=0,0,E288*$B$18/12)</f>
        <v>267.695261886375</v>
      </c>
      <c r="L288" s="180" t="n">
        <f aca="false">MAX(0,H288-I288-J288)</f>
        <v>1465.41597507262</v>
      </c>
      <c r="M288" s="180" t="n">
        <f aca="false">MAX(0,L288*IFERROR(INDEX(TAB_IRPF_ALIQ,MATCH(L288,TAB_IRPF_BASE,1)),0)-IFERROR(INDEX(TAB_IRPF_DED,MATCH(L288,TAB_IRPF_BASE,1)),0))</f>
        <v>0</v>
      </c>
      <c r="N288" s="180" t="n">
        <f aca="false">H288-I288-J288-K288-M288</f>
        <v>1197.72071318625</v>
      </c>
      <c r="O288" s="180" t="n">
        <f aca="false">IF(OR($A288=0,$A288&gt;IN_PRAZO,$B$5=0),0,IF(APORTE_CORRIGIDO="Sim",IN_APORTE*$D288,IN_APORTE))</f>
        <v>0</v>
      </c>
      <c r="P288" s="180" t="n">
        <f aca="false">IF($B$25=1,MAX(0,N288),0)</f>
        <v>1197.72071318625</v>
      </c>
      <c r="Q288" s="180" t="n">
        <f aca="false">R287*$B$27</f>
        <v>4546.95289794979</v>
      </c>
      <c r="R288" s="180" t="n">
        <f aca="false">R287+Q288+O288+P288</f>
        <v>541092.652460185</v>
      </c>
      <c r="S288" s="180" t="n">
        <f aca="false">S287+O288+P288</f>
        <v>195658.949612413</v>
      </c>
      <c r="T288" s="180" t="n">
        <f aca="false">MAX(0,IFERROR(INDEX(TAB_IR,MATCH($C288,TAB_IR_DIAS,1),MATCH("RF_REGR",TAB_IR_REGIMES,0)),0)*MAX(0,R288-S288))</f>
        <v>51815.0554271657</v>
      </c>
      <c r="U288" s="180" t="n">
        <f aca="false">E288*$B$22</f>
        <v>19274.058855819</v>
      </c>
      <c r="V288" s="180" t="n">
        <f aca="false">IF($B$23=1,0,MAX(0,ALIQ_GANHO_CAP*MAX(0,E288-U288-$B$30)))</f>
        <v>22006.5383111747</v>
      </c>
      <c r="W288" s="181" t="n">
        <f aca="false">IF($B$5=0,0,E288-U288-V288+R288-T288)</f>
        <v>769231.314129675</v>
      </c>
      <c r="X288" s="180" t="n">
        <f aca="false">W288/$D288</f>
        <v>359191.692780213</v>
      </c>
      <c r="Y288" s="180" t="n">
        <f aca="false">IF($B$25=1,0,MAX(0,N288))</f>
        <v>0</v>
      </c>
      <c r="Z288" s="180" t="n">
        <f aca="false">Z287+O288</f>
        <v>155250</v>
      </c>
    </row>
    <row r="289" customFormat="false" ht="12" hidden="false" customHeight="true" outlineLevel="0" collapsed="false">
      <c r="A289" s="177" t="n">
        <v>234</v>
      </c>
      <c r="B289" s="178" t="n">
        <f aca="false">EDATE(DATA_INICIO,$A289)</f>
        <v>53381</v>
      </c>
      <c r="C289" s="177" t="n">
        <f aca="false">$A289*30</f>
        <v>7020</v>
      </c>
      <c r="D289" s="179" t="n">
        <f aca="false">(1+$B$29)^$A289</f>
        <v>2.14857301211775</v>
      </c>
      <c r="E289" s="180" t="n">
        <f aca="false">$B$6*(1+$B$21)^$A289</f>
        <v>322285.951817662</v>
      </c>
      <c r="F289" s="180" t="n">
        <f aca="false">IF($A289=0,0,$B$13*(1+$B$16)^($A289-1))</f>
        <v>1927.4058855819</v>
      </c>
      <c r="G289" s="180" t="n">
        <f aca="false">F289*$B$14</f>
        <v>154.192470846552</v>
      </c>
      <c r="H289" s="180" t="n">
        <f aca="false">F289-G289</f>
        <v>1773.21341473535</v>
      </c>
      <c r="I289" s="180" t="n">
        <f aca="false">IF($A289=0,0,E289*$B$17/12)</f>
        <v>161.142975908831</v>
      </c>
      <c r="J289" s="180" t="n">
        <f aca="false">H289*$B$19</f>
        <v>141.857073178828</v>
      </c>
      <c r="K289" s="180" t="n">
        <f aca="false">IF($A289=0,0,E289*$B$18/12)</f>
        <v>268.571626514719</v>
      </c>
      <c r="L289" s="180" t="n">
        <f aca="false">MAX(0,H289-I289-J289)</f>
        <v>1470.21336564769</v>
      </c>
      <c r="M289" s="180" t="n">
        <f aca="false">MAX(0,L289*IFERROR(INDEX(TAB_IRPF_ALIQ,MATCH(L289,TAB_IRPF_BASE,1)),0)-IFERROR(INDEX(TAB_IRPF_DED,MATCH(L289,TAB_IRPF_BASE,1)),0))</f>
        <v>0</v>
      </c>
      <c r="N289" s="180" t="n">
        <f aca="false">H289-I289-J289-K289-M289</f>
        <v>1201.64173913297</v>
      </c>
      <c r="O289" s="180" t="n">
        <f aca="false">IF(OR($A289=0,$A289&gt;IN_PRAZO,$B$5=0),0,IF(APORTE_CORRIGIDO="Sim",IN_APORTE*$D289,IN_APORTE))</f>
        <v>0</v>
      </c>
      <c r="P289" s="180" t="n">
        <f aca="false">IF($B$25=1,MAX(0,N289),0)</f>
        <v>1201.64173913297</v>
      </c>
      <c r="Q289" s="180" t="n">
        <f aca="false">R288*$B$27</f>
        <v>4595.74501327651</v>
      </c>
      <c r="R289" s="180" t="n">
        <f aca="false">R288+Q289+O289+P289</f>
        <v>546890.039212594</v>
      </c>
      <c r="S289" s="180" t="n">
        <f aca="false">S288+O289+P289</f>
        <v>196860.591351546</v>
      </c>
      <c r="T289" s="180" t="n">
        <f aca="false">MAX(0,IFERROR(INDEX(TAB_IR,MATCH($C289,TAB_IR_DIAS,1),MATCH("RF_REGR",TAB_IR_REGIMES,0)),0)*MAX(0,R289-S289))</f>
        <v>52504.4171791572</v>
      </c>
      <c r="U289" s="180" t="n">
        <f aca="false">E289*$B$22</f>
        <v>19337.1571090597</v>
      </c>
      <c r="V289" s="180" t="n">
        <f aca="false">IF($B$23=1,0,MAX(0,ALIQ_GANHO_CAP*MAX(0,E289-U289-$B$30)))</f>
        <v>22154.8192062904</v>
      </c>
      <c r="W289" s="181" t="n">
        <f aca="false">IF($B$5=0,0,E289-U289-V289+R289-T289)</f>
        <v>775179.597535749</v>
      </c>
      <c r="X289" s="180" t="n">
        <f aca="false">W289/$D289</f>
        <v>360788.110603554</v>
      </c>
      <c r="Y289" s="180" t="n">
        <f aca="false">IF($B$25=1,0,MAX(0,N289))</f>
        <v>0</v>
      </c>
      <c r="Z289" s="180" t="n">
        <f aca="false">Z288+O289</f>
        <v>155250</v>
      </c>
    </row>
    <row r="290" customFormat="false" ht="12" hidden="false" customHeight="true" outlineLevel="0" collapsed="false">
      <c r="A290" s="177" t="n">
        <v>235</v>
      </c>
      <c r="B290" s="178" t="n">
        <f aca="false">EDATE(DATA_INICIO,$A290)</f>
        <v>53409</v>
      </c>
      <c r="C290" s="177" t="n">
        <f aca="false">$A290*30</f>
        <v>7050</v>
      </c>
      <c r="D290" s="179" t="n">
        <f aca="false">(1+$B$29)^$A290</f>
        <v>2.15560688106248</v>
      </c>
      <c r="E290" s="180" t="n">
        <f aca="false">$B$6*(1+$B$21)^$A290</f>
        <v>323341.032159372</v>
      </c>
      <c r="F290" s="180" t="n">
        <f aca="false">IF($A290=0,0,$B$13*(1+$B$16)^($A290-1))</f>
        <v>1933.71571090597</v>
      </c>
      <c r="G290" s="180" t="n">
        <f aca="false">F290*$B$14</f>
        <v>154.697256872478</v>
      </c>
      <c r="H290" s="180" t="n">
        <f aca="false">F290-G290</f>
        <v>1779.0184540335</v>
      </c>
      <c r="I290" s="180" t="n">
        <f aca="false">IF($A290=0,0,E290*$B$17/12)</f>
        <v>161.670516079686</v>
      </c>
      <c r="J290" s="180" t="n">
        <f aca="false">H290*$B$19</f>
        <v>142.32147632268</v>
      </c>
      <c r="K290" s="180" t="n">
        <f aca="false">IF($A290=0,0,E290*$B$18/12)</f>
        <v>269.45086013281</v>
      </c>
      <c r="L290" s="180" t="n">
        <f aca="false">MAX(0,H290-I290-J290)</f>
        <v>1475.02646163113</v>
      </c>
      <c r="M290" s="180" t="n">
        <f aca="false">MAX(0,L290*IFERROR(INDEX(TAB_IRPF_ALIQ,MATCH(L290,TAB_IRPF_BASE,1)),0)-IFERROR(INDEX(TAB_IRPF_DED,MATCH(L290,TAB_IRPF_BASE,1)),0))</f>
        <v>0</v>
      </c>
      <c r="N290" s="180" t="n">
        <f aca="false">H290-I290-J290-K290-M290</f>
        <v>1205.57560149832</v>
      </c>
      <c r="O290" s="180" t="n">
        <f aca="false">IF(OR($A290=0,$A290&gt;IN_PRAZO,$B$5=0),0,IF(APORTE_CORRIGIDO="Sim",IN_APORTE*$D290,IN_APORTE))</f>
        <v>0</v>
      </c>
      <c r="P290" s="180" t="n">
        <f aca="false">IF($B$25=1,MAX(0,N290),0)</f>
        <v>1205.57560149832</v>
      </c>
      <c r="Q290" s="180" t="n">
        <f aca="false">R289*$B$27</f>
        <v>4644.98484519121</v>
      </c>
      <c r="R290" s="180" t="n">
        <f aca="false">R289+Q290+O290+P290</f>
        <v>552740.599659284</v>
      </c>
      <c r="S290" s="180" t="n">
        <f aca="false">S289+O290+P290</f>
        <v>198066.166953044</v>
      </c>
      <c r="T290" s="180" t="n">
        <f aca="false">MAX(0,IFERROR(INDEX(TAB_IR,MATCH($C290,TAB_IR_DIAS,1),MATCH("RF_REGR",TAB_IR_REGIMES,0)),0)*MAX(0,R290-S290))</f>
        <v>53201.1649059359</v>
      </c>
      <c r="U290" s="180" t="n">
        <f aca="false">E290*$B$22</f>
        <v>19400.4619295623</v>
      </c>
      <c r="V290" s="180" t="n">
        <f aca="false">IF($B$23=1,0,MAX(0,ALIQ_GANHO_CAP*MAX(0,E290-U290-$B$30)))</f>
        <v>22303.5855344714</v>
      </c>
      <c r="W290" s="181" t="n">
        <f aca="false">IF($B$5=0,0,E290-U290-V290+R290-T290)</f>
        <v>781176.419448686</v>
      </c>
      <c r="X290" s="180" t="n">
        <f aca="false">W290/$D290</f>
        <v>362392.802839659</v>
      </c>
      <c r="Y290" s="180" t="n">
        <f aca="false">IF($B$25=1,0,MAX(0,N290))</f>
        <v>0</v>
      </c>
      <c r="Z290" s="180" t="n">
        <f aca="false">Z289+O290</f>
        <v>155250</v>
      </c>
    </row>
    <row r="291" customFormat="false" ht="12" hidden="false" customHeight="true" outlineLevel="0" collapsed="false">
      <c r="A291" s="177" t="n">
        <v>236</v>
      </c>
      <c r="B291" s="178" t="n">
        <f aca="false">EDATE(DATA_INICIO,$A291)</f>
        <v>53440</v>
      </c>
      <c r="C291" s="177" t="n">
        <f aca="false">$A291*30</f>
        <v>7080</v>
      </c>
      <c r="D291" s="179" t="n">
        <f aca="false">(1+$B$29)^$A291</f>
        <v>2.16266377706379</v>
      </c>
      <c r="E291" s="180" t="n">
        <f aca="false">$B$6*(1+$B$21)^$A291</f>
        <v>324399.566559569</v>
      </c>
      <c r="F291" s="180" t="n">
        <f aca="false">IF($A291=0,0,$B$13*(1+$B$16)^($A291-1))</f>
        <v>1940.04619295623</v>
      </c>
      <c r="G291" s="180" t="n">
        <f aca="false">F291*$B$14</f>
        <v>155.203695436498</v>
      </c>
      <c r="H291" s="180" t="n">
        <f aca="false">F291-G291</f>
        <v>1784.84249751973</v>
      </c>
      <c r="I291" s="180" t="n">
        <f aca="false">IF($A291=0,0,E291*$B$17/12)</f>
        <v>162.199783279785</v>
      </c>
      <c r="J291" s="180" t="n">
        <f aca="false">H291*$B$19</f>
        <v>142.787399801579</v>
      </c>
      <c r="K291" s="180" t="n">
        <f aca="false">IF($A291=0,0,E291*$B$18/12)</f>
        <v>270.332972132974</v>
      </c>
      <c r="L291" s="180" t="n">
        <f aca="false">MAX(0,H291-I291-J291)</f>
        <v>1479.85531443837</v>
      </c>
      <c r="M291" s="180" t="n">
        <f aca="false">MAX(0,L291*IFERROR(INDEX(TAB_IRPF_ALIQ,MATCH(L291,TAB_IRPF_BASE,1)),0)-IFERROR(INDEX(TAB_IRPF_DED,MATCH(L291,TAB_IRPF_BASE,1)),0))</f>
        <v>0</v>
      </c>
      <c r="N291" s="180" t="n">
        <f aca="false">H291-I291-J291-K291-M291</f>
        <v>1209.52234230539</v>
      </c>
      <c r="O291" s="180" t="n">
        <f aca="false">IF(OR($A291=0,$A291&gt;IN_PRAZO,$B$5=0),0,IF(APORTE_CORRIGIDO="Sim",IN_APORTE*$D291,IN_APORTE))</f>
        <v>0</v>
      </c>
      <c r="P291" s="180" t="n">
        <f aca="false">IF($B$25=1,MAX(0,N291),0)</f>
        <v>1209.52234230539</v>
      </c>
      <c r="Q291" s="180" t="n">
        <f aca="false">R290*$B$27</f>
        <v>4694.67630537922</v>
      </c>
      <c r="R291" s="180" t="n">
        <f aca="false">R290+Q291+O291+P291</f>
        <v>558644.798306968</v>
      </c>
      <c r="S291" s="180" t="n">
        <f aca="false">S290+O291+P291</f>
        <v>199275.68929535</v>
      </c>
      <c r="T291" s="180" t="n">
        <f aca="false">MAX(0,IFERROR(INDEX(TAB_IR,MATCH($C291,TAB_IR_DIAS,1),MATCH("RF_REGR",TAB_IR_REGIMES,0)),0)*MAX(0,R291-S291))</f>
        <v>53905.3663517428</v>
      </c>
      <c r="U291" s="180" t="n">
        <f aca="false">E291*$B$22</f>
        <v>19463.9739935741</v>
      </c>
      <c r="V291" s="180" t="n">
        <f aca="false">IF($B$23=1,0,MAX(0,ALIQ_GANHO_CAP*MAX(0,E291-U291-$B$30)))</f>
        <v>22452.8388848992</v>
      </c>
      <c r="W291" s="181" t="n">
        <f aca="false">IF($B$5=0,0,E291-U291-V291+R291-T291)</f>
        <v>787222.185636321</v>
      </c>
      <c r="X291" s="180" t="n">
        <f aca="false">W291/$D291</f>
        <v>364005.812639595</v>
      </c>
      <c r="Y291" s="180" t="n">
        <f aca="false">IF($B$25=1,0,MAX(0,N291))</f>
        <v>0</v>
      </c>
      <c r="Z291" s="180" t="n">
        <f aca="false">Z290+O291</f>
        <v>155250</v>
      </c>
    </row>
    <row r="292" customFormat="false" ht="12" hidden="false" customHeight="true" outlineLevel="0" collapsed="false">
      <c r="A292" s="177" t="n">
        <v>237</v>
      </c>
      <c r="B292" s="178" t="n">
        <f aca="false">EDATE(DATA_INICIO,$A292)</f>
        <v>53470</v>
      </c>
      <c r="C292" s="177" t="n">
        <f aca="false">$A292*30</f>
        <v>7110</v>
      </c>
      <c r="D292" s="179" t="n">
        <f aca="false">(1+$B$29)^$A292</f>
        <v>2.16974377550629</v>
      </c>
      <c r="E292" s="180" t="n">
        <f aca="false">$B$6*(1+$B$21)^$A292</f>
        <v>325461.566325943</v>
      </c>
      <c r="F292" s="180" t="n">
        <f aca="false">IF($A292=0,0,$B$13*(1+$B$16)^($A292-1))</f>
        <v>1946.39739935741</v>
      </c>
      <c r="G292" s="180" t="n">
        <f aca="false">F292*$B$14</f>
        <v>155.711791948593</v>
      </c>
      <c r="H292" s="180" t="n">
        <f aca="false">F292-G292</f>
        <v>1790.68560740882</v>
      </c>
      <c r="I292" s="180" t="n">
        <f aca="false">IF($A292=0,0,E292*$B$17/12)</f>
        <v>162.730783162972</v>
      </c>
      <c r="J292" s="180" t="n">
        <f aca="false">H292*$B$19</f>
        <v>143.254848592706</v>
      </c>
      <c r="K292" s="180" t="n">
        <f aca="false">IF($A292=0,0,E292*$B$18/12)</f>
        <v>271.217971938286</v>
      </c>
      <c r="L292" s="180" t="n">
        <f aca="false">MAX(0,H292-I292-J292)</f>
        <v>1484.69997565314</v>
      </c>
      <c r="M292" s="180" t="n">
        <f aca="false">MAX(0,L292*IFERROR(INDEX(TAB_IRPF_ALIQ,MATCH(L292,TAB_IRPF_BASE,1)),0)-IFERROR(INDEX(TAB_IRPF_DED,MATCH(L292,TAB_IRPF_BASE,1)),0))</f>
        <v>0</v>
      </c>
      <c r="N292" s="180" t="n">
        <f aca="false">H292-I292-J292-K292-M292</f>
        <v>1213.48200371486</v>
      </c>
      <c r="O292" s="180" t="n">
        <f aca="false">IF(OR($A292=0,$A292&gt;IN_PRAZO,$B$5=0),0,IF(APORTE_CORRIGIDO="Sim",IN_APORTE*$D292,IN_APORTE))</f>
        <v>0</v>
      </c>
      <c r="P292" s="180" t="n">
        <f aca="false">IF($B$25=1,MAX(0,N292),0)</f>
        <v>1213.48200371486</v>
      </c>
      <c r="Q292" s="180" t="n">
        <f aca="false">R291*$B$27</f>
        <v>4744.82333910647</v>
      </c>
      <c r="R292" s="180" t="n">
        <f aca="false">R291+Q292+O292+P292</f>
        <v>564603.10364979</v>
      </c>
      <c r="S292" s="180" t="n">
        <f aca="false">S291+O292+P292</f>
        <v>200489.171299065</v>
      </c>
      <c r="T292" s="180" t="n">
        <f aca="false">MAX(0,IFERROR(INDEX(TAB_IR,MATCH($C292,TAB_IR_DIAS,1),MATCH("RF_REGR",TAB_IR_REGIMES,0)),0)*MAX(0,R292-S292))</f>
        <v>54617.0898526088</v>
      </c>
      <c r="U292" s="180" t="n">
        <f aca="false">E292*$B$22</f>
        <v>19527.6939795566</v>
      </c>
      <c r="V292" s="180" t="n">
        <f aca="false">IF($B$23=1,0,MAX(0,ALIQ_GANHO_CAP*MAX(0,E292-U292-$B$30)))</f>
        <v>22602.580851958</v>
      </c>
      <c r="W292" s="181" t="n">
        <f aca="false">IF($B$5=0,0,E292-U292-V292+R292-T292)</f>
        <v>793317.30529161</v>
      </c>
      <c r="X292" s="180" t="n">
        <f aca="false">W292/$D292</f>
        <v>365627.183378598</v>
      </c>
      <c r="Y292" s="180" t="n">
        <f aca="false">IF($B$25=1,0,MAX(0,N292))</f>
        <v>0</v>
      </c>
      <c r="Z292" s="180" t="n">
        <f aca="false">Z291+O292</f>
        <v>155250</v>
      </c>
    </row>
    <row r="293" customFormat="false" ht="12" hidden="false" customHeight="true" outlineLevel="0" collapsed="false">
      <c r="A293" s="177" t="n">
        <v>238</v>
      </c>
      <c r="B293" s="178" t="n">
        <f aca="false">EDATE(DATA_INICIO,$A293)</f>
        <v>53501</v>
      </c>
      <c r="C293" s="177" t="n">
        <f aca="false">$A293*30</f>
        <v>7140</v>
      </c>
      <c r="D293" s="179" t="n">
        <f aca="false">(1+$B$29)^$A293</f>
        <v>2.17684695202134</v>
      </c>
      <c r="E293" s="180" t="n">
        <f aca="false">$B$6*(1+$B$21)^$A293</f>
        <v>326527.042803201</v>
      </c>
      <c r="F293" s="180" t="n">
        <f aca="false">IF($A293=0,0,$B$13*(1+$B$16)^($A293-1))</f>
        <v>1952.76939795566</v>
      </c>
      <c r="G293" s="180" t="n">
        <f aca="false">F293*$B$14</f>
        <v>156.221551836453</v>
      </c>
      <c r="H293" s="180" t="n">
        <f aca="false">F293-G293</f>
        <v>1796.54784611921</v>
      </c>
      <c r="I293" s="180" t="n">
        <f aca="false">IF($A293=0,0,E293*$B$17/12)</f>
        <v>163.263521401601</v>
      </c>
      <c r="J293" s="180" t="n">
        <f aca="false">H293*$B$19</f>
        <v>143.723827689536</v>
      </c>
      <c r="K293" s="180" t="n">
        <f aca="false">IF($A293=0,0,E293*$B$18/12)</f>
        <v>272.105869002668</v>
      </c>
      <c r="L293" s="180" t="n">
        <f aca="false">MAX(0,H293-I293-J293)</f>
        <v>1489.56049702807</v>
      </c>
      <c r="M293" s="180" t="n">
        <f aca="false">MAX(0,L293*IFERROR(INDEX(TAB_IRPF_ALIQ,MATCH(L293,TAB_IRPF_BASE,1)),0)-IFERROR(INDEX(TAB_IRPF_DED,MATCH(L293,TAB_IRPF_BASE,1)),0))</f>
        <v>0</v>
      </c>
      <c r="N293" s="180" t="n">
        <f aca="false">H293-I293-J293-K293-M293</f>
        <v>1217.4546280254</v>
      </c>
      <c r="O293" s="180" t="n">
        <f aca="false">IF(OR($A293=0,$A293&gt;IN_PRAZO,$B$5=0),0,IF(APORTE_CORRIGIDO="Sim",IN_APORTE*$D293,IN_APORTE))</f>
        <v>0</v>
      </c>
      <c r="P293" s="180" t="n">
        <f aca="false">IF($B$25=1,MAX(0,N293),0)</f>
        <v>1217.4546280254</v>
      </c>
      <c r="Q293" s="180" t="n">
        <f aca="false">R292*$B$27</f>
        <v>4795.42992550595</v>
      </c>
      <c r="R293" s="180" t="n">
        <f aca="false">R292+Q293+O293+P293</f>
        <v>570615.988203321</v>
      </c>
      <c r="S293" s="180" t="n">
        <f aca="false">S292+O293+P293</f>
        <v>201706.62592709</v>
      </c>
      <c r="T293" s="180" t="n">
        <f aca="false">MAX(0,IFERROR(INDEX(TAB_IR,MATCH($C293,TAB_IR_DIAS,1),MATCH("RF_REGR",TAB_IR_REGIMES,0)),0)*MAX(0,R293-S293))</f>
        <v>55336.4043414347</v>
      </c>
      <c r="U293" s="180" t="n">
        <f aca="false">E293*$B$22</f>
        <v>19591.6225681921</v>
      </c>
      <c r="V293" s="180" t="n">
        <f aca="false">IF($B$23=1,0,MAX(0,ALIQ_GANHO_CAP*MAX(0,E293-U293-$B$30)))</f>
        <v>22752.8130352514</v>
      </c>
      <c r="W293" s="181" t="n">
        <f aca="false">IF($B$5=0,0,E293-U293-V293+R293-T293)</f>
        <v>799462.191061644</v>
      </c>
      <c r="X293" s="180" t="n">
        <f aca="false">W293/$D293</f>
        <v>367256.958657242</v>
      </c>
      <c r="Y293" s="180" t="n">
        <f aca="false">IF($B$25=1,0,MAX(0,N293))</f>
        <v>0</v>
      </c>
      <c r="Z293" s="180" t="n">
        <f aca="false">Z292+O293</f>
        <v>155250</v>
      </c>
    </row>
    <row r="294" customFormat="false" ht="12" hidden="false" customHeight="true" outlineLevel="0" collapsed="false">
      <c r="A294" s="177" t="n">
        <v>239</v>
      </c>
      <c r="B294" s="178" t="n">
        <f aca="false">EDATE(DATA_INICIO,$A294)</f>
        <v>53531</v>
      </c>
      <c r="C294" s="177" t="n">
        <f aca="false">$A294*30</f>
        <v>7170</v>
      </c>
      <c r="D294" s="179" t="n">
        <f aca="false">(1+$B$29)^$A294</f>
        <v>2.18397338248793</v>
      </c>
      <c r="E294" s="180" t="n">
        <f aca="false">$B$6*(1+$B$21)^$A294</f>
        <v>327596.00737319</v>
      </c>
      <c r="F294" s="180" t="n">
        <f aca="false">IF($A294=0,0,$B$13*(1+$B$16)^($A294-1))</f>
        <v>1959.16225681921</v>
      </c>
      <c r="G294" s="180" t="n">
        <f aca="false">F294*$B$14</f>
        <v>156.732980545537</v>
      </c>
      <c r="H294" s="180" t="n">
        <f aca="false">F294-G294</f>
        <v>1802.42927627367</v>
      </c>
      <c r="I294" s="180" t="n">
        <f aca="false">IF($A294=0,0,E294*$B$17/12)</f>
        <v>163.798003686595</v>
      </c>
      <c r="J294" s="180" t="n">
        <f aca="false">H294*$B$19</f>
        <v>144.194342101894</v>
      </c>
      <c r="K294" s="180" t="n">
        <f aca="false">IF($A294=0,0,E294*$B$18/12)</f>
        <v>272.996672810991</v>
      </c>
      <c r="L294" s="180" t="n">
        <f aca="false">MAX(0,H294-I294-J294)</f>
        <v>1494.43693048518</v>
      </c>
      <c r="M294" s="180" t="n">
        <f aca="false">MAX(0,L294*IFERROR(INDEX(TAB_IRPF_ALIQ,MATCH(L294,TAB_IRPF_BASE,1)),0)-IFERROR(INDEX(TAB_IRPF_DED,MATCH(L294,TAB_IRPF_BASE,1)),0))</f>
        <v>0</v>
      </c>
      <c r="N294" s="180" t="n">
        <f aca="false">H294-I294-J294-K294-M294</f>
        <v>1221.44025767419</v>
      </c>
      <c r="O294" s="180" t="n">
        <f aca="false">IF(OR($A294=0,$A294&gt;IN_PRAZO,$B$5=0),0,IF(APORTE_CORRIGIDO="Sim",IN_APORTE*$D294,IN_APORTE))</f>
        <v>0</v>
      </c>
      <c r="P294" s="180" t="n">
        <f aca="false">IF($B$25=1,MAX(0,N294),0)</f>
        <v>1221.44025767419</v>
      </c>
      <c r="Q294" s="180" t="n">
        <f aca="false">R293*$B$27</f>
        <v>4846.50007786647</v>
      </c>
      <c r="R294" s="180" t="n">
        <f aca="false">R293+Q294+O294+P294</f>
        <v>576683.928538862</v>
      </c>
      <c r="S294" s="180" t="n">
        <f aca="false">S293+O294+P294</f>
        <v>202928.066184764</v>
      </c>
      <c r="T294" s="180" t="n">
        <f aca="false">MAX(0,IFERROR(INDEX(TAB_IR,MATCH($C294,TAB_IR_DIAS,1),MATCH("RF_REGR",TAB_IR_REGIMES,0)),0)*MAX(0,R294-S294))</f>
        <v>56063.3793531146</v>
      </c>
      <c r="U294" s="180" t="n">
        <f aca="false">E294*$B$22</f>
        <v>19655.7604423914</v>
      </c>
      <c r="V294" s="180" t="n">
        <f aca="false">IF($B$23=1,0,MAX(0,ALIQ_GANHO_CAP*MAX(0,E294-U294-$B$30)))</f>
        <v>22903.5370396198</v>
      </c>
      <c r="W294" s="181" t="n">
        <f aca="false">IF($B$5=0,0,E294-U294-V294+R294-T294)</f>
        <v>805657.259076926</v>
      </c>
      <c r="X294" s="180" t="n">
        <f aca="false">W294/$D294</f>
        <v>368895.182302607</v>
      </c>
      <c r="Y294" s="180" t="n">
        <f aca="false">IF($B$25=1,0,MAX(0,N294))</f>
        <v>0</v>
      </c>
      <c r="Z294" s="180" t="n">
        <f aca="false">Z293+O294</f>
        <v>155250</v>
      </c>
    </row>
    <row r="295" customFormat="false" ht="12" hidden="false" customHeight="true" outlineLevel="0" collapsed="false">
      <c r="A295" s="177" t="n">
        <v>240</v>
      </c>
      <c r="B295" s="178" t="n">
        <f aca="false">EDATE(DATA_INICIO,$A295)</f>
        <v>53562</v>
      </c>
      <c r="C295" s="177" t="n">
        <f aca="false">$A295*30</f>
        <v>7200</v>
      </c>
      <c r="D295" s="179" t="n">
        <f aca="false">(1+$B$29)^$A295</f>
        <v>2.19112314303345</v>
      </c>
      <c r="E295" s="180" t="n">
        <f aca="false">$B$6*(1+$B$21)^$A295</f>
        <v>328668.471455017</v>
      </c>
      <c r="F295" s="180" t="n">
        <f aca="false">IF($A295=0,0,$B$13*(1+$B$16)^($A295-1))</f>
        <v>1965.57604423914</v>
      </c>
      <c r="G295" s="180" t="n">
        <f aca="false">F295*$B$14</f>
        <v>157.246083539131</v>
      </c>
      <c r="H295" s="180" t="n">
        <f aca="false">F295-G295</f>
        <v>1808.32996070001</v>
      </c>
      <c r="I295" s="180" t="n">
        <f aca="false">IF($A295=0,0,E295*$B$17/12)</f>
        <v>164.334235727508</v>
      </c>
      <c r="J295" s="180" t="n">
        <f aca="false">H295*$B$19</f>
        <v>144.666396856001</v>
      </c>
      <c r="K295" s="180" t="n">
        <f aca="false">IF($A295=0,0,E295*$B$18/12)</f>
        <v>273.890392879181</v>
      </c>
      <c r="L295" s="180" t="n">
        <f aca="false">MAX(0,H295-I295-J295)</f>
        <v>1499.3293281165</v>
      </c>
      <c r="M295" s="180" t="n">
        <f aca="false">MAX(0,L295*IFERROR(INDEX(TAB_IRPF_ALIQ,MATCH(L295,TAB_IRPF_BASE,1)),0)-IFERROR(INDEX(TAB_IRPF_DED,MATCH(L295,TAB_IRPF_BASE,1)),0))</f>
        <v>0</v>
      </c>
      <c r="N295" s="180" t="n">
        <f aca="false">H295-I295-J295-K295-M295</f>
        <v>1225.43893523732</v>
      </c>
      <c r="O295" s="180" t="n">
        <f aca="false">IF(OR($A295=0,$A295&gt;IN_PRAZO,$B$5=0),0,IF(APORTE_CORRIGIDO="Sim",IN_APORTE*$D295,IN_APORTE))</f>
        <v>0</v>
      </c>
      <c r="P295" s="180" t="n">
        <f aca="false">IF($B$25=1,MAX(0,N295),0)</f>
        <v>1225.43893523732</v>
      </c>
      <c r="Q295" s="180" t="n">
        <f aca="false">R294*$B$27</f>
        <v>4898.03784392396</v>
      </c>
      <c r="R295" s="180" t="n">
        <f aca="false">R294+Q295+O295+P295</f>
        <v>582807.405318023</v>
      </c>
      <c r="S295" s="180" t="n">
        <f aca="false">S294+O295+P295</f>
        <v>204153.505120002</v>
      </c>
      <c r="T295" s="180" t="n">
        <f aca="false">MAX(0,IFERROR(INDEX(TAB_IR,MATCH($C295,TAB_IR_DIAS,1),MATCH("RF_REGR",TAB_IR_REGIMES,0)),0)*MAX(0,R295-S295))</f>
        <v>56798.0850297032</v>
      </c>
      <c r="U295" s="180" t="n">
        <f aca="false">E295*$B$22</f>
        <v>19720.108287301</v>
      </c>
      <c r="V295" s="180" t="n">
        <f aca="false">IF($B$23=1,0,MAX(0,ALIQ_GANHO_CAP*MAX(0,E295-U295-$B$30)))</f>
        <v>23054.7544751574</v>
      </c>
      <c r="W295" s="181" t="n">
        <f aca="false">IF($B$5=0,0,E295-U295-V295+R295-T295)</f>
        <v>811902.928980879</v>
      </c>
      <c r="X295" s="180" t="n">
        <f aca="false">W295/$D295</f>
        <v>370541.898369464</v>
      </c>
      <c r="Y295" s="180" t="n">
        <f aca="false">IF($B$25=1,0,MAX(0,N295))</f>
        <v>0</v>
      </c>
      <c r="Z295" s="180" t="n">
        <f aca="false">Z294+O295</f>
        <v>155250</v>
      </c>
    </row>
  </sheetData>
  <mergeCells count="5">
    <mergeCell ref="A1:H1"/>
    <mergeCell ref="A2:H2"/>
    <mergeCell ref="A4:H4"/>
    <mergeCell ref="A31:J31"/>
    <mergeCell ref="A52:H52"/>
  </mergeCells>
  <hyperlinks>
    <hyperlink ref="J4" location="Imovel!A1" display="◀ ABA IMÓV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30C"/>
    <pageSetUpPr fitToPage="false"/>
  </sheetPr>
  <dimension ref="A1:AF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3" min="9" style="0" width="10"/>
    <col collapsed="false" customWidth="true" hidden="false" outlineLevel="0" max="14" min="14" style="0" width="14"/>
    <col collapsed="false" customWidth="true" hidden="false" outlineLevel="0" max="17" min="15" style="0" width="10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17"/>
    <col collapsed="false" customWidth="true" hidden="false" outlineLevel="0" max="23" min="23" style="0" width="11"/>
    <col collapsed="false" customWidth="true" hidden="false" outlineLevel="0" max="25" min="24" style="0" width="12"/>
    <col collapsed="false" customWidth="true" hidden="false" outlineLevel="0" max="26" min="26" style="0" width="30"/>
    <col collapsed="false" customWidth="true" hidden="false" outlineLevel="0" max="27" min="27" style="0" width="16"/>
    <col collapsed="false" customWidth="true" hidden="false" outlineLevel="0" max="28" min="28" style="0" width="18"/>
    <col collapsed="false" customWidth="true" hidden="false" outlineLevel="0" max="29" min="29" style="0" width="46"/>
    <col collapsed="false" customWidth="true" hidden="false" outlineLevel="0" max="30" min="30" style="0" width="8"/>
  </cols>
  <sheetData>
    <row r="1" customFormat="false" ht="33.75" hidden="false" customHeight="true" outlineLevel="0" collapsed="false">
      <c r="A1" s="13" t="s">
        <v>459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F1" s="94" t="s">
        <v>84</v>
      </c>
    </row>
    <row r="2" customFormat="false" ht="18" hidden="false" customHeight="true" outlineLevel="0" collapsed="false">
      <c r="A2" s="14" t="s">
        <v>460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4" customFormat="false" ht="21.75" hidden="false" customHeight="true" outlineLevel="0" collapsed="false">
      <c r="A4" s="3" t="s">
        <v>461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customFormat="false" ht="30" hidden="false" customHeight="true" outlineLevel="0" collapsed="false">
      <c r="A5" s="18" t="s">
        <v>462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customFormat="false" ht="21.75" hidden="false" customHeight="true" outlineLevel="0" collapsed="false">
      <c r="A6" s="18" t="s">
        <v>463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customFormat="false" ht="25.5" hidden="false" customHeight="true" outlineLevel="0" collapsed="false">
      <c r="A7" s="12" t="s">
        <v>464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33.75" hidden="false" customHeight="true" outlineLevel="0" collapsed="false">
      <c r="A8" s="34" t="s">
        <v>318</v>
      </c>
      <c r="B8" s="34" t="s">
        <v>465</v>
      </c>
      <c r="C8" s="34" t="s">
        <v>147</v>
      </c>
      <c r="D8" s="34" t="s">
        <v>366</v>
      </c>
      <c r="E8" s="34" t="s">
        <v>367</v>
      </c>
      <c r="F8" s="34" t="s">
        <v>368</v>
      </c>
      <c r="G8" s="34" t="s">
        <v>369</v>
      </c>
      <c r="H8" s="34" t="s">
        <v>370</v>
      </c>
      <c r="I8" s="34" t="s">
        <v>466</v>
      </c>
      <c r="J8" s="34" t="s">
        <v>467</v>
      </c>
      <c r="K8" s="34" t="s">
        <v>468</v>
      </c>
      <c r="L8" s="34" t="s">
        <v>469</v>
      </c>
      <c r="M8" s="34" t="s">
        <v>154</v>
      </c>
      <c r="N8" s="34" t="s">
        <v>158</v>
      </c>
      <c r="O8" s="34" t="s">
        <v>470</v>
      </c>
      <c r="P8" s="34" t="s">
        <v>160</v>
      </c>
      <c r="Q8" s="34" t="s">
        <v>320</v>
      </c>
      <c r="R8" s="34" t="s">
        <v>162</v>
      </c>
      <c r="S8" s="34" t="s">
        <v>471</v>
      </c>
      <c r="T8" s="34" t="s">
        <v>163</v>
      </c>
      <c r="U8" s="34" t="s">
        <v>164</v>
      </c>
      <c r="V8" s="34" t="s">
        <v>165</v>
      </c>
      <c r="W8" s="34" t="s">
        <v>472</v>
      </c>
      <c r="X8" s="34" t="s">
        <v>473</v>
      </c>
      <c r="Y8" s="34" t="s">
        <v>171</v>
      </c>
      <c r="Z8" s="34" t="s">
        <v>173</v>
      </c>
      <c r="AA8" s="34" t="s">
        <v>172</v>
      </c>
      <c r="AB8" s="34" t="s">
        <v>474</v>
      </c>
      <c r="AC8" s="34" t="s">
        <v>475</v>
      </c>
      <c r="AD8" s="34" t="s">
        <v>321</v>
      </c>
    </row>
    <row r="9" customFormat="false" ht="13.5" hidden="false" customHeight="true" outlineLevel="0" collapsed="false">
      <c r="A9" s="188" t="s">
        <v>476</v>
      </c>
      <c r="B9" s="188" t="s">
        <v>477</v>
      </c>
      <c r="C9" s="189" t="s">
        <v>478</v>
      </c>
      <c r="D9" s="188" t="s">
        <v>479</v>
      </c>
      <c r="E9" s="189" t="s">
        <v>480</v>
      </c>
      <c r="F9" s="190" t="n">
        <v>1</v>
      </c>
      <c r="G9" s="191" t="n">
        <v>0</v>
      </c>
      <c r="H9" s="189" t="s">
        <v>481</v>
      </c>
      <c r="I9" s="191" t="n">
        <v>0</v>
      </c>
      <c r="J9" s="191" t="n">
        <v>0</v>
      </c>
      <c r="K9" s="191" t="n">
        <v>0</v>
      </c>
      <c r="L9" s="191" t="n">
        <v>0</v>
      </c>
      <c r="M9" s="191" t="n">
        <v>0</v>
      </c>
      <c r="N9" s="189" t="s">
        <v>482</v>
      </c>
      <c r="O9" s="192" t="n">
        <v>1</v>
      </c>
      <c r="P9" s="192" t="n">
        <v>0</v>
      </c>
      <c r="Q9" s="192" t="n">
        <v>0</v>
      </c>
      <c r="R9" s="193" t="n">
        <v>0.01</v>
      </c>
      <c r="S9" s="193" t="n">
        <v>0</v>
      </c>
      <c r="T9" s="192" t="n">
        <v>1</v>
      </c>
      <c r="U9" s="191" t="n">
        <v>0.001</v>
      </c>
      <c r="V9" s="188" t="s">
        <v>483</v>
      </c>
      <c r="W9" s="191"/>
      <c r="X9" s="191"/>
      <c r="Y9" s="194" t="s">
        <v>484</v>
      </c>
      <c r="Z9" s="188" t="s">
        <v>485</v>
      </c>
      <c r="AA9" s="189" t="s">
        <v>486</v>
      </c>
      <c r="AB9" s="189" t="s">
        <v>487</v>
      </c>
      <c r="AC9" s="188" t="s">
        <v>488</v>
      </c>
      <c r="AD9" s="189" t="s">
        <v>489</v>
      </c>
    </row>
    <row r="10" customFormat="false" ht="13.5" hidden="false" customHeight="true" outlineLevel="0" collapsed="false">
      <c r="A10" s="188" t="s">
        <v>490</v>
      </c>
      <c r="B10" s="188" t="s">
        <v>491</v>
      </c>
      <c r="C10" s="189" t="s">
        <v>478</v>
      </c>
      <c r="D10" s="188" t="s">
        <v>479</v>
      </c>
      <c r="E10" s="189" t="s">
        <v>492</v>
      </c>
      <c r="F10" s="190" t="n">
        <v>0.98</v>
      </c>
      <c r="G10" s="191" t="n">
        <v>0</v>
      </c>
      <c r="H10" s="189" t="s">
        <v>481</v>
      </c>
      <c r="I10" s="191" t="n">
        <v>0</v>
      </c>
      <c r="J10" s="191" t="n">
        <v>0</v>
      </c>
      <c r="K10" s="191" t="n">
        <v>0</v>
      </c>
      <c r="L10" s="191" t="n">
        <v>0</v>
      </c>
      <c r="M10" s="191" t="n">
        <v>0</v>
      </c>
      <c r="N10" s="189" t="s">
        <v>493</v>
      </c>
      <c r="O10" s="192" t="n">
        <v>1</v>
      </c>
      <c r="P10" s="192" t="n">
        <v>0</v>
      </c>
      <c r="Q10" s="192" t="n">
        <v>0</v>
      </c>
      <c r="R10" s="193" t="n">
        <v>100</v>
      </c>
      <c r="S10" s="193" t="n">
        <v>0</v>
      </c>
      <c r="T10" s="192" t="n">
        <v>1</v>
      </c>
      <c r="U10" s="191" t="n">
        <v>0.001</v>
      </c>
      <c r="V10" s="188" t="s">
        <v>483</v>
      </c>
      <c r="W10" s="191"/>
      <c r="X10" s="191"/>
      <c r="Y10" s="194" t="s">
        <v>484</v>
      </c>
      <c r="Z10" s="188" t="s">
        <v>494</v>
      </c>
      <c r="AA10" s="189" t="s">
        <v>495</v>
      </c>
      <c r="AB10" s="189" t="s">
        <v>496</v>
      </c>
      <c r="AC10" s="188" t="s">
        <v>497</v>
      </c>
      <c r="AD10" s="189" t="s">
        <v>489</v>
      </c>
    </row>
    <row r="11" customFormat="false" ht="13.5" hidden="false" customHeight="true" outlineLevel="0" collapsed="false">
      <c r="A11" s="188" t="s">
        <v>498</v>
      </c>
      <c r="B11" s="188" t="s">
        <v>499</v>
      </c>
      <c r="C11" s="189" t="s">
        <v>478</v>
      </c>
      <c r="D11" s="188" t="s">
        <v>479</v>
      </c>
      <c r="E11" s="189" t="s">
        <v>492</v>
      </c>
      <c r="F11" s="190" t="n">
        <v>1.02</v>
      </c>
      <c r="G11" s="191" t="n">
        <v>0</v>
      </c>
      <c r="H11" s="189" t="s">
        <v>481</v>
      </c>
      <c r="I11" s="191" t="n">
        <v>0</v>
      </c>
      <c r="J11" s="191" t="n">
        <v>0</v>
      </c>
      <c r="K11" s="191" t="n">
        <v>0</v>
      </c>
      <c r="L11" s="191" t="n">
        <v>0</v>
      </c>
      <c r="M11" s="191" t="n">
        <v>0</v>
      </c>
      <c r="N11" s="189" t="s">
        <v>493</v>
      </c>
      <c r="O11" s="192" t="n">
        <v>1</v>
      </c>
      <c r="P11" s="192" t="n">
        <v>360</v>
      </c>
      <c r="Q11" s="192" t="n">
        <v>0</v>
      </c>
      <c r="R11" s="193" t="n">
        <v>1000</v>
      </c>
      <c r="S11" s="193" t="n">
        <v>0</v>
      </c>
      <c r="T11" s="192" t="n">
        <v>1</v>
      </c>
      <c r="U11" s="191" t="n">
        <v>0.001</v>
      </c>
      <c r="V11" s="188" t="s">
        <v>483</v>
      </c>
      <c r="W11" s="191"/>
      <c r="X11" s="191"/>
      <c r="Y11" s="194" t="s">
        <v>484</v>
      </c>
      <c r="Z11" s="188" t="s">
        <v>494</v>
      </c>
      <c r="AA11" s="189" t="s">
        <v>495</v>
      </c>
      <c r="AB11" s="189" t="s">
        <v>496</v>
      </c>
      <c r="AC11" s="188" t="s">
        <v>500</v>
      </c>
      <c r="AD11" s="189" t="s">
        <v>489</v>
      </c>
    </row>
    <row r="12" customFormat="false" ht="13.5" hidden="false" customHeight="true" outlineLevel="0" collapsed="false">
      <c r="A12" s="188" t="s">
        <v>501</v>
      </c>
      <c r="B12" s="188" t="s">
        <v>502</v>
      </c>
      <c r="C12" s="189" t="s">
        <v>478</v>
      </c>
      <c r="D12" s="188" t="s">
        <v>479</v>
      </c>
      <c r="E12" s="189" t="s">
        <v>492</v>
      </c>
      <c r="F12" s="190" t="n">
        <v>1.05</v>
      </c>
      <c r="G12" s="191" t="n">
        <v>0</v>
      </c>
      <c r="H12" s="189" t="s">
        <v>481</v>
      </c>
      <c r="I12" s="191" t="n">
        <v>0</v>
      </c>
      <c r="J12" s="191" t="n">
        <v>0</v>
      </c>
      <c r="K12" s="191" t="n">
        <v>0</v>
      </c>
      <c r="L12" s="191" t="n">
        <v>0</v>
      </c>
      <c r="M12" s="191" t="n">
        <v>0</v>
      </c>
      <c r="N12" s="189" t="s">
        <v>493</v>
      </c>
      <c r="O12" s="192" t="n">
        <v>1</v>
      </c>
      <c r="P12" s="192" t="n">
        <v>720</v>
      </c>
      <c r="Q12" s="192" t="n">
        <v>0</v>
      </c>
      <c r="R12" s="193" t="n">
        <v>5000</v>
      </c>
      <c r="S12" s="193" t="n">
        <v>0</v>
      </c>
      <c r="T12" s="192" t="n">
        <v>1</v>
      </c>
      <c r="U12" s="191" t="n">
        <v>0.001</v>
      </c>
      <c r="V12" s="188" t="s">
        <v>483</v>
      </c>
      <c r="W12" s="191"/>
      <c r="X12" s="191"/>
      <c r="Y12" s="194" t="s">
        <v>484</v>
      </c>
      <c r="Z12" s="188" t="s">
        <v>494</v>
      </c>
      <c r="AA12" s="189" t="s">
        <v>495</v>
      </c>
      <c r="AB12" s="189" t="s">
        <v>496</v>
      </c>
      <c r="AC12" s="188" t="s">
        <v>503</v>
      </c>
      <c r="AD12" s="189" t="s">
        <v>489</v>
      </c>
    </row>
    <row r="13" customFormat="false" ht="13.5" hidden="false" customHeight="true" outlineLevel="0" collapsed="false">
      <c r="A13" s="188" t="s">
        <v>504</v>
      </c>
      <c r="B13" s="188" t="s">
        <v>505</v>
      </c>
      <c r="C13" s="189" t="s">
        <v>478</v>
      </c>
      <c r="D13" s="188" t="s">
        <v>479</v>
      </c>
      <c r="E13" s="189" t="s">
        <v>492</v>
      </c>
      <c r="F13" s="190" t="n">
        <v>1.1</v>
      </c>
      <c r="G13" s="191" t="n">
        <v>0</v>
      </c>
      <c r="H13" s="189" t="s">
        <v>481</v>
      </c>
      <c r="I13" s="191" t="n">
        <v>0</v>
      </c>
      <c r="J13" s="191" t="n">
        <v>0</v>
      </c>
      <c r="K13" s="191" t="n">
        <v>0</v>
      </c>
      <c r="L13" s="191" t="n">
        <v>0</v>
      </c>
      <c r="M13" s="191" t="n">
        <v>0</v>
      </c>
      <c r="N13" s="189" t="s">
        <v>493</v>
      </c>
      <c r="O13" s="192" t="n">
        <v>1</v>
      </c>
      <c r="P13" s="192" t="n">
        <v>1800</v>
      </c>
      <c r="Q13" s="192" t="n">
        <v>0</v>
      </c>
      <c r="R13" s="193" t="n">
        <v>10000</v>
      </c>
      <c r="S13" s="193" t="n">
        <v>0</v>
      </c>
      <c r="T13" s="192" t="n">
        <v>1</v>
      </c>
      <c r="U13" s="191" t="n">
        <v>0.001</v>
      </c>
      <c r="V13" s="188" t="s">
        <v>483</v>
      </c>
      <c r="W13" s="191"/>
      <c r="X13" s="191"/>
      <c r="Y13" s="194" t="s">
        <v>484</v>
      </c>
      <c r="Z13" s="188" t="s">
        <v>494</v>
      </c>
      <c r="AA13" s="189" t="s">
        <v>495</v>
      </c>
      <c r="AB13" s="189" t="s">
        <v>496</v>
      </c>
      <c r="AC13" s="188" t="s">
        <v>506</v>
      </c>
      <c r="AD13" s="189" t="s">
        <v>489</v>
      </c>
    </row>
    <row r="14" customFormat="false" ht="13.5" hidden="false" customHeight="true" outlineLevel="0" collapsed="false">
      <c r="A14" s="188" t="s">
        <v>507</v>
      </c>
      <c r="B14" s="188" t="s">
        <v>508</v>
      </c>
      <c r="C14" s="189" t="s">
        <v>478</v>
      </c>
      <c r="D14" s="188" t="s">
        <v>479</v>
      </c>
      <c r="E14" s="189" t="s">
        <v>492</v>
      </c>
      <c r="F14" s="190" t="n">
        <v>0.92</v>
      </c>
      <c r="G14" s="191" t="n">
        <v>0</v>
      </c>
      <c r="H14" s="189" t="s">
        <v>481</v>
      </c>
      <c r="I14" s="191" t="n">
        <v>0</v>
      </c>
      <c r="J14" s="191" t="n">
        <v>0</v>
      </c>
      <c r="K14" s="191" t="n">
        <v>0</v>
      </c>
      <c r="L14" s="191" t="n">
        <v>0</v>
      </c>
      <c r="M14" s="191" t="n">
        <v>0</v>
      </c>
      <c r="N14" s="189" t="s">
        <v>482</v>
      </c>
      <c r="O14" s="192" t="n">
        <v>1</v>
      </c>
      <c r="P14" s="192" t="n">
        <v>360</v>
      </c>
      <c r="Q14" s="192" t="n">
        <v>0</v>
      </c>
      <c r="R14" s="193" t="n">
        <v>5000</v>
      </c>
      <c r="S14" s="193" t="n">
        <v>0</v>
      </c>
      <c r="T14" s="192" t="n">
        <v>1</v>
      </c>
      <c r="U14" s="191" t="n">
        <v>0.001</v>
      </c>
      <c r="V14" s="188" t="s">
        <v>483</v>
      </c>
      <c r="W14" s="191"/>
      <c r="X14" s="191"/>
      <c r="Y14" s="194" t="s">
        <v>484</v>
      </c>
      <c r="Z14" s="188" t="s">
        <v>509</v>
      </c>
      <c r="AA14" s="189" t="s">
        <v>495</v>
      </c>
      <c r="AB14" s="189" t="s">
        <v>496</v>
      </c>
      <c r="AC14" s="188" t="s">
        <v>510</v>
      </c>
      <c r="AD14" s="189" t="s">
        <v>489</v>
      </c>
    </row>
    <row r="15" customFormat="false" ht="13.5" hidden="false" customHeight="true" outlineLevel="0" collapsed="false">
      <c r="A15" s="188" t="s">
        <v>511</v>
      </c>
      <c r="B15" s="188" t="s">
        <v>512</v>
      </c>
      <c r="C15" s="189" t="s">
        <v>478</v>
      </c>
      <c r="D15" s="188" t="s">
        <v>479</v>
      </c>
      <c r="E15" s="189" t="s">
        <v>492</v>
      </c>
      <c r="F15" s="190" t="n">
        <v>0.91</v>
      </c>
      <c r="G15" s="191" t="n">
        <v>0</v>
      </c>
      <c r="H15" s="189" t="s">
        <v>481</v>
      </c>
      <c r="I15" s="191" t="n">
        <v>0</v>
      </c>
      <c r="J15" s="191" t="n">
        <v>0</v>
      </c>
      <c r="K15" s="191" t="n">
        <v>0</v>
      </c>
      <c r="L15" s="191" t="n">
        <v>0</v>
      </c>
      <c r="M15" s="191" t="n">
        <v>0</v>
      </c>
      <c r="N15" s="189" t="s">
        <v>482</v>
      </c>
      <c r="O15" s="192" t="n">
        <v>1</v>
      </c>
      <c r="P15" s="192" t="n">
        <v>270</v>
      </c>
      <c r="Q15" s="192" t="n">
        <v>0</v>
      </c>
      <c r="R15" s="193" t="n">
        <v>5000</v>
      </c>
      <c r="S15" s="193" t="n">
        <v>0</v>
      </c>
      <c r="T15" s="192" t="n">
        <v>1</v>
      </c>
      <c r="U15" s="191" t="n">
        <v>0.001</v>
      </c>
      <c r="V15" s="188" t="s">
        <v>483</v>
      </c>
      <c r="W15" s="191"/>
      <c r="X15" s="191"/>
      <c r="Y15" s="194" t="s">
        <v>484</v>
      </c>
      <c r="Z15" s="188" t="s">
        <v>509</v>
      </c>
      <c r="AA15" s="189" t="s">
        <v>495</v>
      </c>
      <c r="AB15" s="189" t="s">
        <v>496</v>
      </c>
      <c r="AC15" s="188" t="s">
        <v>510</v>
      </c>
      <c r="AD15" s="189" t="s">
        <v>489</v>
      </c>
    </row>
    <row r="16" customFormat="false" ht="13.5" hidden="false" customHeight="true" outlineLevel="0" collapsed="false">
      <c r="A16" s="188" t="s">
        <v>513</v>
      </c>
      <c r="B16" s="188" t="s">
        <v>514</v>
      </c>
      <c r="C16" s="189" t="s">
        <v>478</v>
      </c>
      <c r="D16" s="188" t="s">
        <v>515</v>
      </c>
      <c r="E16" s="189" t="s">
        <v>516</v>
      </c>
      <c r="F16" s="190" t="n">
        <v>1</v>
      </c>
      <c r="G16" s="191" t="n">
        <v>0.0002</v>
      </c>
      <c r="H16" s="189" t="s">
        <v>481</v>
      </c>
      <c r="I16" s="191" t="n">
        <v>0</v>
      </c>
      <c r="J16" s="191" t="n">
        <v>0</v>
      </c>
      <c r="K16" s="191" t="n">
        <v>0</v>
      </c>
      <c r="L16" s="191" t="n">
        <v>0</v>
      </c>
      <c r="M16" s="191" t="n">
        <v>0.002</v>
      </c>
      <c r="N16" s="189" t="s">
        <v>493</v>
      </c>
      <c r="O16" s="192" t="n">
        <v>1</v>
      </c>
      <c r="P16" s="192" t="n">
        <v>0</v>
      </c>
      <c r="Q16" s="192" t="n">
        <v>1</v>
      </c>
      <c r="R16" s="193" t="n">
        <v>100</v>
      </c>
      <c r="S16" s="193" t="n">
        <v>0</v>
      </c>
      <c r="T16" s="192" t="n">
        <v>1</v>
      </c>
      <c r="U16" s="191" t="n">
        <v>0.002</v>
      </c>
      <c r="V16" s="188" t="s">
        <v>515</v>
      </c>
      <c r="W16" s="191"/>
      <c r="X16" s="191"/>
      <c r="Y16" s="194" t="s">
        <v>484</v>
      </c>
      <c r="Z16" s="188" t="s">
        <v>517</v>
      </c>
      <c r="AA16" s="189" t="s">
        <v>518</v>
      </c>
      <c r="AB16" s="189" t="s">
        <v>496</v>
      </c>
      <c r="AC16" s="188" t="s">
        <v>519</v>
      </c>
      <c r="AD16" s="189" t="s">
        <v>489</v>
      </c>
    </row>
    <row r="17" customFormat="false" ht="13.5" hidden="false" customHeight="true" outlineLevel="0" collapsed="false">
      <c r="A17" s="188" t="s">
        <v>520</v>
      </c>
      <c r="B17" s="188" t="s">
        <v>521</v>
      </c>
      <c r="C17" s="189" t="s">
        <v>478</v>
      </c>
      <c r="D17" s="188" t="s">
        <v>515</v>
      </c>
      <c r="E17" s="189" t="s">
        <v>522</v>
      </c>
      <c r="F17" s="190" t="n">
        <v>1</v>
      </c>
      <c r="G17" s="191" t="n">
        <v>0.06</v>
      </c>
      <c r="H17" s="189" t="s">
        <v>523</v>
      </c>
      <c r="I17" s="191" t="n">
        <v>0</v>
      </c>
      <c r="J17" s="191" t="n">
        <v>0</v>
      </c>
      <c r="K17" s="191" t="n">
        <v>0</v>
      </c>
      <c r="L17" s="191" t="n">
        <v>0</v>
      </c>
      <c r="M17" s="191" t="n">
        <v>0.002</v>
      </c>
      <c r="N17" s="189" t="s">
        <v>493</v>
      </c>
      <c r="O17" s="192" t="n">
        <v>1</v>
      </c>
      <c r="P17" s="192" t="n">
        <v>0</v>
      </c>
      <c r="Q17" s="192" t="n">
        <v>1</v>
      </c>
      <c r="R17" s="193" t="n">
        <v>100</v>
      </c>
      <c r="S17" s="193" t="n">
        <v>0</v>
      </c>
      <c r="T17" s="192" t="n">
        <v>2</v>
      </c>
      <c r="U17" s="191" t="n">
        <v>0.08</v>
      </c>
      <c r="V17" s="188" t="s">
        <v>515</v>
      </c>
      <c r="W17" s="191"/>
      <c r="X17" s="191"/>
      <c r="Y17" s="194" t="s">
        <v>484</v>
      </c>
      <c r="Z17" s="188" t="s">
        <v>517</v>
      </c>
      <c r="AA17" s="189" t="s">
        <v>518</v>
      </c>
      <c r="AB17" s="189" t="s">
        <v>496</v>
      </c>
      <c r="AC17" s="188" t="s">
        <v>524</v>
      </c>
      <c r="AD17" s="189" t="s">
        <v>489</v>
      </c>
    </row>
    <row r="18" customFormat="false" ht="13.5" hidden="false" customHeight="true" outlineLevel="0" collapsed="false">
      <c r="A18" s="188" t="s">
        <v>525</v>
      </c>
      <c r="B18" s="188" t="s">
        <v>526</v>
      </c>
      <c r="C18" s="189" t="s">
        <v>478</v>
      </c>
      <c r="D18" s="188" t="s">
        <v>515</v>
      </c>
      <c r="E18" s="189" t="s">
        <v>527</v>
      </c>
      <c r="F18" s="190" t="n">
        <v>1</v>
      </c>
      <c r="G18" s="191" t="n">
        <v>0.12</v>
      </c>
      <c r="H18" s="189" t="s">
        <v>481</v>
      </c>
      <c r="I18" s="191" t="n">
        <v>0</v>
      </c>
      <c r="J18" s="191" t="n">
        <v>0</v>
      </c>
      <c r="K18" s="191" t="n">
        <v>0</v>
      </c>
      <c r="L18" s="191" t="n">
        <v>0</v>
      </c>
      <c r="M18" s="191" t="n">
        <v>0.002</v>
      </c>
      <c r="N18" s="189" t="s">
        <v>493</v>
      </c>
      <c r="O18" s="192" t="n">
        <v>1</v>
      </c>
      <c r="P18" s="192" t="n">
        <v>0</v>
      </c>
      <c r="Q18" s="192" t="n">
        <v>1</v>
      </c>
      <c r="R18" s="193" t="n">
        <v>100</v>
      </c>
      <c r="S18" s="193" t="n">
        <v>0</v>
      </c>
      <c r="T18" s="192" t="n">
        <v>2</v>
      </c>
      <c r="U18" s="191" t="n">
        <v>0.06</v>
      </c>
      <c r="V18" s="188" t="s">
        <v>515</v>
      </c>
      <c r="W18" s="191"/>
      <c r="X18" s="191"/>
      <c r="Y18" s="194" t="s">
        <v>484</v>
      </c>
      <c r="Z18" s="188" t="s">
        <v>517</v>
      </c>
      <c r="AA18" s="189" t="s">
        <v>518</v>
      </c>
      <c r="AB18" s="189" t="s">
        <v>496</v>
      </c>
      <c r="AC18" s="188" t="s">
        <v>528</v>
      </c>
      <c r="AD18" s="189" t="s">
        <v>489</v>
      </c>
    </row>
    <row r="19" customFormat="false" ht="13.5" hidden="false" customHeight="true" outlineLevel="0" collapsed="false">
      <c r="A19" s="188" t="s">
        <v>529</v>
      </c>
      <c r="B19" s="188" t="s">
        <v>530</v>
      </c>
      <c r="C19" s="189" t="s">
        <v>531</v>
      </c>
      <c r="D19" s="188" t="s">
        <v>532</v>
      </c>
      <c r="E19" s="189" t="s">
        <v>492</v>
      </c>
      <c r="F19" s="190" t="n">
        <v>1</v>
      </c>
      <c r="G19" s="191" t="n">
        <v>0</v>
      </c>
      <c r="H19" s="189" t="s">
        <v>481</v>
      </c>
      <c r="I19" s="191" t="n">
        <v>0.004</v>
      </c>
      <c r="J19" s="191" t="n">
        <v>0</v>
      </c>
      <c r="K19" s="191" t="n">
        <v>0</v>
      </c>
      <c r="L19" s="191" t="n">
        <v>0</v>
      </c>
      <c r="M19" s="191" t="n">
        <v>0</v>
      </c>
      <c r="N19" s="189" t="s">
        <v>533</v>
      </c>
      <c r="O19" s="192" t="n">
        <v>1</v>
      </c>
      <c r="P19" s="192" t="n">
        <v>0</v>
      </c>
      <c r="Q19" s="192" t="n">
        <v>0</v>
      </c>
      <c r="R19" s="193" t="n">
        <v>100</v>
      </c>
      <c r="S19" s="193" t="n">
        <v>50</v>
      </c>
      <c r="T19" s="192" t="n">
        <v>1</v>
      </c>
      <c r="U19" s="191" t="n">
        <v>0.002</v>
      </c>
      <c r="V19" s="188" t="s">
        <v>534</v>
      </c>
      <c r="W19" s="191"/>
      <c r="X19" s="191"/>
      <c r="Y19" s="194" t="s">
        <v>484</v>
      </c>
      <c r="Z19" s="188" t="s">
        <v>535</v>
      </c>
      <c r="AA19" s="189" t="s">
        <v>518</v>
      </c>
      <c r="AB19" s="189" t="s">
        <v>496</v>
      </c>
      <c r="AC19" s="188" t="s">
        <v>536</v>
      </c>
      <c r="AD19" s="189" t="s">
        <v>489</v>
      </c>
    </row>
    <row r="20" customFormat="false" ht="13.5" hidden="false" customHeight="true" outlineLevel="0" collapsed="false">
      <c r="A20" s="188" t="s">
        <v>537</v>
      </c>
      <c r="B20" s="188" t="s">
        <v>538</v>
      </c>
      <c r="C20" s="189" t="s">
        <v>531</v>
      </c>
      <c r="D20" s="188" t="s">
        <v>532</v>
      </c>
      <c r="E20" s="189" t="s">
        <v>492</v>
      </c>
      <c r="F20" s="190" t="n">
        <v>1</v>
      </c>
      <c r="G20" s="191" t="n">
        <v>0</v>
      </c>
      <c r="H20" s="189" t="s">
        <v>481</v>
      </c>
      <c r="I20" s="191" t="n">
        <v>0.008</v>
      </c>
      <c r="J20" s="191" t="n">
        <v>0</v>
      </c>
      <c r="K20" s="191" t="n">
        <v>0</v>
      </c>
      <c r="L20" s="191" t="n">
        <v>0</v>
      </c>
      <c r="M20" s="191" t="n">
        <v>0</v>
      </c>
      <c r="N20" s="189" t="s">
        <v>533</v>
      </c>
      <c r="O20" s="192" t="n">
        <v>1</v>
      </c>
      <c r="P20" s="192" t="n">
        <v>0</v>
      </c>
      <c r="Q20" s="192" t="n">
        <v>0</v>
      </c>
      <c r="R20" s="193" t="n">
        <v>1000</v>
      </c>
      <c r="S20" s="193" t="n">
        <v>100</v>
      </c>
      <c r="T20" s="192" t="n">
        <v>1</v>
      </c>
      <c r="U20" s="191" t="n">
        <v>0.002</v>
      </c>
      <c r="V20" s="188" t="s">
        <v>534</v>
      </c>
      <c r="W20" s="191"/>
      <c r="X20" s="191"/>
      <c r="Y20" s="194" t="s">
        <v>484</v>
      </c>
      <c r="Z20" s="188" t="s">
        <v>535</v>
      </c>
      <c r="AA20" s="189" t="s">
        <v>518</v>
      </c>
      <c r="AB20" s="189" t="s">
        <v>496</v>
      </c>
      <c r="AC20" s="188" t="s">
        <v>539</v>
      </c>
      <c r="AD20" s="189" t="s">
        <v>489</v>
      </c>
    </row>
    <row r="21" customFormat="false" ht="13.5" hidden="false" customHeight="true" outlineLevel="0" collapsed="false">
      <c r="A21" s="188" t="s">
        <v>540</v>
      </c>
      <c r="B21" s="188" t="s">
        <v>541</v>
      </c>
      <c r="C21" s="189" t="s">
        <v>531</v>
      </c>
      <c r="D21" s="188" t="s">
        <v>532</v>
      </c>
      <c r="E21" s="189" t="s">
        <v>492</v>
      </c>
      <c r="F21" s="190" t="n">
        <v>1.04</v>
      </c>
      <c r="G21" s="191" t="n">
        <v>0</v>
      </c>
      <c r="H21" s="189" t="s">
        <v>481</v>
      </c>
      <c r="I21" s="191" t="n">
        <v>0.01</v>
      </c>
      <c r="J21" s="191" t="n">
        <v>0</v>
      </c>
      <c r="K21" s="191" t="n">
        <v>0</v>
      </c>
      <c r="L21" s="191" t="n">
        <v>0</v>
      </c>
      <c r="M21" s="191" t="n">
        <v>0</v>
      </c>
      <c r="N21" s="189" t="s">
        <v>533</v>
      </c>
      <c r="O21" s="192" t="n">
        <v>1</v>
      </c>
      <c r="P21" s="192" t="n">
        <v>0</v>
      </c>
      <c r="Q21" s="192" t="n">
        <v>30</v>
      </c>
      <c r="R21" s="193" t="n">
        <v>5000</v>
      </c>
      <c r="S21" s="193" t="n">
        <v>200</v>
      </c>
      <c r="T21" s="192" t="n">
        <v>2</v>
      </c>
      <c r="U21" s="191" t="n">
        <v>0.01</v>
      </c>
      <c r="V21" s="188" t="s">
        <v>534</v>
      </c>
      <c r="W21" s="191"/>
      <c r="X21" s="191"/>
      <c r="Y21" s="194" t="s">
        <v>484</v>
      </c>
      <c r="Z21" s="188" t="s">
        <v>535</v>
      </c>
      <c r="AA21" s="189" t="s">
        <v>518</v>
      </c>
      <c r="AB21" s="189" t="s">
        <v>496</v>
      </c>
      <c r="AC21" s="188" t="s">
        <v>542</v>
      </c>
      <c r="AD21" s="189" t="s">
        <v>489</v>
      </c>
    </row>
    <row r="22" customFormat="false" ht="13.5" hidden="false" customHeight="true" outlineLevel="0" collapsed="false">
      <c r="A22" s="188" t="s">
        <v>543</v>
      </c>
      <c r="B22" s="188" t="s">
        <v>544</v>
      </c>
      <c r="C22" s="189" t="s">
        <v>531</v>
      </c>
      <c r="D22" s="188" t="s">
        <v>532</v>
      </c>
      <c r="E22" s="189" t="s">
        <v>522</v>
      </c>
      <c r="F22" s="190" t="n">
        <v>1</v>
      </c>
      <c r="G22" s="191" t="n">
        <v>0.06</v>
      </c>
      <c r="H22" s="189" t="s">
        <v>523</v>
      </c>
      <c r="I22" s="191" t="n">
        <v>0.01</v>
      </c>
      <c r="J22" s="191" t="n">
        <v>0</v>
      </c>
      <c r="K22" s="191" t="n">
        <v>0</v>
      </c>
      <c r="L22" s="191" t="n">
        <v>0</v>
      </c>
      <c r="M22" s="191" t="n">
        <v>0</v>
      </c>
      <c r="N22" s="189" t="s">
        <v>533</v>
      </c>
      <c r="O22" s="192" t="n">
        <v>1</v>
      </c>
      <c r="P22" s="192" t="n">
        <v>0</v>
      </c>
      <c r="Q22" s="192" t="n">
        <v>5</v>
      </c>
      <c r="R22" s="193" t="n">
        <v>5000</v>
      </c>
      <c r="S22" s="193" t="n">
        <v>200</v>
      </c>
      <c r="T22" s="192" t="n">
        <v>3</v>
      </c>
      <c r="U22" s="191" t="n">
        <v>0.08</v>
      </c>
      <c r="V22" s="188" t="s">
        <v>534</v>
      </c>
      <c r="W22" s="191"/>
      <c r="X22" s="191"/>
      <c r="Y22" s="194" t="s">
        <v>484</v>
      </c>
      <c r="Z22" s="188" t="s">
        <v>535</v>
      </c>
      <c r="AA22" s="189" t="s">
        <v>518</v>
      </c>
      <c r="AB22" s="189" t="s">
        <v>496</v>
      </c>
      <c r="AC22" s="188" t="s">
        <v>545</v>
      </c>
      <c r="AD22" s="189" t="s">
        <v>489</v>
      </c>
    </row>
    <row r="23" customFormat="false" ht="13.5" hidden="false" customHeight="true" outlineLevel="0" collapsed="false">
      <c r="A23" s="188" t="s">
        <v>546</v>
      </c>
      <c r="B23" s="188" t="s">
        <v>547</v>
      </c>
      <c r="C23" s="189" t="s">
        <v>531</v>
      </c>
      <c r="D23" s="188" t="s">
        <v>532</v>
      </c>
      <c r="E23" s="189" t="s">
        <v>492</v>
      </c>
      <c r="F23" s="190" t="n">
        <v>1</v>
      </c>
      <c r="G23" s="191" t="n">
        <v>0.025</v>
      </c>
      <c r="H23" s="189" t="s">
        <v>481</v>
      </c>
      <c r="I23" s="191" t="n">
        <v>0.015</v>
      </c>
      <c r="J23" s="191" t="n">
        <v>0.2</v>
      </c>
      <c r="K23" s="191" t="n">
        <v>0</v>
      </c>
      <c r="L23" s="191" t="n">
        <v>0</v>
      </c>
      <c r="M23" s="191" t="n">
        <v>0</v>
      </c>
      <c r="N23" s="189" t="s">
        <v>533</v>
      </c>
      <c r="O23" s="192" t="n">
        <v>1</v>
      </c>
      <c r="P23" s="192" t="n">
        <v>0</v>
      </c>
      <c r="Q23" s="192" t="n">
        <v>30</v>
      </c>
      <c r="R23" s="193" t="n">
        <v>5000</v>
      </c>
      <c r="S23" s="193" t="n">
        <v>200</v>
      </c>
      <c r="T23" s="192" t="n">
        <v>3</v>
      </c>
      <c r="U23" s="191" t="n">
        <v>0.06</v>
      </c>
      <c r="V23" s="188" t="s">
        <v>534</v>
      </c>
      <c r="W23" s="191"/>
      <c r="X23" s="191"/>
      <c r="Y23" s="194" t="s">
        <v>484</v>
      </c>
      <c r="Z23" s="188" t="s">
        <v>535</v>
      </c>
      <c r="AA23" s="189" t="s">
        <v>518</v>
      </c>
      <c r="AB23" s="189" t="s">
        <v>496</v>
      </c>
      <c r="AC23" s="188" t="s">
        <v>548</v>
      </c>
      <c r="AD23" s="189" t="s">
        <v>489</v>
      </c>
    </row>
    <row r="24" customFormat="false" ht="13.5" hidden="false" customHeight="true" outlineLevel="0" collapsed="false">
      <c r="A24" s="188" t="s">
        <v>549</v>
      </c>
      <c r="B24" s="188" t="s">
        <v>550</v>
      </c>
      <c r="C24" s="189" t="s">
        <v>531</v>
      </c>
      <c r="D24" s="188" t="s">
        <v>532</v>
      </c>
      <c r="E24" s="189" t="s">
        <v>551</v>
      </c>
      <c r="F24" s="190" t="n">
        <v>1</v>
      </c>
      <c r="G24" s="191" t="n">
        <v>0</v>
      </c>
      <c r="H24" s="189" t="s">
        <v>481</v>
      </c>
      <c r="I24" s="191" t="n">
        <v>0.015</v>
      </c>
      <c r="J24" s="191" t="n">
        <v>0</v>
      </c>
      <c r="K24" s="191" t="n">
        <v>0</v>
      </c>
      <c r="L24" s="191" t="n">
        <v>0</v>
      </c>
      <c r="M24" s="191" t="n">
        <v>0</v>
      </c>
      <c r="N24" s="189" t="s">
        <v>552</v>
      </c>
      <c r="O24" s="192" t="n">
        <v>1</v>
      </c>
      <c r="P24" s="192" t="n">
        <v>0</v>
      </c>
      <c r="Q24" s="192" t="n">
        <v>4</v>
      </c>
      <c r="R24" s="193" t="n">
        <v>1000</v>
      </c>
      <c r="S24" s="193" t="n">
        <v>100</v>
      </c>
      <c r="T24" s="192" t="n">
        <v>5</v>
      </c>
      <c r="U24" s="191" t="n">
        <v>0.22</v>
      </c>
      <c r="V24" s="188" t="s">
        <v>534</v>
      </c>
      <c r="W24" s="191"/>
      <c r="X24" s="191"/>
      <c r="Y24" s="194" t="s">
        <v>484</v>
      </c>
      <c r="Z24" s="188" t="s">
        <v>535</v>
      </c>
      <c r="AA24" s="189" t="s">
        <v>518</v>
      </c>
      <c r="AB24" s="189" t="s">
        <v>496</v>
      </c>
      <c r="AC24" s="188" t="s">
        <v>553</v>
      </c>
      <c r="AD24" s="189" t="s">
        <v>489</v>
      </c>
    </row>
    <row r="25" customFormat="false" ht="13.5" hidden="false" customHeight="true" outlineLevel="0" collapsed="false">
      <c r="A25" s="188" t="s">
        <v>554</v>
      </c>
      <c r="B25" s="188" t="s">
        <v>555</v>
      </c>
      <c r="C25" s="189" t="s">
        <v>531</v>
      </c>
      <c r="D25" s="188" t="s">
        <v>532</v>
      </c>
      <c r="E25" s="189" t="s">
        <v>551</v>
      </c>
      <c r="F25" s="190" t="n">
        <v>1</v>
      </c>
      <c r="G25" s="191" t="n">
        <v>0.015</v>
      </c>
      <c r="H25" s="189" t="s">
        <v>481</v>
      </c>
      <c r="I25" s="191" t="n">
        <v>0.02</v>
      </c>
      <c r="J25" s="191" t="n">
        <v>0.2</v>
      </c>
      <c r="K25" s="191" t="n">
        <v>0</v>
      </c>
      <c r="L25" s="191" t="n">
        <v>0</v>
      </c>
      <c r="M25" s="191" t="n">
        <v>0</v>
      </c>
      <c r="N25" s="189" t="s">
        <v>552</v>
      </c>
      <c r="O25" s="192" t="n">
        <v>1</v>
      </c>
      <c r="P25" s="192" t="n">
        <v>0</v>
      </c>
      <c r="Q25" s="192" t="n">
        <v>30</v>
      </c>
      <c r="R25" s="193" t="n">
        <v>5000</v>
      </c>
      <c r="S25" s="193" t="n">
        <v>200</v>
      </c>
      <c r="T25" s="192" t="n">
        <v>4</v>
      </c>
      <c r="U25" s="191" t="n">
        <v>0.18</v>
      </c>
      <c r="V25" s="188" t="s">
        <v>534</v>
      </c>
      <c r="W25" s="191"/>
      <c r="X25" s="191"/>
      <c r="Y25" s="194" t="s">
        <v>484</v>
      </c>
      <c r="Z25" s="188" t="s">
        <v>535</v>
      </c>
      <c r="AA25" s="189" t="s">
        <v>518</v>
      </c>
      <c r="AB25" s="189" t="s">
        <v>496</v>
      </c>
      <c r="AC25" s="188" t="s">
        <v>556</v>
      </c>
      <c r="AD25" s="189" t="s">
        <v>489</v>
      </c>
    </row>
    <row r="26" customFormat="false" ht="13.5" hidden="false" customHeight="true" outlineLevel="0" collapsed="false">
      <c r="A26" s="188" t="s">
        <v>557</v>
      </c>
      <c r="B26" s="188" t="s">
        <v>558</v>
      </c>
      <c r="C26" s="189" t="s">
        <v>531</v>
      </c>
      <c r="D26" s="188" t="s">
        <v>532</v>
      </c>
      <c r="E26" s="189" t="s">
        <v>559</v>
      </c>
      <c r="F26" s="190" t="n">
        <v>1</v>
      </c>
      <c r="G26" s="191" t="n">
        <v>0</v>
      </c>
      <c r="H26" s="189" t="s">
        <v>481</v>
      </c>
      <c r="I26" s="191" t="n">
        <v>0.015</v>
      </c>
      <c r="J26" s="191" t="n">
        <v>0</v>
      </c>
      <c r="K26" s="191" t="n">
        <v>0</v>
      </c>
      <c r="L26" s="191" t="n">
        <v>0</v>
      </c>
      <c r="M26" s="191" t="n">
        <v>0</v>
      </c>
      <c r="N26" s="189" t="s">
        <v>560</v>
      </c>
      <c r="O26" s="192" t="n">
        <v>1</v>
      </c>
      <c r="P26" s="192" t="n">
        <v>0</v>
      </c>
      <c r="Q26" s="192" t="n">
        <v>4</v>
      </c>
      <c r="R26" s="193" t="n">
        <v>1000</v>
      </c>
      <c r="S26" s="193" t="n">
        <v>100</v>
      </c>
      <c r="T26" s="192" t="n">
        <v>5</v>
      </c>
      <c r="U26" s="191" t="n">
        <v>0.15</v>
      </c>
      <c r="V26" s="188" t="s">
        <v>534</v>
      </c>
      <c r="W26" s="191"/>
      <c r="X26" s="191"/>
      <c r="Y26" s="194" t="s">
        <v>484</v>
      </c>
      <c r="Z26" s="188" t="s">
        <v>535</v>
      </c>
      <c r="AA26" s="189" t="s">
        <v>518</v>
      </c>
      <c r="AB26" s="189" t="s">
        <v>496</v>
      </c>
      <c r="AC26" s="188" t="s">
        <v>561</v>
      </c>
      <c r="AD26" s="189" t="s">
        <v>489</v>
      </c>
    </row>
    <row r="27" customFormat="false" ht="13.5" hidden="false" customHeight="true" outlineLevel="0" collapsed="false">
      <c r="A27" s="188" t="s">
        <v>562</v>
      </c>
      <c r="B27" s="188" t="s">
        <v>563</v>
      </c>
      <c r="C27" s="189" t="s">
        <v>564</v>
      </c>
      <c r="D27" s="188" t="s">
        <v>565</v>
      </c>
      <c r="E27" s="189" t="s">
        <v>492</v>
      </c>
      <c r="F27" s="190" t="n">
        <v>0.97</v>
      </c>
      <c r="G27" s="191" t="n">
        <v>0</v>
      </c>
      <c r="H27" s="189" t="s">
        <v>481</v>
      </c>
      <c r="I27" s="191" t="n">
        <v>0.01</v>
      </c>
      <c r="J27" s="191" t="n">
        <v>0</v>
      </c>
      <c r="K27" s="191" t="n">
        <v>0</v>
      </c>
      <c r="L27" s="191" t="n">
        <v>0</v>
      </c>
      <c r="M27" s="191" t="n">
        <v>0</v>
      </c>
      <c r="N27" s="189" t="s">
        <v>566</v>
      </c>
      <c r="O27" s="192" t="n">
        <v>2</v>
      </c>
      <c r="P27" s="192" t="n">
        <v>0</v>
      </c>
      <c r="Q27" s="192" t="n">
        <v>5</v>
      </c>
      <c r="R27" s="193" t="n">
        <v>5000</v>
      </c>
      <c r="S27" s="193" t="n">
        <v>100</v>
      </c>
      <c r="T27" s="192" t="n">
        <v>1</v>
      </c>
      <c r="U27" s="191" t="n">
        <v>0.002</v>
      </c>
      <c r="V27" s="188" t="s">
        <v>567</v>
      </c>
      <c r="W27" s="191"/>
      <c r="X27" s="191"/>
      <c r="Y27" s="194" t="s">
        <v>484</v>
      </c>
      <c r="Z27" s="188" t="s">
        <v>568</v>
      </c>
      <c r="AA27" s="189" t="s">
        <v>495</v>
      </c>
      <c r="AB27" s="189" t="s">
        <v>496</v>
      </c>
      <c r="AC27" s="188" t="s">
        <v>569</v>
      </c>
      <c r="AD27" s="189" t="s">
        <v>489</v>
      </c>
    </row>
    <row r="28" customFormat="false" ht="13.5" hidden="false" customHeight="true" outlineLevel="0" collapsed="false">
      <c r="A28" s="188" t="s">
        <v>570</v>
      </c>
      <c r="B28" s="188" t="s">
        <v>571</v>
      </c>
      <c r="C28" s="189" t="s">
        <v>564</v>
      </c>
      <c r="D28" s="188" t="s">
        <v>565</v>
      </c>
      <c r="E28" s="189" t="s">
        <v>492</v>
      </c>
      <c r="F28" s="190" t="n">
        <v>0.97</v>
      </c>
      <c r="G28" s="191" t="n">
        <v>0</v>
      </c>
      <c r="H28" s="189" t="s">
        <v>481</v>
      </c>
      <c r="I28" s="191" t="n">
        <v>0.01</v>
      </c>
      <c r="J28" s="191" t="n">
        <v>0</v>
      </c>
      <c r="K28" s="191" t="n">
        <v>0</v>
      </c>
      <c r="L28" s="191" t="n">
        <v>0</v>
      </c>
      <c r="M28" s="191" t="n">
        <v>0</v>
      </c>
      <c r="N28" s="189" t="s">
        <v>572</v>
      </c>
      <c r="O28" s="192" t="n">
        <v>2</v>
      </c>
      <c r="P28" s="192" t="n">
        <v>0</v>
      </c>
      <c r="Q28" s="192" t="n">
        <v>5</v>
      </c>
      <c r="R28" s="193" t="n">
        <v>5000</v>
      </c>
      <c r="S28" s="193" t="n">
        <v>100</v>
      </c>
      <c r="T28" s="192" t="n">
        <v>1</v>
      </c>
      <c r="U28" s="191" t="n">
        <v>0.002</v>
      </c>
      <c r="V28" s="188" t="s">
        <v>567</v>
      </c>
      <c r="W28" s="191"/>
      <c r="X28" s="191"/>
      <c r="Y28" s="194" t="s">
        <v>484</v>
      </c>
      <c r="Z28" s="188" t="s">
        <v>568</v>
      </c>
      <c r="AA28" s="189" t="s">
        <v>495</v>
      </c>
      <c r="AB28" s="189" t="s">
        <v>496</v>
      </c>
      <c r="AC28" s="188" t="s">
        <v>573</v>
      </c>
      <c r="AD28" s="189" t="s">
        <v>489</v>
      </c>
    </row>
    <row r="29" customFormat="false" ht="13.5" hidden="false" customHeight="true" outlineLevel="0" collapsed="false">
      <c r="A29" s="188" t="s">
        <v>574</v>
      </c>
      <c r="B29" s="188" t="s">
        <v>575</v>
      </c>
      <c r="C29" s="189" t="s">
        <v>564</v>
      </c>
      <c r="D29" s="188" t="s">
        <v>565</v>
      </c>
      <c r="E29" s="189" t="s">
        <v>492</v>
      </c>
      <c r="F29" s="190" t="n">
        <v>0.97</v>
      </c>
      <c r="G29" s="191" t="n">
        <v>0</v>
      </c>
      <c r="H29" s="189" t="s">
        <v>481</v>
      </c>
      <c r="I29" s="191" t="n">
        <v>0.01</v>
      </c>
      <c r="J29" s="191" t="n">
        <v>0</v>
      </c>
      <c r="K29" s="191" t="n">
        <v>0</v>
      </c>
      <c r="L29" s="191" t="n">
        <v>0</v>
      </c>
      <c r="M29" s="191" t="n">
        <v>0</v>
      </c>
      <c r="N29" s="189" t="s">
        <v>566</v>
      </c>
      <c r="O29" s="192" t="n">
        <v>1</v>
      </c>
      <c r="P29" s="192" t="n">
        <v>0</v>
      </c>
      <c r="Q29" s="192" t="n">
        <v>5</v>
      </c>
      <c r="R29" s="193" t="n">
        <v>5000</v>
      </c>
      <c r="S29" s="193" t="n">
        <v>100</v>
      </c>
      <c r="T29" s="192" t="n">
        <v>1</v>
      </c>
      <c r="U29" s="191" t="n">
        <v>0.002</v>
      </c>
      <c r="V29" s="188" t="s">
        <v>567</v>
      </c>
      <c r="W29" s="191"/>
      <c r="X29" s="191"/>
      <c r="Y29" s="194" t="s">
        <v>484</v>
      </c>
      <c r="Z29" s="188" t="s">
        <v>568</v>
      </c>
      <c r="AA29" s="189" t="s">
        <v>495</v>
      </c>
      <c r="AB29" s="189" t="s">
        <v>496</v>
      </c>
      <c r="AC29" s="188" t="s">
        <v>576</v>
      </c>
      <c r="AD29" s="189" t="s">
        <v>489</v>
      </c>
    </row>
    <row r="30" customFormat="false" ht="13.5" hidden="false" customHeight="true" outlineLevel="0" collapsed="false">
      <c r="A30" s="188" t="s">
        <v>577</v>
      </c>
      <c r="B30" s="188" t="s">
        <v>578</v>
      </c>
      <c r="C30" s="189" t="s">
        <v>564</v>
      </c>
      <c r="D30" s="188" t="s">
        <v>565</v>
      </c>
      <c r="E30" s="189" t="s">
        <v>492</v>
      </c>
      <c r="F30" s="190" t="n">
        <v>1</v>
      </c>
      <c r="G30" s="191" t="n">
        <v>0.015</v>
      </c>
      <c r="H30" s="189" t="s">
        <v>481</v>
      </c>
      <c r="I30" s="191" t="n">
        <v>0.015</v>
      </c>
      <c r="J30" s="191" t="n">
        <v>0</v>
      </c>
      <c r="K30" s="191" t="n">
        <v>0</v>
      </c>
      <c r="L30" s="191" t="n">
        <v>0</v>
      </c>
      <c r="M30" s="191" t="n">
        <v>0</v>
      </c>
      <c r="N30" s="189" t="s">
        <v>566</v>
      </c>
      <c r="O30" s="192" t="n">
        <v>2</v>
      </c>
      <c r="P30" s="192" t="n">
        <v>0</v>
      </c>
      <c r="Q30" s="192" t="n">
        <v>5</v>
      </c>
      <c r="R30" s="193" t="n">
        <v>5000</v>
      </c>
      <c r="S30" s="193" t="n">
        <v>100</v>
      </c>
      <c r="T30" s="192" t="n">
        <v>3</v>
      </c>
      <c r="U30" s="191" t="n">
        <v>0.06</v>
      </c>
      <c r="V30" s="188" t="s">
        <v>567</v>
      </c>
      <c r="W30" s="191"/>
      <c r="X30" s="191"/>
      <c r="Y30" s="194" t="s">
        <v>484</v>
      </c>
      <c r="Z30" s="188" t="s">
        <v>568</v>
      </c>
      <c r="AA30" s="189" t="s">
        <v>495</v>
      </c>
      <c r="AB30" s="189" t="s">
        <v>496</v>
      </c>
      <c r="AC30" s="188" t="s">
        <v>579</v>
      </c>
      <c r="AD30" s="189" t="s">
        <v>489</v>
      </c>
    </row>
    <row r="31" customFormat="false" ht="13.5" hidden="false" customHeight="true" outlineLevel="0" collapsed="false">
      <c r="A31" s="188" t="s">
        <v>580</v>
      </c>
      <c r="B31" s="188" t="s">
        <v>581</v>
      </c>
      <c r="C31" s="189" t="s">
        <v>564</v>
      </c>
      <c r="D31" s="188" t="s">
        <v>565</v>
      </c>
      <c r="E31" s="189" t="s">
        <v>492</v>
      </c>
      <c r="F31" s="190" t="n">
        <v>1</v>
      </c>
      <c r="G31" s="191" t="n">
        <v>0.015</v>
      </c>
      <c r="H31" s="189" t="s">
        <v>481</v>
      </c>
      <c r="I31" s="191" t="n">
        <v>0.015</v>
      </c>
      <c r="J31" s="191" t="n">
        <v>0</v>
      </c>
      <c r="K31" s="191" t="n">
        <v>0</v>
      </c>
      <c r="L31" s="191" t="n">
        <v>0</v>
      </c>
      <c r="M31" s="191" t="n">
        <v>0</v>
      </c>
      <c r="N31" s="189" t="s">
        <v>566</v>
      </c>
      <c r="O31" s="192" t="n">
        <v>1</v>
      </c>
      <c r="P31" s="192" t="n">
        <v>0</v>
      </c>
      <c r="Q31" s="192" t="n">
        <v>5</v>
      </c>
      <c r="R31" s="193" t="n">
        <v>5000</v>
      </c>
      <c r="S31" s="193" t="n">
        <v>100</v>
      </c>
      <c r="T31" s="192" t="n">
        <v>3</v>
      </c>
      <c r="U31" s="191" t="n">
        <v>0.06</v>
      </c>
      <c r="V31" s="188" t="s">
        <v>567</v>
      </c>
      <c r="W31" s="191"/>
      <c r="X31" s="191"/>
      <c r="Y31" s="194" t="s">
        <v>484</v>
      </c>
      <c r="Z31" s="188" t="s">
        <v>568</v>
      </c>
      <c r="AA31" s="189" t="s">
        <v>495</v>
      </c>
      <c r="AB31" s="189" t="s">
        <v>496</v>
      </c>
      <c r="AC31" s="188" t="s">
        <v>582</v>
      </c>
      <c r="AD31" s="189" t="s">
        <v>489</v>
      </c>
    </row>
    <row r="32" customFormat="false" ht="13.5" hidden="false" customHeight="true" outlineLevel="0" collapsed="false">
      <c r="A32" s="188" t="s">
        <v>583</v>
      </c>
      <c r="B32" s="188" t="s">
        <v>584</v>
      </c>
      <c r="C32" s="189" t="s">
        <v>585</v>
      </c>
      <c r="D32" s="188" t="s">
        <v>586</v>
      </c>
      <c r="E32" s="189" t="s">
        <v>587</v>
      </c>
      <c r="F32" s="190" t="n">
        <v>1</v>
      </c>
      <c r="G32" s="191" t="n">
        <v>0</v>
      </c>
      <c r="H32" s="189" t="s">
        <v>481</v>
      </c>
      <c r="I32" s="191" t="n">
        <v>0</v>
      </c>
      <c r="J32" s="191" t="n">
        <v>0</v>
      </c>
      <c r="K32" s="191" t="n">
        <v>0</v>
      </c>
      <c r="L32" s="191" t="n">
        <v>0</v>
      </c>
      <c r="M32" s="191" t="n">
        <v>0</v>
      </c>
      <c r="N32" s="189" t="s">
        <v>588</v>
      </c>
      <c r="O32" s="192" t="n">
        <v>1</v>
      </c>
      <c r="P32" s="192" t="n">
        <v>0</v>
      </c>
      <c r="Q32" s="192" t="n">
        <v>180</v>
      </c>
      <c r="R32" s="193" t="n">
        <v>50000</v>
      </c>
      <c r="S32" s="193" t="n">
        <v>0</v>
      </c>
      <c r="T32" s="192" t="n">
        <v>3</v>
      </c>
      <c r="U32" s="191" t="n">
        <v>0.07</v>
      </c>
      <c r="V32" s="188" t="s">
        <v>589</v>
      </c>
      <c r="W32" s="191"/>
      <c r="X32" s="191"/>
      <c r="Y32" s="194" t="s">
        <v>484</v>
      </c>
      <c r="Z32" s="188" t="s">
        <v>590</v>
      </c>
      <c r="AA32" s="189" t="s">
        <v>591</v>
      </c>
      <c r="AB32" s="189" t="s">
        <v>496</v>
      </c>
      <c r="AC32" s="188" t="s">
        <v>592</v>
      </c>
      <c r="AD32" s="189" t="s">
        <v>489</v>
      </c>
    </row>
    <row r="33" customFormat="false" ht="13.5" hidden="false" customHeight="true" outlineLevel="0" collapsed="false">
      <c r="A33" s="195" t="s">
        <v>593</v>
      </c>
      <c r="B33" s="195" t="s">
        <v>594</v>
      </c>
      <c r="C33" s="196" t="s">
        <v>478</v>
      </c>
      <c r="D33" s="195" t="s">
        <v>595</v>
      </c>
      <c r="E33" s="196" t="s">
        <v>492</v>
      </c>
      <c r="F33" s="197" t="n">
        <v>1.05</v>
      </c>
      <c r="G33" s="198" t="n">
        <v>0</v>
      </c>
      <c r="H33" s="196" t="s">
        <v>481</v>
      </c>
      <c r="I33" s="198" t="n">
        <v>0</v>
      </c>
      <c r="J33" s="198" t="n">
        <v>0</v>
      </c>
      <c r="K33" s="198" t="n">
        <v>0</v>
      </c>
      <c r="L33" s="198" t="n">
        <v>0</v>
      </c>
      <c r="M33" s="198" t="n">
        <v>0</v>
      </c>
      <c r="N33" s="196" t="s">
        <v>493</v>
      </c>
      <c r="O33" s="199" t="n">
        <v>1</v>
      </c>
      <c r="P33" s="199" t="n">
        <v>0</v>
      </c>
      <c r="Q33" s="199" t="n">
        <v>0</v>
      </c>
      <c r="R33" s="200" t="n">
        <v>1000</v>
      </c>
      <c r="S33" s="200" t="n">
        <v>0</v>
      </c>
      <c r="T33" s="199" t="n">
        <v>2</v>
      </c>
      <c r="U33" s="198" t="n">
        <v>0.005</v>
      </c>
      <c r="V33" s="195" t="s">
        <v>483</v>
      </c>
      <c r="W33" s="198"/>
      <c r="X33" s="198"/>
      <c r="Y33" s="201" t="s">
        <v>484</v>
      </c>
      <c r="Z33" s="195" t="s">
        <v>596</v>
      </c>
      <c r="AA33" s="196" t="s">
        <v>495</v>
      </c>
      <c r="AB33" s="196" t="s">
        <v>496</v>
      </c>
      <c r="AC33" s="195" t="s">
        <v>597</v>
      </c>
      <c r="AD33" s="196" t="s">
        <v>598</v>
      </c>
    </row>
    <row r="34" customFormat="false" ht="13.5" hidden="false" customHeight="true" outlineLevel="0" collapsed="false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</row>
    <row r="35" customFormat="false" ht="13.5" hidden="false" customHeight="true" outlineLevel="0" collapsed="false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</row>
    <row r="36" customFormat="false" ht="13.5" hidden="false" customHeight="true" outlineLevel="0" collapsed="false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</row>
    <row r="37" customFormat="false" ht="13.5" hidden="false" customHeight="true" outlineLevel="0" collapsed="false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</row>
    <row r="38" customFormat="false" ht="13.5" hidden="false" customHeight="true" outlineLevel="0" collapsed="false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</row>
    <row r="39" customFormat="false" ht="13.5" hidden="false" customHeight="true" outlineLevel="0" collapsed="false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</row>
    <row r="40" customFormat="false" ht="13.5" hidden="false" customHeight="true" outlineLevel="0" collapsed="false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</row>
    <row r="41" customFormat="false" ht="13.5" hidden="false" customHeight="true" outlineLevel="0" collapsed="false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</row>
    <row r="42" customFormat="false" ht="13.5" hidden="false" customHeight="true" outlineLevel="0" collapsed="false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</row>
    <row r="43" customFormat="false" ht="13.5" hidden="false" customHeight="true" outlineLevel="0" collapsed="false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</row>
    <row r="44" customFormat="false" ht="13.5" hidden="false" customHeight="true" outlineLevel="0" collapsed="false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</row>
    <row r="45" customFormat="false" ht="13.5" hidden="false" customHeight="true" outlineLevel="0" collapsed="false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</row>
    <row r="46" customFormat="false" ht="13.5" hidden="false" customHeight="true" outlineLevel="0" collapsed="false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</row>
    <row r="47" customFormat="false" ht="13.5" hidden="false" customHeight="true" outlineLevel="0" collapsed="false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</row>
    <row r="48" customFormat="false" ht="13.5" hidden="false" customHeight="true" outlineLevel="0" collapsed="false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</row>
    <row r="49" customFormat="false" ht="13.5" hidden="false" customHeight="true" outlineLevel="0" collapsed="false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</row>
    <row r="50" customFormat="false" ht="13.5" hidden="false" customHeight="true" outlineLevel="0" collapsed="false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</row>
    <row r="51" customFormat="false" ht="13.5" hidden="false" customHeight="true" outlineLevel="0" collapsed="false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</row>
    <row r="52" customFormat="false" ht="13.5" hidden="false" customHeight="true" outlineLevel="0" collapsed="false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</row>
    <row r="53" customFormat="false" ht="13.5" hidden="false" customHeight="true" outlineLevel="0" collapsed="false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</row>
    <row r="54" customFormat="false" ht="13.5" hidden="false" customHeight="true" outlineLevel="0" collapsed="false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</row>
    <row r="55" customFormat="false" ht="13.5" hidden="false" customHeight="true" outlineLevel="0" collapsed="false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</row>
    <row r="56" customFormat="false" ht="13.5" hidden="false" customHeight="true" outlineLevel="0" collapsed="false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</row>
    <row r="57" customFormat="false" ht="13.5" hidden="false" customHeight="true" outlineLevel="0" collapsed="false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</row>
    <row r="58" customFormat="false" ht="13.5" hidden="false" customHeight="true" outlineLevel="0" collapsed="false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</row>
    <row r="59" customFormat="false" ht="13.5" hidden="false" customHeight="true" outlineLevel="0" collapsed="false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</row>
    <row r="60" customFormat="false" ht="13.5" hidden="false" customHeight="true" outlineLevel="0" collapsed="false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</row>
    <row r="61" customFormat="false" ht="13.5" hidden="false" customHeight="true" outlineLevel="0" collapsed="false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</row>
    <row r="62" customFormat="false" ht="13.5" hidden="false" customHeight="true" outlineLevel="0" collapsed="false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</row>
    <row r="63" customFormat="false" ht="13.5" hidden="false" customHeight="true" outlineLevel="0" collapsed="false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</row>
    <row r="64" customFormat="false" ht="13.5" hidden="false" customHeight="true" outlineLevel="0" collapsed="false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</row>
    <row r="65" customFormat="false" ht="13.5" hidden="false" customHeight="true" outlineLevel="0" collapsed="false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</row>
    <row r="66" customFormat="false" ht="13.5" hidden="false" customHeight="true" outlineLevel="0" collapsed="false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</row>
    <row r="67" customFormat="false" ht="13.5" hidden="false" customHeight="true" outlineLevel="0" collapsed="false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</row>
    <row r="68" customFormat="false" ht="13.5" hidden="false" customHeight="true" outlineLevel="0" collapsed="false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</row>
    <row r="69" customFormat="false" ht="13.5" hidden="false" customHeight="true" outlineLevel="0" collapsed="false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</row>
    <row r="70" customFormat="false" ht="13.5" hidden="false" customHeight="true" outlineLevel="0" collapsed="false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</row>
    <row r="71" customFormat="false" ht="13.5" hidden="false" customHeight="true" outlineLevel="0" collapsed="false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</row>
    <row r="72" customFormat="false" ht="13.5" hidden="false" customHeight="true" outlineLevel="0" collapsed="false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</row>
    <row r="73" customFormat="false" ht="13.5" hidden="false" customHeight="true" outlineLevel="0" collapsed="false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</row>
    <row r="74" customFormat="false" ht="13.5" hidden="false" customHeight="true" outlineLevel="0" collapsed="false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</row>
    <row r="75" customFormat="false" ht="13.5" hidden="false" customHeight="true" outlineLevel="0" collapsed="false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</row>
    <row r="76" customFormat="false" ht="13.5" hidden="false" customHeight="true" outlineLevel="0" collapsed="false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</row>
    <row r="77" customFormat="false" ht="13.5" hidden="false" customHeight="true" outlineLevel="0" collapsed="false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</row>
    <row r="78" customFormat="false" ht="13.5" hidden="false" customHeight="true" outlineLevel="0" collapsed="false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</row>
  </sheetData>
  <autoFilter ref="A8:AD78"/>
  <mergeCells count="6">
    <mergeCell ref="A1:AD1"/>
    <mergeCell ref="A2:AD2"/>
    <mergeCell ref="A4:AD4"/>
    <mergeCell ref="A5:AD5"/>
    <mergeCell ref="A6:AD6"/>
    <mergeCell ref="A7:AD7"/>
  </mergeCells>
  <conditionalFormatting sqref="A9:AD78">
    <cfRule type="expression" priority="2" aboveAverage="0" equalAverage="0" bottom="0" percent="0" rank="0" text="" dxfId="11">
      <formula>$AB9="EXEMPLO — VERIFICAR"</formula>
    </cfRule>
    <cfRule type="expression" priority="3" aboveAverage="0" equalAverage="0" bottom="0" percent="0" rank="0" text="" dxfId="12">
      <formula>$AB9="DESATUALIZADO"</formula>
    </cfRule>
  </conditionalFormatting>
  <dataValidations count="9">
    <dataValidation allowBlank="true" errorStyle="stop" operator="between" prompt="Escolha a categoria do produto." promptTitle="Categoria" showDropDown="false" showErrorMessage="true" showInputMessage="true" sqref="C9:C78" type="list">
      <formula1>"Renda Fixa,Fundo,Previdência,Imobiliário,Outros"</formula1>
      <formula2>0</formula2>
    </dataValidation>
    <dataValidation allowBlank="true" errorStyle="stop" operator="between" prompt="Deve existir na aba Premissas." promptTitle="Benchmark" showDropDown="false" showErrorMessage="true" showInputMessage="true" sqref="E9:E78" type="list">
      <formula1>Premissas!$B$9:$B$18</formula1>
      <formula2>0</formula2>
    </dataValidation>
    <dataValidation allowBlank="true" errorStyle="stop" operator="between" prompt="MULT para produtos IPCA+; SOMA para os demais." promptTitle="Composição" showDropDown="false" showErrorMessage="true" showInputMessage="true" sqref="H9:H78" type="list">
      <formula1>"SOMA,MULT"</formula1>
      <formula2>0</formula2>
    </dataValidation>
    <dataValidation allowBlank="true" errorStyle="stop" operator="between" prompt="Define como o IR é calculado." promptTitle="Regime tributário" showDropDown="false" showErrorMessage="true" showInputMessage="true" sqref="N9:N78" type="list">
      <formula1>"ISENTO,RF_REGR,FUNDO_CP,FUNDO_LP,FUNDO_ACOES,PREV_REGR,PREV_PROG,IMOVEL"</formula1>
      <formula2>0</formula2>
    </dataValidation>
    <dataValidation allowBlank="true" errorStyle="stop" operator="between" prompt="1 = só o rendimento · 2 = o valor total (PGBL)." promptTitle="Base tributável" showDropDown="false" showErrorMessage="true" showInputMessage="true" sqref="O9:O78" type="list">
      <formula1>"1,2"</formula1>
      <formula2>0</formula2>
    </dataValidation>
    <dataValidation allowBlank="true" errorStyle="stop" operator="between" prompt="1 = muito baixo … 5 = muito alto." promptTitle="Risco" showDropDown="false" showErrorMessage="true" showInputMessage="true" sqref="T9:T78" type="list">
      <formula1>"1,2,3,4,5"</formula1>
      <formula2>0</formula2>
    </dataValidation>
    <dataValidation allowBlank="true" errorStyle="stop" operator="between" prompt="Diga de que natureza é o dado — evita tratar dado velho como tempo real." promptTitle="Tipo de dado" showDropDown="false" showErrorMessage="true" showInputMessage="true" sqref="AA9:AA78" type="list">
      <formula1>"Tempo real,Diário (D+1),Mensal,Histórico,Cadastral,Premissa,Calculado"</formula1>
      <formula2>0</formula2>
    </dataValidation>
    <dataValidation allowBlank="true" errorStyle="stop" operator="between" prompt="Controle de confiabilidade do cadastro." promptTitle="Status" showDropDown="false" showErrorMessage="true" showInputMessage="true" sqref="AB9:AB78" type="list">
      <formula1>"VERIFICADO,EXEMPLO — VERIFICAR,DESATUALIZADO"</formula1>
      <formula2>0</formula2>
    </dataValidation>
    <dataValidation allowBlank="true" errorStyle="stop" operator="between" prompt="SIM coloca o produto em uso nas simulações." promptTitle="Ativo" showDropDown="false" showErrorMessage="true" showInputMessage="true" sqref="AD9:AD78" type="list">
      <formula1>"SIM,NÃO"</formula1>
      <formula2>0</formula2>
    </dataValidation>
  </dataValidations>
  <hyperlinks>
    <hyperlink ref="AF1" location="Inicio!A1" display="◀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30C"/>
    <pageSetUpPr fitToPage="false"/>
  </sheetPr>
  <dimension ref="A1:J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3" t="s">
        <v>599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8" hidden="false" customHeight="true" outlineLevel="0" collapsed="false">
      <c r="A2" s="14" t="s">
        <v>600</v>
      </c>
      <c r="B2" s="14"/>
      <c r="C2" s="14"/>
      <c r="D2" s="14"/>
      <c r="E2" s="14"/>
      <c r="F2" s="14"/>
      <c r="G2" s="14"/>
      <c r="H2" s="14"/>
      <c r="I2" s="14"/>
      <c r="J2" s="14"/>
    </row>
    <row r="4" customFormat="false" ht="15" hidden="false" customHeight="false" outlineLevel="0" collapsed="false">
      <c r="A4" s="203" t="s">
        <v>31</v>
      </c>
      <c r="B4" s="58" t="s">
        <v>484</v>
      </c>
      <c r="J4" s="94" t="s">
        <v>84</v>
      </c>
    </row>
    <row r="5" customFormat="false" ht="15" hidden="false" customHeight="false" outlineLevel="0" collapsed="false">
      <c r="A5" s="203" t="s">
        <v>601</v>
      </c>
      <c r="B5" s="58" t="s">
        <v>40</v>
      </c>
    </row>
    <row r="6" customFormat="false" ht="21.75" hidden="false" customHeight="true" outlineLevel="0" collapsed="false">
      <c r="A6" s="3" t="s">
        <v>602</v>
      </c>
      <c r="B6" s="3"/>
      <c r="C6" s="3"/>
      <c r="D6" s="3"/>
      <c r="E6" s="3"/>
      <c r="F6" s="3"/>
      <c r="G6" s="3"/>
      <c r="H6" s="3"/>
      <c r="I6" s="3"/>
      <c r="J6" s="3"/>
    </row>
    <row r="8" customFormat="false" ht="30" hidden="false" customHeight="true" outlineLevel="0" collapsed="false">
      <c r="A8" s="34" t="s">
        <v>603</v>
      </c>
      <c r="B8" s="34" t="s">
        <v>604</v>
      </c>
      <c r="C8" s="34" t="s">
        <v>605</v>
      </c>
      <c r="D8" s="34" t="s">
        <v>113</v>
      </c>
      <c r="E8" s="34" t="s">
        <v>606</v>
      </c>
      <c r="F8" s="34" t="s">
        <v>607</v>
      </c>
      <c r="G8" s="34" t="s">
        <v>370</v>
      </c>
      <c r="H8" s="34" t="s">
        <v>173</v>
      </c>
      <c r="I8" s="34" t="s">
        <v>172</v>
      </c>
      <c r="J8" s="34" t="s">
        <v>266</v>
      </c>
    </row>
    <row r="9" customFormat="false" ht="15" hidden="false" customHeight="false" outlineLevel="0" collapsed="false">
      <c r="A9" s="118" t="s">
        <v>608</v>
      </c>
      <c r="B9" s="120" t="s">
        <v>516</v>
      </c>
      <c r="C9" s="204" t="n">
        <v>0.08</v>
      </c>
      <c r="D9" s="204" t="n">
        <v>0.11</v>
      </c>
      <c r="E9" s="204" t="n">
        <v>0.13</v>
      </c>
      <c r="F9" s="205" t="n">
        <f aca="false">INDEX(C9:E9,MATCH(CENARIO,$C$8:$E$8,0))</f>
        <v>0.11</v>
      </c>
      <c r="G9" s="206" t="s">
        <v>481</v>
      </c>
      <c r="H9" s="207" t="s">
        <v>609</v>
      </c>
      <c r="I9" s="208" t="s">
        <v>518</v>
      </c>
      <c r="J9" s="209"/>
    </row>
    <row r="10" customFormat="false" ht="15" hidden="false" customHeight="false" outlineLevel="0" collapsed="false">
      <c r="A10" s="118" t="s">
        <v>610</v>
      </c>
      <c r="B10" s="120" t="s">
        <v>492</v>
      </c>
      <c r="C10" s="210" t="n">
        <f aca="false">C9-0.001</f>
        <v>0.079</v>
      </c>
      <c r="D10" s="210" t="n">
        <f aca="false">D9-0.001</f>
        <v>0.109</v>
      </c>
      <c r="E10" s="210" t="n">
        <f aca="false">E9-0.001</f>
        <v>0.129</v>
      </c>
      <c r="F10" s="205" t="n">
        <f aca="false">INDEX(C10:E10,MATCH(CENARIO,$C$8:$E$8,0))</f>
        <v>0.109</v>
      </c>
      <c r="G10" s="206" t="s">
        <v>481</v>
      </c>
      <c r="H10" s="207" t="s">
        <v>611</v>
      </c>
      <c r="I10" s="208" t="s">
        <v>518</v>
      </c>
      <c r="J10" s="207" t="s">
        <v>612</v>
      </c>
    </row>
    <row r="11" customFormat="false" ht="15" hidden="false" customHeight="false" outlineLevel="0" collapsed="false">
      <c r="A11" s="118" t="s">
        <v>613</v>
      </c>
      <c r="B11" s="120" t="s">
        <v>522</v>
      </c>
      <c r="C11" s="204" t="n">
        <v>0.055</v>
      </c>
      <c r="D11" s="204" t="n">
        <v>0.04</v>
      </c>
      <c r="E11" s="204" t="n">
        <v>0.035</v>
      </c>
      <c r="F11" s="205" t="n">
        <f aca="false">INDEX(C11:E11,MATCH(CENARIO,$C$8:$E$8,0))</f>
        <v>0.04</v>
      </c>
      <c r="G11" s="206" t="s">
        <v>523</v>
      </c>
      <c r="H11" s="207" t="s">
        <v>614</v>
      </c>
      <c r="I11" s="208" t="s">
        <v>591</v>
      </c>
      <c r="J11" s="209"/>
    </row>
    <row r="12" customFormat="false" ht="15" hidden="false" customHeight="false" outlineLevel="0" collapsed="false">
      <c r="A12" s="118" t="s">
        <v>615</v>
      </c>
      <c r="B12" s="120" t="s">
        <v>616</v>
      </c>
      <c r="C12" s="204" t="n">
        <v>0.005</v>
      </c>
      <c r="D12" s="204" t="n">
        <v>0.01</v>
      </c>
      <c r="E12" s="204" t="n">
        <v>0.016</v>
      </c>
      <c r="F12" s="205" t="n">
        <f aca="false">INDEX(C12:E12,MATCH(CENARIO,$C$8:$E$8,0))</f>
        <v>0.01</v>
      </c>
      <c r="G12" s="206" t="s">
        <v>481</v>
      </c>
      <c r="H12" s="207" t="s">
        <v>617</v>
      </c>
      <c r="I12" s="208" t="s">
        <v>618</v>
      </c>
      <c r="J12" s="209"/>
    </row>
    <row r="13" customFormat="false" ht="15" hidden="false" customHeight="false" outlineLevel="0" collapsed="false">
      <c r="A13" s="118" t="s">
        <v>619</v>
      </c>
      <c r="B13" s="120" t="s">
        <v>480</v>
      </c>
      <c r="C13" s="210" t="n">
        <f aca="false">IF(C9&gt;0.085,1.005^12-1+C12,0.7*C9+C12)</f>
        <v>0.061</v>
      </c>
      <c r="D13" s="210" t="n">
        <f aca="false">IF(D9&gt;0.085,1.005^12-1+D12,0.7*D9+D12)</f>
        <v>0.0716778118644983</v>
      </c>
      <c r="E13" s="210" t="n">
        <f aca="false">IF(E9&gt;0.085,1.005^12-1+E12,0.7*E9+E12)</f>
        <v>0.0776778118644983</v>
      </c>
      <c r="F13" s="205" t="n">
        <f aca="false">INDEX(C13:E13,MATCH(CENARIO,$C$8:$E$8,0))</f>
        <v>0.0716778118644983</v>
      </c>
      <c r="G13" s="206" t="s">
        <v>481</v>
      </c>
      <c r="H13" s="207" t="s">
        <v>620</v>
      </c>
      <c r="I13" s="208" t="s">
        <v>486</v>
      </c>
      <c r="J13" s="207" t="s">
        <v>621</v>
      </c>
    </row>
    <row r="14" customFormat="false" ht="15" hidden="false" customHeight="false" outlineLevel="0" collapsed="false">
      <c r="A14" s="118" t="s">
        <v>622</v>
      </c>
      <c r="B14" s="120" t="s">
        <v>527</v>
      </c>
      <c r="C14" s="204" t="n">
        <v>0</v>
      </c>
      <c r="D14" s="204" t="n">
        <v>0</v>
      </c>
      <c r="E14" s="204" t="n">
        <v>0</v>
      </c>
      <c r="F14" s="205" t="n">
        <f aca="false">INDEX(C14:E14,MATCH(CENARIO,$C$8:$E$8,0))</f>
        <v>0</v>
      </c>
      <c r="G14" s="206" t="s">
        <v>481</v>
      </c>
      <c r="H14" s="207" t="s">
        <v>623</v>
      </c>
      <c r="I14" s="208" t="s">
        <v>495</v>
      </c>
      <c r="J14" s="209"/>
    </row>
    <row r="15" customFormat="false" ht="15" hidden="false" customHeight="false" outlineLevel="0" collapsed="false">
      <c r="A15" s="118" t="s">
        <v>624</v>
      </c>
      <c r="B15" s="120" t="s">
        <v>551</v>
      </c>
      <c r="C15" s="204" t="n">
        <v>0.04</v>
      </c>
      <c r="D15" s="204" t="n">
        <v>0.1</v>
      </c>
      <c r="E15" s="204" t="n">
        <v>0.16</v>
      </c>
      <c r="F15" s="205" t="n">
        <f aca="false">INDEX(C15:E15,MATCH(CENARIO,$C$8:$E$8,0))</f>
        <v>0.1</v>
      </c>
      <c r="G15" s="206" t="s">
        <v>481</v>
      </c>
      <c r="H15" s="207" t="s">
        <v>625</v>
      </c>
      <c r="I15" s="208" t="s">
        <v>626</v>
      </c>
      <c r="J15" s="209"/>
    </row>
    <row r="16" customFormat="false" ht="15" hidden="false" customHeight="false" outlineLevel="0" collapsed="false">
      <c r="A16" s="118" t="s">
        <v>627</v>
      </c>
      <c r="B16" s="120" t="s">
        <v>559</v>
      </c>
      <c r="C16" s="204" t="n">
        <v>0.02</v>
      </c>
      <c r="D16" s="204" t="n">
        <v>0.04</v>
      </c>
      <c r="E16" s="204" t="n">
        <v>0.08</v>
      </c>
      <c r="F16" s="205" t="n">
        <f aca="false">INDEX(C16:E16,MATCH(CENARIO,$C$8:$E$8,0))</f>
        <v>0.04</v>
      </c>
      <c r="G16" s="206" t="s">
        <v>481</v>
      </c>
      <c r="H16" s="207" t="s">
        <v>628</v>
      </c>
      <c r="I16" s="208" t="s">
        <v>626</v>
      </c>
      <c r="J16" s="209"/>
    </row>
    <row r="17" customFormat="false" ht="15" hidden="false" customHeight="false" outlineLevel="0" collapsed="false">
      <c r="A17" s="118" t="s">
        <v>629</v>
      </c>
      <c r="B17" s="120" t="s">
        <v>587</v>
      </c>
      <c r="C17" s="204" t="n">
        <v>0.02</v>
      </c>
      <c r="D17" s="204" t="n">
        <v>0.04</v>
      </c>
      <c r="E17" s="204" t="n">
        <v>0.07</v>
      </c>
      <c r="F17" s="205" t="n">
        <f aca="false">INDEX(C17:E17,MATCH(CENARIO,$C$8:$E$8,0))</f>
        <v>0.04</v>
      </c>
      <c r="G17" s="206" t="s">
        <v>481</v>
      </c>
      <c r="H17" s="207" t="s">
        <v>630</v>
      </c>
      <c r="I17" s="208" t="s">
        <v>591</v>
      </c>
      <c r="J17" s="209"/>
    </row>
    <row r="18" customFormat="false" ht="15" hidden="false" customHeight="false" outlineLevel="0" collapsed="false">
      <c r="A18" s="118" t="s">
        <v>631</v>
      </c>
      <c r="B18" s="120" t="s">
        <v>632</v>
      </c>
      <c r="C18" s="204" t="n">
        <v>0.05</v>
      </c>
      <c r="D18" s="204" t="n">
        <v>0.06</v>
      </c>
      <c r="E18" s="204" t="n">
        <v>0.07</v>
      </c>
      <c r="F18" s="205" t="n">
        <f aca="false">INDEX(C18:E18,MATCH(CENARIO,$C$8:$E$8,0))</f>
        <v>0.06</v>
      </c>
      <c r="G18" s="206" t="s">
        <v>481</v>
      </c>
      <c r="H18" s="207" t="s">
        <v>633</v>
      </c>
      <c r="I18" s="208" t="s">
        <v>591</v>
      </c>
      <c r="J18" s="209"/>
    </row>
    <row r="19" customFormat="false" ht="18" hidden="false" customHeight="true" outlineLevel="0" collapsed="false">
      <c r="A19" s="18" t="s">
        <v>634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21.75" hidden="false" customHeight="true" outlineLevel="0" collapsed="false">
      <c r="A20" s="3" t="s">
        <v>635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18" t="s">
        <v>636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25.5" hidden="false" customHeight="true" outlineLevel="0" collapsed="false">
      <c r="A22" s="34" t="s">
        <v>637</v>
      </c>
      <c r="B22" s="34" t="s">
        <v>482</v>
      </c>
      <c r="C22" s="34" t="s">
        <v>493</v>
      </c>
      <c r="D22" s="34" t="s">
        <v>560</v>
      </c>
      <c r="E22" s="34" t="s">
        <v>533</v>
      </c>
      <c r="F22" s="34" t="s">
        <v>552</v>
      </c>
      <c r="G22" s="34" t="s">
        <v>566</v>
      </c>
      <c r="H22" s="34" t="s">
        <v>572</v>
      </c>
    </row>
    <row r="23" customFormat="false" ht="15" hidden="false" customHeight="false" outlineLevel="0" collapsed="false">
      <c r="A23" s="211" t="n">
        <v>0</v>
      </c>
      <c r="B23" s="212" t="n">
        <v>0</v>
      </c>
      <c r="C23" s="212" t="n">
        <v>0.225</v>
      </c>
      <c r="D23" s="212" t="n">
        <v>0.225</v>
      </c>
      <c r="E23" s="212" t="n">
        <v>0.225</v>
      </c>
      <c r="F23" s="212" t="n">
        <v>0.15</v>
      </c>
      <c r="G23" s="212" t="n">
        <v>0.35</v>
      </c>
      <c r="H23" s="212" t="n">
        <v>0.15</v>
      </c>
    </row>
    <row r="24" customFormat="false" ht="15" hidden="false" customHeight="false" outlineLevel="0" collapsed="false">
      <c r="A24" s="211" t="n">
        <v>181</v>
      </c>
      <c r="B24" s="212" t="n">
        <v>0</v>
      </c>
      <c r="C24" s="212" t="n">
        <v>0.2</v>
      </c>
      <c r="D24" s="212" t="n">
        <v>0.2</v>
      </c>
      <c r="E24" s="212" t="n">
        <v>0.2</v>
      </c>
      <c r="F24" s="212" t="n">
        <v>0.15</v>
      </c>
      <c r="G24" s="212" t="n">
        <v>0.35</v>
      </c>
      <c r="H24" s="212" t="n">
        <v>0.15</v>
      </c>
    </row>
    <row r="25" customFormat="false" ht="15" hidden="false" customHeight="false" outlineLevel="0" collapsed="false">
      <c r="A25" s="211" t="n">
        <v>361</v>
      </c>
      <c r="B25" s="212" t="n">
        <v>0</v>
      </c>
      <c r="C25" s="212" t="n">
        <v>0.175</v>
      </c>
      <c r="D25" s="212" t="n">
        <v>0.2</v>
      </c>
      <c r="E25" s="212" t="n">
        <v>0.175</v>
      </c>
      <c r="F25" s="212" t="n">
        <v>0.15</v>
      </c>
      <c r="G25" s="212" t="n">
        <v>0.35</v>
      </c>
      <c r="H25" s="212" t="n">
        <v>0.15</v>
      </c>
    </row>
    <row r="26" customFormat="false" ht="15" hidden="false" customHeight="false" outlineLevel="0" collapsed="false">
      <c r="A26" s="211" t="n">
        <v>721</v>
      </c>
      <c r="B26" s="212" t="n">
        <v>0</v>
      </c>
      <c r="C26" s="212" t="n">
        <v>0.15</v>
      </c>
      <c r="D26" s="212" t="n">
        <v>0.2</v>
      </c>
      <c r="E26" s="212" t="n">
        <v>0.15</v>
      </c>
      <c r="F26" s="212" t="n">
        <v>0.15</v>
      </c>
      <c r="G26" s="212" t="n">
        <v>0.3</v>
      </c>
      <c r="H26" s="212" t="n">
        <v>0.15</v>
      </c>
    </row>
    <row r="27" customFormat="false" ht="15" hidden="false" customHeight="false" outlineLevel="0" collapsed="false">
      <c r="A27" s="211" t="n">
        <v>1441</v>
      </c>
      <c r="B27" s="212" t="n">
        <v>0</v>
      </c>
      <c r="C27" s="212" t="n">
        <v>0.15</v>
      </c>
      <c r="D27" s="212" t="n">
        <v>0.2</v>
      </c>
      <c r="E27" s="212" t="n">
        <v>0.15</v>
      </c>
      <c r="F27" s="212" t="n">
        <v>0.15</v>
      </c>
      <c r="G27" s="212" t="n">
        <v>0.25</v>
      </c>
      <c r="H27" s="212" t="n">
        <v>0.15</v>
      </c>
    </row>
    <row r="28" customFormat="false" ht="15" hidden="false" customHeight="false" outlineLevel="0" collapsed="false">
      <c r="A28" s="211" t="n">
        <v>2161</v>
      </c>
      <c r="B28" s="212" t="n">
        <v>0</v>
      </c>
      <c r="C28" s="212" t="n">
        <v>0.15</v>
      </c>
      <c r="D28" s="212" t="n">
        <v>0.2</v>
      </c>
      <c r="E28" s="212" t="n">
        <v>0.15</v>
      </c>
      <c r="F28" s="212" t="n">
        <v>0.15</v>
      </c>
      <c r="G28" s="212" t="n">
        <v>0.2</v>
      </c>
      <c r="H28" s="212" t="n">
        <v>0.15</v>
      </c>
    </row>
    <row r="29" customFormat="false" ht="15" hidden="false" customHeight="false" outlineLevel="0" collapsed="false">
      <c r="A29" s="211" t="n">
        <v>2881</v>
      </c>
      <c r="B29" s="212" t="n">
        <v>0</v>
      </c>
      <c r="C29" s="212" t="n">
        <v>0.15</v>
      </c>
      <c r="D29" s="212" t="n">
        <v>0.2</v>
      </c>
      <c r="E29" s="212" t="n">
        <v>0.15</v>
      </c>
      <c r="F29" s="212" t="n">
        <v>0.15</v>
      </c>
      <c r="G29" s="212" t="n">
        <v>0.15</v>
      </c>
      <c r="H29" s="212" t="n">
        <v>0.15</v>
      </c>
    </row>
    <row r="30" customFormat="false" ht="15" hidden="false" customHeight="false" outlineLevel="0" collapsed="false">
      <c r="A30" s="211" t="n">
        <v>3601</v>
      </c>
      <c r="B30" s="212" t="n">
        <v>0</v>
      </c>
      <c r="C30" s="212" t="n">
        <v>0.15</v>
      </c>
      <c r="D30" s="212" t="n">
        <v>0.2</v>
      </c>
      <c r="E30" s="212" t="n">
        <v>0.15</v>
      </c>
      <c r="F30" s="212" t="n">
        <v>0.15</v>
      </c>
      <c r="G30" s="212" t="n">
        <v>0.1</v>
      </c>
      <c r="H30" s="212" t="n">
        <v>0.15</v>
      </c>
    </row>
    <row r="32" customFormat="false" ht="21.75" hidden="false" customHeight="true" outlineLevel="0" collapsed="false">
      <c r="A32" s="3" t="s">
        <v>638</v>
      </c>
      <c r="B32" s="3"/>
      <c r="C32" s="3"/>
      <c r="D32" s="3"/>
      <c r="E32" s="3"/>
      <c r="F32" s="3"/>
      <c r="G32" s="3"/>
      <c r="H32" s="3"/>
      <c r="I32" s="3"/>
      <c r="J32" s="3"/>
    </row>
    <row r="33" customFormat="false" ht="25.5" hidden="false" customHeight="true" outlineLevel="0" collapsed="false">
      <c r="A33" s="34" t="s">
        <v>281</v>
      </c>
      <c r="B33" s="34" t="s">
        <v>379</v>
      </c>
      <c r="C33" s="34" t="s">
        <v>639</v>
      </c>
      <c r="D33" s="34"/>
      <c r="E33" s="34"/>
      <c r="F33" s="34"/>
      <c r="G33" s="34"/>
      <c r="H33" s="34" t="s">
        <v>640</v>
      </c>
      <c r="I33" s="34"/>
      <c r="J33" s="34"/>
    </row>
    <row r="34" customFormat="false" ht="15" hidden="false" customHeight="false" outlineLevel="0" collapsed="false">
      <c r="A34" s="123" t="s">
        <v>482</v>
      </c>
      <c r="B34" s="153" t="n">
        <v>0</v>
      </c>
      <c r="C34" s="212" t="n">
        <v>0</v>
      </c>
      <c r="H34" s="207" t="s">
        <v>641</v>
      </c>
    </row>
    <row r="35" customFormat="false" ht="15" hidden="false" customHeight="false" outlineLevel="0" collapsed="false">
      <c r="A35" s="123" t="s">
        <v>493</v>
      </c>
      <c r="B35" s="153" t="n">
        <v>0</v>
      </c>
      <c r="C35" s="212" t="n">
        <v>0</v>
      </c>
      <c r="H35" s="207" t="s">
        <v>642</v>
      </c>
    </row>
    <row r="36" customFormat="false" ht="15" hidden="false" customHeight="false" outlineLevel="0" collapsed="false">
      <c r="A36" s="123" t="s">
        <v>560</v>
      </c>
      <c r="B36" s="153" t="n">
        <v>1</v>
      </c>
      <c r="C36" s="212" t="n">
        <v>0.2</v>
      </c>
      <c r="H36" s="207" t="s">
        <v>643</v>
      </c>
    </row>
    <row r="37" customFormat="false" ht="15" hidden="false" customHeight="false" outlineLevel="0" collapsed="false">
      <c r="A37" s="123" t="s">
        <v>533</v>
      </c>
      <c r="B37" s="153" t="n">
        <v>1</v>
      </c>
      <c r="C37" s="212" t="n">
        <v>0.15</v>
      </c>
      <c r="H37" s="207" t="s">
        <v>644</v>
      </c>
    </row>
    <row r="38" customFormat="false" ht="15" hidden="false" customHeight="false" outlineLevel="0" collapsed="false">
      <c r="A38" s="123" t="s">
        <v>552</v>
      </c>
      <c r="B38" s="153" t="n">
        <v>0</v>
      </c>
      <c r="C38" s="212" t="n">
        <v>0</v>
      </c>
      <c r="H38" s="207" t="s">
        <v>645</v>
      </c>
    </row>
    <row r="39" customFormat="false" ht="15" hidden="false" customHeight="false" outlineLevel="0" collapsed="false">
      <c r="A39" s="123" t="s">
        <v>566</v>
      </c>
      <c r="B39" s="153" t="n">
        <v>0</v>
      </c>
      <c r="C39" s="212" t="n">
        <v>0</v>
      </c>
      <c r="H39" s="207" t="s">
        <v>646</v>
      </c>
    </row>
    <row r="40" customFormat="false" ht="15" hidden="false" customHeight="false" outlineLevel="0" collapsed="false">
      <c r="A40" s="123" t="s">
        <v>572</v>
      </c>
      <c r="B40" s="153" t="n">
        <v>0</v>
      </c>
      <c r="C40" s="212" t="n">
        <v>0</v>
      </c>
      <c r="H40" s="207" t="s">
        <v>647</v>
      </c>
    </row>
    <row r="42" customFormat="false" ht="21.75" hidden="false" customHeight="true" outlineLevel="0" collapsed="false">
      <c r="A42" s="3" t="s">
        <v>648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21.75" hidden="false" customHeight="true" outlineLevel="0" collapsed="false">
      <c r="A43" s="34" t="s">
        <v>178</v>
      </c>
      <c r="B43" s="34" t="s">
        <v>649</v>
      </c>
      <c r="C43" s="34"/>
      <c r="D43" s="34"/>
      <c r="E43" s="34"/>
      <c r="F43" s="34"/>
      <c r="G43" s="34"/>
      <c r="H43" s="34"/>
      <c r="I43" s="34"/>
      <c r="J43" s="34"/>
    </row>
    <row r="44" customFormat="false" ht="12" hidden="false" customHeight="true" outlineLevel="0" collapsed="false">
      <c r="A44" s="174" t="n">
        <v>1</v>
      </c>
      <c r="B44" s="213" t="n">
        <v>0.96</v>
      </c>
      <c r="H44" s="185" t="s">
        <v>650</v>
      </c>
    </row>
    <row r="45" customFormat="false" ht="12" hidden="false" customHeight="true" outlineLevel="0" collapsed="false">
      <c r="A45" s="174" t="n">
        <v>2</v>
      </c>
      <c r="B45" s="213" t="n">
        <v>0.93</v>
      </c>
    </row>
    <row r="46" customFormat="false" ht="12" hidden="false" customHeight="true" outlineLevel="0" collapsed="false">
      <c r="A46" s="174" t="n">
        <v>3</v>
      </c>
      <c r="B46" s="213" t="n">
        <v>0.9</v>
      </c>
    </row>
    <row r="47" customFormat="false" ht="12" hidden="false" customHeight="true" outlineLevel="0" collapsed="false">
      <c r="A47" s="174" t="n">
        <v>4</v>
      </c>
      <c r="B47" s="213" t="n">
        <v>0.86</v>
      </c>
    </row>
    <row r="48" customFormat="false" ht="12" hidden="false" customHeight="true" outlineLevel="0" collapsed="false">
      <c r="A48" s="174" t="n">
        <v>5</v>
      </c>
      <c r="B48" s="213" t="n">
        <v>0.83</v>
      </c>
    </row>
    <row r="49" customFormat="false" ht="12" hidden="false" customHeight="true" outlineLevel="0" collapsed="false">
      <c r="A49" s="174" t="n">
        <v>6</v>
      </c>
      <c r="B49" s="213" t="n">
        <v>0.8</v>
      </c>
    </row>
    <row r="50" customFormat="false" ht="12" hidden="false" customHeight="true" outlineLevel="0" collapsed="false">
      <c r="A50" s="174" t="n">
        <v>7</v>
      </c>
      <c r="B50" s="213" t="n">
        <v>0.76</v>
      </c>
    </row>
    <row r="51" customFormat="false" ht="12" hidden="false" customHeight="true" outlineLevel="0" collapsed="false">
      <c r="A51" s="174" t="n">
        <v>8</v>
      </c>
      <c r="B51" s="213" t="n">
        <v>0.73</v>
      </c>
    </row>
    <row r="52" customFormat="false" ht="12" hidden="false" customHeight="true" outlineLevel="0" collapsed="false">
      <c r="A52" s="174" t="n">
        <v>9</v>
      </c>
      <c r="B52" s="213" t="n">
        <v>0.7</v>
      </c>
    </row>
    <row r="53" customFormat="false" ht="12" hidden="false" customHeight="true" outlineLevel="0" collapsed="false">
      <c r="A53" s="174" t="n">
        <v>10</v>
      </c>
      <c r="B53" s="213" t="n">
        <v>0.66</v>
      </c>
    </row>
    <row r="54" customFormat="false" ht="12" hidden="false" customHeight="true" outlineLevel="0" collapsed="false">
      <c r="A54" s="174" t="n">
        <v>11</v>
      </c>
      <c r="B54" s="213" t="n">
        <v>0.63</v>
      </c>
    </row>
    <row r="55" customFormat="false" ht="12" hidden="false" customHeight="true" outlineLevel="0" collapsed="false">
      <c r="A55" s="174" t="n">
        <v>12</v>
      </c>
      <c r="B55" s="213" t="n">
        <v>0.6</v>
      </c>
    </row>
    <row r="56" customFormat="false" ht="12" hidden="false" customHeight="true" outlineLevel="0" collapsed="false">
      <c r="A56" s="174" t="n">
        <v>13</v>
      </c>
      <c r="B56" s="213" t="n">
        <v>0.56</v>
      </c>
    </row>
    <row r="57" customFormat="false" ht="12" hidden="false" customHeight="true" outlineLevel="0" collapsed="false">
      <c r="A57" s="174" t="n">
        <v>14</v>
      </c>
      <c r="B57" s="213" t="n">
        <v>0.53</v>
      </c>
    </row>
    <row r="58" customFormat="false" ht="12" hidden="false" customHeight="true" outlineLevel="0" collapsed="false">
      <c r="A58" s="174" t="n">
        <v>15</v>
      </c>
      <c r="B58" s="213" t="n">
        <v>0.5</v>
      </c>
    </row>
    <row r="59" customFormat="false" ht="12" hidden="false" customHeight="true" outlineLevel="0" collapsed="false">
      <c r="A59" s="174" t="n">
        <v>16</v>
      </c>
      <c r="B59" s="213" t="n">
        <v>0.46</v>
      </c>
    </row>
    <row r="60" customFormat="false" ht="12" hidden="false" customHeight="true" outlineLevel="0" collapsed="false">
      <c r="A60" s="174" t="n">
        <v>17</v>
      </c>
      <c r="B60" s="213" t="n">
        <v>0.43</v>
      </c>
    </row>
    <row r="61" customFormat="false" ht="12" hidden="false" customHeight="true" outlineLevel="0" collapsed="false">
      <c r="A61" s="174" t="n">
        <v>18</v>
      </c>
      <c r="B61" s="213" t="n">
        <v>0.4</v>
      </c>
    </row>
    <row r="62" customFormat="false" ht="12" hidden="false" customHeight="true" outlineLevel="0" collapsed="false">
      <c r="A62" s="174" t="n">
        <v>19</v>
      </c>
      <c r="B62" s="213" t="n">
        <v>0.36</v>
      </c>
    </row>
    <row r="63" customFormat="false" ht="12" hidden="false" customHeight="true" outlineLevel="0" collapsed="false">
      <c r="A63" s="174" t="n">
        <v>20</v>
      </c>
      <c r="B63" s="213" t="n">
        <v>0.33</v>
      </c>
    </row>
    <row r="64" customFormat="false" ht="12" hidden="false" customHeight="true" outlineLevel="0" collapsed="false">
      <c r="A64" s="174" t="n">
        <v>21</v>
      </c>
      <c r="B64" s="213" t="n">
        <v>0.3</v>
      </c>
    </row>
    <row r="65" customFormat="false" ht="12" hidden="false" customHeight="true" outlineLevel="0" collapsed="false">
      <c r="A65" s="174" t="n">
        <v>22</v>
      </c>
      <c r="B65" s="213" t="n">
        <v>0.26</v>
      </c>
    </row>
    <row r="66" customFormat="false" ht="12" hidden="false" customHeight="true" outlineLevel="0" collapsed="false">
      <c r="A66" s="174" t="n">
        <v>23</v>
      </c>
      <c r="B66" s="213" t="n">
        <v>0.23</v>
      </c>
    </row>
    <row r="67" customFormat="false" ht="12" hidden="false" customHeight="true" outlineLevel="0" collapsed="false">
      <c r="A67" s="174" t="n">
        <v>24</v>
      </c>
      <c r="B67" s="213" t="n">
        <v>0.2</v>
      </c>
    </row>
    <row r="68" customFormat="false" ht="12" hidden="false" customHeight="true" outlineLevel="0" collapsed="false">
      <c r="A68" s="174" t="n">
        <v>25</v>
      </c>
      <c r="B68" s="213" t="n">
        <v>0.16</v>
      </c>
    </row>
    <row r="69" customFormat="false" ht="12" hidden="false" customHeight="true" outlineLevel="0" collapsed="false">
      <c r="A69" s="174" t="n">
        <v>26</v>
      </c>
      <c r="B69" s="213" t="n">
        <v>0.13</v>
      </c>
    </row>
    <row r="70" customFormat="false" ht="12" hidden="false" customHeight="true" outlineLevel="0" collapsed="false">
      <c r="A70" s="174" t="n">
        <v>27</v>
      </c>
      <c r="B70" s="213" t="n">
        <v>0.1</v>
      </c>
    </row>
    <row r="71" customFormat="false" ht="12" hidden="false" customHeight="true" outlineLevel="0" collapsed="false">
      <c r="A71" s="174" t="n">
        <v>28</v>
      </c>
      <c r="B71" s="213" t="n">
        <v>0.06</v>
      </c>
    </row>
    <row r="72" customFormat="false" ht="12" hidden="false" customHeight="true" outlineLevel="0" collapsed="false">
      <c r="A72" s="174" t="n">
        <v>29</v>
      </c>
      <c r="B72" s="213" t="n">
        <v>0.03</v>
      </c>
    </row>
    <row r="73" customFormat="false" ht="12" hidden="false" customHeight="true" outlineLevel="0" collapsed="false">
      <c r="A73" s="174" t="n">
        <v>30</v>
      </c>
      <c r="B73" s="213" t="n">
        <v>0</v>
      </c>
    </row>
    <row r="75" customFormat="false" ht="21.75" hidden="false" customHeight="true" outlineLevel="0" collapsed="false">
      <c r="A75" s="3" t="s">
        <v>651</v>
      </c>
      <c r="B75" s="3"/>
      <c r="C75" s="3"/>
      <c r="D75" s="3"/>
      <c r="E75" s="3"/>
      <c r="F75" s="3"/>
      <c r="G75" s="3"/>
      <c r="H75" s="3"/>
      <c r="I75" s="3"/>
      <c r="J75" s="3"/>
    </row>
    <row r="76" customFormat="false" ht="25.5" hidden="false" customHeight="true" outlineLevel="0" collapsed="false">
      <c r="A76" s="34" t="s">
        <v>652</v>
      </c>
      <c r="B76" s="34" t="s">
        <v>639</v>
      </c>
      <c r="C76" s="34" t="s">
        <v>653</v>
      </c>
      <c r="D76" s="34"/>
      <c r="E76" s="34"/>
      <c r="F76" s="34"/>
      <c r="G76" s="34"/>
      <c r="H76" s="34" t="s">
        <v>173</v>
      </c>
      <c r="I76" s="34"/>
      <c r="J76" s="34"/>
    </row>
    <row r="77" customFormat="false" ht="15" hidden="false" customHeight="false" outlineLevel="0" collapsed="false">
      <c r="A77" s="214" t="n">
        <v>0</v>
      </c>
      <c r="B77" s="212" t="n">
        <v>0</v>
      </c>
      <c r="C77" s="214" t="n">
        <v>0</v>
      </c>
      <c r="H77" s="215" t="s">
        <v>654</v>
      </c>
    </row>
    <row r="78" customFormat="false" ht="15" hidden="false" customHeight="false" outlineLevel="0" collapsed="false">
      <c r="A78" s="214" t="n">
        <v>2428.81</v>
      </c>
      <c r="B78" s="212" t="n">
        <v>0.075</v>
      </c>
      <c r="C78" s="214" t="n">
        <v>182.16</v>
      </c>
    </row>
    <row r="79" customFormat="false" ht="15" hidden="false" customHeight="false" outlineLevel="0" collapsed="false">
      <c r="A79" s="214" t="n">
        <v>2826.66</v>
      </c>
      <c r="B79" s="212" t="n">
        <v>0.15</v>
      </c>
      <c r="C79" s="214" t="n">
        <v>394.16</v>
      </c>
    </row>
    <row r="80" customFormat="false" ht="15" hidden="false" customHeight="false" outlineLevel="0" collapsed="false">
      <c r="A80" s="214" t="n">
        <v>3751.06</v>
      </c>
      <c r="B80" s="212" t="n">
        <v>0.225</v>
      </c>
      <c r="C80" s="214" t="n">
        <v>675.49</v>
      </c>
    </row>
    <row r="81" customFormat="false" ht="15" hidden="false" customHeight="false" outlineLevel="0" collapsed="false">
      <c r="A81" s="214" t="n">
        <v>4664.69</v>
      </c>
      <c r="B81" s="212" t="n">
        <v>0.275</v>
      </c>
      <c r="C81" s="214" t="n">
        <v>908.73</v>
      </c>
    </row>
    <row r="83" customFormat="false" ht="21.75" hidden="false" customHeight="true" outlineLevel="0" collapsed="false">
      <c r="A83" s="3" t="s">
        <v>655</v>
      </c>
      <c r="B83" s="3"/>
      <c r="C83" s="3"/>
      <c r="D83" s="3"/>
      <c r="E83" s="3"/>
      <c r="F83" s="3"/>
      <c r="G83" s="3"/>
      <c r="H83" s="3"/>
      <c r="I83" s="3"/>
      <c r="J83" s="3"/>
    </row>
    <row r="84" customFormat="false" ht="21.75" hidden="false" customHeight="true" outlineLevel="0" collapsed="false">
      <c r="A84" s="34" t="s">
        <v>656</v>
      </c>
      <c r="B84" s="34" t="s">
        <v>657</v>
      </c>
      <c r="C84" s="34"/>
      <c r="D84" s="34"/>
      <c r="E84" s="34"/>
      <c r="F84" s="34"/>
      <c r="G84" s="34"/>
      <c r="H84" s="34"/>
      <c r="I84" s="34"/>
      <c r="J84" s="34"/>
    </row>
    <row r="85" customFormat="false" ht="15" hidden="false" customHeight="false" outlineLevel="0" collapsed="false">
      <c r="A85" s="118" t="s">
        <v>658</v>
      </c>
      <c r="B85" s="153" t="n">
        <v>12</v>
      </c>
    </row>
    <row r="86" customFormat="false" ht="15" hidden="false" customHeight="false" outlineLevel="0" collapsed="false">
      <c r="A86" s="118" t="s">
        <v>659</v>
      </c>
      <c r="B86" s="153" t="n">
        <v>36</v>
      </c>
    </row>
    <row r="87" customFormat="false" ht="15" hidden="false" customHeight="false" outlineLevel="0" collapsed="false">
      <c r="A87" s="118" t="s">
        <v>660</v>
      </c>
      <c r="B87" s="153" t="n">
        <v>60</v>
      </c>
    </row>
    <row r="88" customFormat="false" ht="15" hidden="false" customHeight="false" outlineLevel="0" collapsed="false">
      <c r="A88" s="118" t="s">
        <v>49</v>
      </c>
      <c r="B88" s="153" t="n">
        <v>120</v>
      </c>
    </row>
    <row r="89" customFormat="false" ht="15" hidden="false" customHeight="false" outlineLevel="0" collapsed="false">
      <c r="A89" s="118" t="s">
        <v>661</v>
      </c>
      <c r="B89" s="153" t="n">
        <v>180</v>
      </c>
    </row>
    <row r="90" customFormat="false" ht="15" hidden="false" customHeight="false" outlineLevel="0" collapsed="false">
      <c r="A90" s="118" t="s">
        <v>662</v>
      </c>
      <c r="B90" s="153" t="n">
        <v>0</v>
      </c>
    </row>
    <row r="92" customFormat="false" ht="21.75" hidden="false" customHeight="true" outlineLevel="0" collapsed="false">
      <c r="A92" s="3" t="s">
        <v>663</v>
      </c>
      <c r="B92" s="3"/>
      <c r="C92" s="3"/>
      <c r="D92" s="3"/>
      <c r="E92" s="3"/>
      <c r="F92" s="3"/>
      <c r="G92" s="3"/>
      <c r="H92" s="3"/>
      <c r="I92" s="3"/>
      <c r="J92" s="3"/>
    </row>
    <row r="93" customFormat="false" ht="21.75" hidden="false" customHeight="true" outlineLevel="0" collapsed="false">
      <c r="A93" s="34" t="s">
        <v>664</v>
      </c>
      <c r="B93" s="34" t="s">
        <v>665</v>
      </c>
      <c r="C93" s="34" t="s">
        <v>666</v>
      </c>
      <c r="D93" s="34"/>
      <c r="E93" s="34"/>
      <c r="F93" s="34"/>
      <c r="G93" s="34"/>
      <c r="H93" s="34"/>
      <c r="I93" s="34"/>
      <c r="J93" s="34"/>
    </row>
    <row r="94" customFormat="false" ht="15" hidden="false" customHeight="false" outlineLevel="0" collapsed="false">
      <c r="A94" s="211" t="n">
        <v>1</v>
      </c>
      <c r="B94" s="216" t="s">
        <v>667</v>
      </c>
      <c r="C94" s="217" t="s">
        <v>668</v>
      </c>
    </row>
    <row r="95" customFormat="false" ht="15" hidden="false" customHeight="false" outlineLevel="0" collapsed="false">
      <c r="A95" s="211" t="n">
        <v>2</v>
      </c>
      <c r="B95" s="216" t="s">
        <v>669</v>
      </c>
      <c r="C95" s="217" t="s">
        <v>670</v>
      </c>
    </row>
    <row r="96" customFormat="false" ht="15" hidden="false" customHeight="false" outlineLevel="0" collapsed="false">
      <c r="A96" s="211" t="n">
        <v>3</v>
      </c>
      <c r="B96" s="216" t="s">
        <v>671</v>
      </c>
      <c r="C96" s="217" t="s">
        <v>672</v>
      </c>
    </row>
    <row r="97" customFormat="false" ht="15" hidden="false" customHeight="false" outlineLevel="0" collapsed="false">
      <c r="A97" s="211" t="n">
        <v>4</v>
      </c>
      <c r="B97" s="216" t="s">
        <v>673</v>
      </c>
      <c r="C97" s="217" t="s">
        <v>674</v>
      </c>
    </row>
    <row r="98" customFormat="false" ht="15" hidden="false" customHeight="false" outlineLevel="0" collapsed="false">
      <c r="A98" s="211" t="n">
        <v>5</v>
      </c>
      <c r="B98" s="216" t="s">
        <v>675</v>
      </c>
      <c r="C98" s="217" t="s">
        <v>676</v>
      </c>
    </row>
    <row r="100" customFormat="false" ht="21.75" hidden="false" customHeight="true" outlineLevel="0" collapsed="false">
      <c r="A100" s="3" t="s">
        <v>677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21.75" hidden="false" customHeight="true" outlineLevel="0" collapsed="false">
      <c r="A101" s="34" t="s">
        <v>678</v>
      </c>
      <c r="B101" s="34" t="s">
        <v>679</v>
      </c>
      <c r="C101" s="34"/>
      <c r="D101" s="34"/>
      <c r="E101" s="34"/>
      <c r="F101" s="34"/>
      <c r="G101" s="34"/>
      <c r="H101" s="34" t="s">
        <v>266</v>
      </c>
      <c r="I101" s="34"/>
      <c r="J101" s="34"/>
    </row>
    <row r="102" customFormat="false" ht="19.4" hidden="false" customHeight="false" outlineLevel="0" collapsed="false">
      <c r="A102" s="118" t="s">
        <v>605</v>
      </c>
      <c r="B102" s="153" t="n">
        <v>2</v>
      </c>
      <c r="H102" s="185" t="s">
        <v>680</v>
      </c>
    </row>
    <row r="103" customFormat="false" ht="15" hidden="false" customHeight="false" outlineLevel="0" collapsed="false">
      <c r="A103" s="118" t="s">
        <v>59</v>
      </c>
      <c r="B103" s="153" t="n">
        <v>3</v>
      </c>
    </row>
    <row r="104" customFormat="false" ht="15" hidden="false" customHeight="false" outlineLevel="0" collapsed="false">
      <c r="A104" s="118" t="s">
        <v>681</v>
      </c>
      <c r="B104" s="153" t="n">
        <v>5</v>
      </c>
    </row>
    <row r="106" customFormat="false" ht="21.75" hidden="false" customHeight="true" outlineLevel="0" collapsed="false">
      <c r="A106" s="3" t="s">
        <v>682</v>
      </c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false" outlineLevel="0" collapsed="false">
      <c r="A107" s="118" t="s">
        <v>683</v>
      </c>
      <c r="B107" s="218" t="n">
        <v>250000</v>
      </c>
      <c r="H107" s="207" t="s">
        <v>684</v>
      </c>
    </row>
    <row r="108" customFormat="false" ht="15" hidden="false" customHeight="false" outlineLevel="0" collapsed="false">
      <c r="A108" s="118" t="s">
        <v>685</v>
      </c>
      <c r="B108" s="219" t="n">
        <v>0.12</v>
      </c>
      <c r="H108" s="207" t="s">
        <v>686</v>
      </c>
    </row>
    <row r="109" customFormat="false" ht="15" hidden="false" customHeight="false" outlineLevel="0" collapsed="false">
      <c r="A109" s="118" t="s">
        <v>687</v>
      </c>
      <c r="B109" s="219" t="n">
        <v>0.15</v>
      </c>
      <c r="H109" s="207" t="s">
        <v>688</v>
      </c>
    </row>
    <row r="110" customFormat="false" ht="15" hidden="false" customHeight="false" outlineLevel="0" collapsed="false">
      <c r="A110" s="118" t="s">
        <v>689</v>
      </c>
      <c r="B110" s="220" t="n">
        <v>30</v>
      </c>
      <c r="H110" s="207" t="s">
        <v>690</v>
      </c>
    </row>
    <row r="111" customFormat="false" ht="15" hidden="false" customHeight="false" outlineLevel="0" collapsed="false">
      <c r="A111" s="118" t="s">
        <v>691</v>
      </c>
      <c r="B111" s="221" t="s">
        <v>692</v>
      </c>
      <c r="H111" s="207" t="s">
        <v>693</v>
      </c>
    </row>
    <row r="112" customFormat="false" ht="15" hidden="false" customHeight="false" outlineLevel="0" collapsed="false">
      <c r="A112" s="118" t="s">
        <v>694</v>
      </c>
      <c r="B112" s="220" t="n">
        <v>0</v>
      </c>
      <c r="H112" s="207" t="s">
        <v>695</v>
      </c>
    </row>
  </sheetData>
  <mergeCells count="13">
    <mergeCell ref="A1:J1"/>
    <mergeCell ref="A2:J2"/>
    <mergeCell ref="A6:J6"/>
    <mergeCell ref="A19:J19"/>
    <mergeCell ref="A20:J20"/>
    <mergeCell ref="A21:J21"/>
    <mergeCell ref="A32:J32"/>
    <mergeCell ref="A42:J42"/>
    <mergeCell ref="A75:J75"/>
    <mergeCell ref="A83:J83"/>
    <mergeCell ref="A92:J92"/>
    <mergeCell ref="A100:J100"/>
    <mergeCell ref="A106:J106"/>
  </mergeCells>
  <hyperlinks>
    <hyperlink ref="J4" location="Inicio!A1" display="◀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30C"/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46"/>
  </cols>
  <sheetData>
    <row r="1" customFormat="false" ht="33.75" hidden="false" customHeight="true" outlineLevel="0" collapsed="false">
      <c r="A1" s="13" t="s">
        <v>696</v>
      </c>
      <c r="B1" s="13"/>
      <c r="C1" s="13"/>
      <c r="D1" s="13"/>
      <c r="E1" s="13"/>
      <c r="F1" s="13"/>
      <c r="G1" s="13"/>
      <c r="I1" s="94" t="s">
        <v>84</v>
      </c>
    </row>
    <row r="2" customFormat="false" ht="18" hidden="false" customHeight="true" outlineLevel="0" collapsed="false">
      <c r="A2" s="14" t="s">
        <v>697</v>
      </c>
      <c r="B2" s="14"/>
      <c r="C2" s="14"/>
      <c r="D2" s="14"/>
      <c r="E2" s="14"/>
      <c r="F2" s="14"/>
      <c r="G2" s="14"/>
    </row>
    <row r="4" customFormat="false" ht="25.5" hidden="false" customHeight="true" outlineLevel="0" collapsed="false">
      <c r="A4" s="12" t="s">
        <v>698</v>
      </c>
      <c r="B4" s="12"/>
      <c r="C4" s="12"/>
      <c r="D4" s="12"/>
      <c r="E4" s="12"/>
      <c r="F4" s="12"/>
      <c r="G4" s="12"/>
    </row>
    <row r="6" customFormat="false" ht="31.5" hidden="false" customHeight="true" outlineLevel="0" collapsed="false">
      <c r="A6" s="34" t="s">
        <v>699</v>
      </c>
      <c r="B6" s="34" t="s">
        <v>173</v>
      </c>
      <c r="C6" s="34" t="s">
        <v>700</v>
      </c>
      <c r="D6" s="34" t="s">
        <v>701</v>
      </c>
      <c r="E6" s="34" t="s">
        <v>702</v>
      </c>
      <c r="F6" s="34" t="s">
        <v>703</v>
      </c>
      <c r="G6" s="34" t="s">
        <v>704</v>
      </c>
    </row>
    <row r="7" customFormat="false" ht="39.75" hidden="false" customHeight="true" outlineLevel="0" collapsed="false">
      <c r="A7" s="151" t="s">
        <v>705</v>
      </c>
      <c r="B7" s="151" t="s">
        <v>706</v>
      </c>
      <c r="C7" s="152" t="s">
        <v>707</v>
      </c>
      <c r="D7" s="152" t="s">
        <v>708</v>
      </c>
      <c r="E7" s="151" t="s">
        <v>709</v>
      </c>
      <c r="F7" s="222" t="s">
        <v>710</v>
      </c>
      <c r="G7" s="152" t="s">
        <v>711</v>
      </c>
    </row>
    <row r="8" customFormat="false" ht="39.75" hidden="false" customHeight="true" outlineLevel="0" collapsed="false">
      <c r="A8" s="151" t="s">
        <v>712</v>
      </c>
      <c r="B8" s="151" t="s">
        <v>713</v>
      </c>
      <c r="C8" s="152" t="s">
        <v>714</v>
      </c>
      <c r="D8" s="152" t="s">
        <v>715</v>
      </c>
      <c r="E8" s="151" t="s">
        <v>716</v>
      </c>
      <c r="F8" s="222" t="s">
        <v>717</v>
      </c>
      <c r="G8" s="152" t="s">
        <v>718</v>
      </c>
    </row>
    <row r="9" customFormat="false" ht="39.75" hidden="false" customHeight="true" outlineLevel="0" collapsed="false">
      <c r="A9" s="151" t="s">
        <v>719</v>
      </c>
      <c r="B9" s="151" t="s">
        <v>720</v>
      </c>
      <c r="C9" s="152" t="s">
        <v>721</v>
      </c>
      <c r="D9" s="152" t="s">
        <v>722</v>
      </c>
      <c r="E9" s="151" t="s">
        <v>723</v>
      </c>
      <c r="F9" s="222" t="s">
        <v>724</v>
      </c>
      <c r="G9" s="152" t="s">
        <v>725</v>
      </c>
    </row>
    <row r="10" customFormat="false" ht="39.75" hidden="false" customHeight="true" outlineLevel="0" collapsed="false">
      <c r="A10" s="151" t="s">
        <v>726</v>
      </c>
      <c r="B10" s="151" t="s">
        <v>727</v>
      </c>
      <c r="C10" s="152" t="s">
        <v>728</v>
      </c>
      <c r="D10" s="152" t="s">
        <v>729</v>
      </c>
      <c r="E10" s="151" t="s">
        <v>730</v>
      </c>
      <c r="F10" s="222" t="s">
        <v>731</v>
      </c>
      <c r="G10" s="152" t="s">
        <v>732</v>
      </c>
    </row>
    <row r="11" customFormat="false" ht="39.75" hidden="false" customHeight="true" outlineLevel="0" collapsed="false">
      <c r="A11" s="151" t="s">
        <v>733</v>
      </c>
      <c r="B11" s="151" t="s">
        <v>734</v>
      </c>
      <c r="C11" s="152" t="s">
        <v>735</v>
      </c>
      <c r="D11" s="152" t="s">
        <v>736</v>
      </c>
      <c r="E11" s="151" t="s">
        <v>737</v>
      </c>
      <c r="F11" s="222" t="s">
        <v>724</v>
      </c>
      <c r="G11" s="152" t="s">
        <v>738</v>
      </c>
    </row>
    <row r="12" customFormat="false" ht="39.75" hidden="false" customHeight="true" outlineLevel="0" collapsed="false">
      <c r="A12" s="151" t="s">
        <v>739</v>
      </c>
      <c r="B12" s="151" t="s">
        <v>740</v>
      </c>
      <c r="C12" s="152" t="s">
        <v>741</v>
      </c>
      <c r="D12" s="152" t="s">
        <v>742</v>
      </c>
      <c r="E12" s="151" t="s">
        <v>743</v>
      </c>
      <c r="F12" s="222" t="s">
        <v>724</v>
      </c>
      <c r="G12" s="152" t="s">
        <v>744</v>
      </c>
    </row>
    <row r="13" customFormat="false" ht="39.75" hidden="false" customHeight="true" outlineLevel="0" collapsed="false">
      <c r="A13" s="151" t="s">
        <v>745</v>
      </c>
      <c r="B13" s="151" t="s">
        <v>746</v>
      </c>
      <c r="C13" s="152" t="s">
        <v>747</v>
      </c>
      <c r="D13" s="152" t="s">
        <v>748</v>
      </c>
      <c r="E13" s="151" t="s">
        <v>749</v>
      </c>
      <c r="F13" s="222" t="s">
        <v>724</v>
      </c>
      <c r="G13" s="152" t="s">
        <v>750</v>
      </c>
    </row>
    <row r="14" customFormat="false" ht="39.75" hidden="false" customHeight="true" outlineLevel="0" collapsed="false">
      <c r="A14" s="151" t="s">
        <v>751</v>
      </c>
      <c r="B14" s="151" t="s">
        <v>752</v>
      </c>
      <c r="C14" s="152" t="s">
        <v>753</v>
      </c>
      <c r="D14" s="152" t="s">
        <v>754</v>
      </c>
      <c r="E14" s="151" t="s">
        <v>495</v>
      </c>
      <c r="F14" s="222" t="s">
        <v>724</v>
      </c>
      <c r="G14" s="152" t="s">
        <v>755</v>
      </c>
    </row>
    <row r="16" customFormat="false" ht="21.75" hidden="false" customHeight="true" outlineLevel="0" collapsed="false">
      <c r="A16" s="3" t="s">
        <v>756</v>
      </c>
      <c r="B16" s="3"/>
      <c r="C16" s="3"/>
      <c r="D16" s="3"/>
      <c r="E16" s="3"/>
      <c r="F16" s="3"/>
      <c r="G16" s="3"/>
    </row>
    <row r="17" customFormat="false" ht="21.75" hidden="false" customHeight="true" outlineLevel="0" collapsed="false">
      <c r="A17" s="34" t="s">
        <v>192</v>
      </c>
      <c r="B17" s="34" t="s">
        <v>757</v>
      </c>
      <c r="C17" s="34" t="s">
        <v>758</v>
      </c>
      <c r="D17" s="34" t="s">
        <v>759</v>
      </c>
      <c r="E17" s="34" t="s">
        <v>475</v>
      </c>
      <c r="F17" s="34"/>
      <c r="G17" s="34"/>
    </row>
    <row r="18" customFormat="false" ht="15.75" hidden="false" customHeight="true" outlineLevel="0" collapsed="false">
      <c r="A18" s="223"/>
      <c r="B18" s="223"/>
      <c r="C18" s="223"/>
      <c r="D18" s="223"/>
      <c r="E18" s="223"/>
    </row>
    <row r="19" customFormat="false" ht="15.75" hidden="false" customHeight="true" outlineLevel="0" collapsed="false">
      <c r="A19" s="223"/>
      <c r="B19" s="223"/>
      <c r="C19" s="223"/>
      <c r="D19" s="223"/>
      <c r="E19" s="223"/>
    </row>
    <row r="20" customFormat="false" ht="15.75" hidden="false" customHeight="true" outlineLevel="0" collapsed="false">
      <c r="A20" s="223"/>
      <c r="B20" s="223"/>
      <c r="C20" s="223"/>
      <c r="D20" s="223"/>
      <c r="E20" s="223"/>
    </row>
    <row r="21" customFormat="false" ht="15.75" hidden="false" customHeight="true" outlineLevel="0" collapsed="false">
      <c r="A21" s="223"/>
      <c r="B21" s="223"/>
      <c r="C21" s="223"/>
      <c r="D21" s="223"/>
      <c r="E21" s="223"/>
    </row>
    <row r="22" customFormat="false" ht="15.75" hidden="false" customHeight="true" outlineLevel="0" collapsed="false">
      <c r="A22" s="223"/>
      <c r="B22" s="223"/>
      <c r="C22" s="223"/>
      <c r="D22" s="223"/>
      <c r="E22" s="223"/>
    </row>
    <row r="23" customFormat="false" ht="15.75" hidden="false" customHeight="true" outlineLevel="0" collapsed="false">
      <c r="A23" s="223"/>
      <c r="B23" s="223"/>
      <c r="C23" s="223"/>
      <c r="D23" s="223"/>
      <c r="E23" s="223"/>
    </row>
    <row r="24" customFormat="false" ht="15.75" hidden="false" customHeight="true" outlineLevel="0" collapsed="false">
      <c r="A24" s="223"/>
      <c r="B24" s="223"/>
      <c r="C24" s="223"/>
      <c r="D24" s="223"/>
      <c r="E24" s="223"/>
    </row>
    <row r="25" customFormat="false" ht="15.75" hidden="false" customHeight="true" outlineLevel="0" collapsed="false">
      <c r="A25" s="223"/>
      <c r="B25" s="223"/>
      <c r="C25" s="223"/>
      <c r="D25" s="223"/>
      <c r="E25" s="223"/>
    </row>
    <row r="26" customFormat="false" ht="15.75" hidden="false" customHeight="true" outlineLevel="0" collapsed="false">
      <c r="A26" s="223"/>
      <c r="B26" s="223"/>
      <c r="C26" s="223"/>
      <c r="D26" s="223"/>
      <c r="E26" s="223"/>
    </row>
    <row r="27" customFormat="false" ht="15.75" hidden="false" customHeight="true" outlineLevel="0" collapsed="false">
      <c r="A27" s="223"/>
      <c r="B27" s="223"/>
      <c r="C27" s="223"/>
      <c r="D27" s="223"/>
      <c r="E27" s="223"/>
    </row>
    <row r="28" customFormat="false" ht="15.75" hidden="false" customHeight="true" outlineLevel="0" collapsed="false">
      <c r="A28" s="223"/>
      <c r="B28" s="223"/>
      <c r="C28" s="223"/>
      <c r="D28" s="223"/>
      <c r="E28" s="223"/>
    </row>
    <row r="29" customFormat="false" ht="15.75" hidden="false" customHeight="true" outlineLevel="0" collapsed="false">
      <c r="A29" s="223"/>
      <c r="B29" s="223"/>
      <c r="C29" s="223"/>
      <c r="D29" s="223"/>
      <c r="E29" s="223"/>
    </row>
  </sheetData>
  <mergeCells count="4">
    <mergeCell ref="A1:G1"/>
    <mergeCell ref="A2:G2"/>
    <mergeCell ref="A4:G4"/>
    <mergeCell ref="A16:G16"/>
  </mergeCells>
  <hyperlinks>
    <hyperlink ref="I1" location="Inicio!A1" display="◀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EBB"/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4"/>
    <col collapsed="false" customWidth="true" hidden="false" outlineLevel="0" max="4" min="4" style="0" width="66"/>
  </cols>
  <sheetData>
    <row r="1" customFormat="false" ht="33.75" hidden="false" customHeight="true" outlineLevel="0" collapsed="false">
      <c r="A1" s="13" t="s">
        <v>760</v>
      </c>
      <c r="B1" s="13"/>
      <c r="C1" s="13"/>
      <c r="D1" s="13"/>
    </row>
    <row r="2" customFormat="false" ht="18" hidden="false" customHeight="true" outlineLevel="0" collapsed="false">
      <c r="A2" s="14" t="s">
        <v>761</v>
      </c>
      <c r="B2" s="14"/>
      <c r="C2" s="14"/>
      <c r="D2" s="14"/>
    </row>
    <row r="3" customFormat="false" ht="15" hidden="false" customHeight="false" outlineLevel="0" collapsed="false">
      <c r="D3" s="94" t="s">
        <v>84</v>
      </c>
    </row>
    <row r="5" customFormat="false" ht="25.5" hidden="false" customHeight="true" outlineLevel="0" collapsed="false">
      <c r="B5" s="34" t="s">
        <v>762</v>
      </c>
      <c r="C5" s="34" t="s">
        <v>763</v>
      </c>
      <c r="D5" s="34" t="s">
        <v>764</v>
      </c>
    </row>
    <row r="6" customFormat="false" ht="30" hidden="false" customHeight="true" outlineLevel="0" collapsed="false">
      <c r="B6" s="224" t="s">
        <v>315</v>
      </c>
      <c r="C6" s="225" t="s">
        <v>765</v>
      </c>
      <c r="D6" s="226" t="s">
        <v>766</v>
      </c>
    </row>
    <row r="7" customFormat="false" ht="30" hidden="false" customHeight="true" outlineLevel="0" collapsed="false">
      <c r="B7" s="227" t="s">
        <v>767</v>
      </c>
      <c r="C7" s="228" t="s">
        <v>768</v>
      </c>
      <c r="D7" s="229" t="s">
        <v>769</v>
      </c>
    </row>
    <row r="8" customFormat="false" ht="30" hidden="false" customHeight="true" outlineLevel="0" collapsed="false">
      <c r="B8" s="224" t="s">
        <v>319</v>
      </c>
      <c r="C8" s="225" t="s">
        <v>770</v>
      </c>
      <c r="D8" s="226" t="s">
        <v>771</v>
      </c>
    </row>
    <row r="9" customFormat="false" ht="30" hidden="false" customHeight="true" outlineLevel="0" collapsed="false">
      <c r="B9" s="227" t="s">
        <v>772</v>
      </c>
      <c r="C9" s="228" t="s">
        <v>773</v>
      </c>
      <c r="D9" s="229" t="s">
        <v>774</v>
      </c>
    </row>
    <row r="10" customFormat="false" ht="30" hidden="false" customHeight="true" outlineLevel="0" collapsed="false">
      <c r="B10" s="224" t="s">
        <v>775</v>
      </c>
      <c r="C10" s="225" t="s">
        <v>776</v>
      </c>
      <c r="D10" s="226" t="s">
        <v>777</v>
      </c>
    </row>
    <row r="11" customFormat="false" ht="30" hidden="false" customHeight="true" outlineLevel="0" collapsed="false">
      <c r="B11" s="227" t="s">
        <v>492</v>
      </c>
      <c r="C11" s="228" t="s">
        <v>778</v>
      </c>
      <c r="D11" s="229" t="s">
        <v>779</v>
      </c>
    </row>
    <row r="12" customFormat="false" ht="30" hidden="false" customHeight="true" outlineLevel="0" collapsed="false">
      <c r="B12" s="224" t="s">
        <v>780</v>
      </c>
      <c r="C12" s="225" t="s">
        <v>781</v>
      </c>
      <c r="D12" s="226" t="s">
        <v>782</v>
      </c>
    </row>
    <row r="13" customFormat="false" ht="30" hidden="false" customHeight="true" outlineLevel="0" collapsed="false">
      <c r="B13" s="227" t="s">
        <v>522</v>
      </c>
      <c r="C13" s="228" t="s">
        <v>783</v>
      </c>
      <c r="D13" s="229" t="s">
        <v>784</v>
      </c>
    </row>
    <row r="14" customFormat="false" ht="30" hidden="false" customHeight="true" outlineLevel="0" collapsed="false">
      <c r="B14" s="224" t="s">
        <v>785</v>
      </c>
      <c r="C14" s="225" t="s">
        <v>786</v>
      </c>
      <c r="D14" s="226" t="s">
        <v>787</v>
      </c>
    </row>
    <row r="15" customFormat="false" ht="30" hidden="false" customHeight="true" outlineLevel="0" collapsed="false">
      <c r="B15" s="227" t="s">
        <v>159</v>
      </c>
      <c r="C15" s="228" t="s">
        <v>788</v>
      </c>
      <c r="D15" s="229" t="s">
        <v>789</v>
      </c>
    </row>
    <row r="16" customFormat="false" ht="30" hidden="false" customHeight="true" outlineLevel="0" collapsed="false">
      <c r="B16" s="224" t="s">
        <v>790</v>
      </c>
      <c r="C16" s="225" t="s">
        <v>791</v>
      </c>
      <c r="D16" s="226" t="s">
        <v>792</v>
      </c>
    </row>
    <row r="17" customFormat="false" ht="30" hidden="false" customHeight="true" outlineLevel="0" collapsed="false">
      <c r="B17" s="227" t="s">
        <v>793</v>
      </c>
      <c r="C17" s="228" t="s">
        <v>794</v>
      </c>
      <c r="D17" s="229" t="s">
        <v>795</v>
      </c>
    </row>
    <row r="18" customFormat="false" ht="30" hidden="false" customHeight="true" outlineLevel="0" collapsed="false">
      <c r="B18" s="224" t="s">
        <v>796</v>
      </c>
      <c r="C18" s="225" t="s">
        <v>797</v>
      </c>
      <c r="D18" s="226" t="s">
        <v>798</v>
      </c>
    </row>
    <row r="19" customFormat="false" ht="30" hidden="false" customHeight="true" outlineLevel="0" collapsed="false">
      <c r="B19" s="227" t="s">
        <v>799</v>
      </c>
      <c r="C19" s="228" t="s">
        <v>800</v>
      </c>
      <c r="D19" s="229" t="s">
        <v>801</v>
      </c>
    </row>
    <row r="20" customFormat="false" ht="30" hidden="false" customHeight="true" outlineLevel="0" collapsed="false">
      <c r="B20" s="224" t="s">
        <v>802</v>
      </c>
      <c r="C20" s="225" t="s">
        <v>803</v>
      </c>
      <c r="D20" s="226" t="s">
        <v>804</v>
      </c>
    </row>
    <row r="21" customFormat="false" ht="30" hidden="false" customHeight="true" outlineLevel="0" collapsed="false">
      <c r="B21" s="227" t="s">
        <v>805</v>
      </c>
      <c r="C21" s="228" t="s">
        <v>806</v>
      </c>
      <c r="D21" s="229" t="s">
        <v>807</v>
      </c>
    </row>
    <row r="22" customFormat="false" ht="30" hidden="false" customHeight="true" outlineLevel="0" collapsed="false">
      <c r="B22" s="224" t="s">
        <v>808</v>
      </c>
      <c r="C22" s="225" t="s">
        <v>809</v>
      </c>
      <c r="D22" s="226" t="s">
        <v>810</v>
      </c>
    </row>
    <row r="23" customFormat="false" ht="30" hidden="false" customHeight="true" outlineLevel="0" collapsed="false">
      <c r="B23" s="227" t="s">
        <v>811</v>
      </c>
      <c r="C23" s="228" t="s">
        <v>812</v>
      </c>
      <c r="D23" s="229" t="s">
        <v>813</v>
      </c>
    </row>
    <row r="24" customFormat="false" ht="30" hidden="false" customHeight="true" outlineLevel="0" collapsed="false">
      <c r="B24" s="224" t="s">
        <v>814</v>
      </c>
      <c r="C24" s="225" t="s">
        <v>815</v>
      </c>
      <c r="D24" s="226" t="s">
        <v>816</v>
      </c>
    </row>
    <row r="25" customFormat="false" ht="30" hidden="false" customHeight="true" outlineLevel="0" collapsed="false">
      <c r="B25" s="227" t="s">
        <v>817</v>
      </c>
      <c r="C25" s="228" t="s">
        <v>818</v>
      </c>
      <c r="D25" s="229" t="s">
        <v>819</v>
      </c>
    </row>
    <row r="26" customFormat="false" ht="30" hidden="false" customHeight="true" outlineLevel="0" collapsed="false">
      <c r="B26" s="224" t="s">
        <v>820</v>
      </c>
      <c r="C26" s="225" t="s">
        <v>821</v>
      </c>
      <c r="D26" s="226" t="s">
        <v>822</v>
      </c>
    </row>
    <row r="27" customFormat="false" ht="30" hidden="false" customHeight="true" outlineLevel="0" collapsed="false">
      <c r="B27" s="227" t="s">
        <v>823</v>
      </c>
      <c r="C27" s="228" t="s">
        <v>824</v>
      </c>
      <c r="D27" s="229" t="s">
        <v>825</v>
      </c>
    </row>
    <row r="28" customFormat="false" ht="30" hidden="false" customHeight="true" outlineLevel="0" collapsed="false">
      <c r="B28" s="224" t="s">
        <v>826</v>
      </c>
      <c r="C28" s="225" t="s">
        <v>827</v>
      </c>
      <c r="D28" s="226" t="s">
        <v>828</v>
      </c>
    </row>
  </sheetData>
  <mergeCells count="2">
    <mergeCell ref="A1:D1"/>
    <mergeCell ref="A2:D2"/>
  </mergeCells>
  <hyperlinks>
    <hyperlink ref="D3" location="Inicio!A1" display="◀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2026-08-23T04:31:21Z</dcterms:created>
  <dc:creator>Gerado por build.py — ver README.md</dc:creator>
  <dc:description/>
  <dc:language>en-US</dc:language>
  <cp:lastModifiedBy/>
  <dcterms:modified xsi:type="dcterms:W3CDTF">2026-08-23T04:31:26Z</dcterms:modified>
  <cp:revision>1</cp:revision>
  <dc:subject>Ferramenta de apoio à venda consultiva de investimentos</dc:subject>
  <dc:title>Simulador de Investimentos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